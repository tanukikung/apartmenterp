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ACCOUNTS" sheetId="2" state="visible" r:id="rId2"/>
    <sheet name="RULES" sheetId="3" state="visible" r:id="rId3"/>
    <sheet name="ชั้น_1" sheetId="4" state="visible" r:id="rId4"/>
    <sheet name="ชั้น_2" sheetId="5" state="visible" r:id="rId5"/>
    <sheet name="ชั้น_3" sheetId="6" state="visible" r:id="rId6"/>
    <sheet name="ชั้น_4" sheetId="7" state="visible" r:id="rId7"/>
    <sheet name="ชั้น_5" sheetId="8" state="visible" r:id="rId8"/>
    <sheet name="ชั้น_6" sheetId="9" state="visible" r:id="rId9"/>
    <sheet name="ชั้น_7" sheetId="10" state="visible" r:id="rId10"/>
    <sheet name="ชั้น_8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20">
    <font>
      <name val="Calibri"/>
      <family val="2"/>
      <color theme="1"/>
      <sz val="11"/>
      <scheme val="minor"/>
    </font>
    <font>
      <b val="1"/>
      <color rgb="FFFFFFFF"/>
      <sz val="14"/>
    </font>
    <font>
      <b val="1"/>
      <color rgb="FFFFFFFF"/>
      <sz val="10"/>
    </font>
    <font>
      <b val="1"/>
      <color rgb="FF1A1A1A"/>
      <sz val="11"/>
    </font>
    <font>
      <b val="1"/>
      <color rgb="FFFFFFFF"/>
      <sz val="13"/>
    </font>
    <font>
      <b val="1"/>
      <color rgb="FFFFFFFF"/>
      <sz val="9"/>
    </font>
    <font>
      <color rgb="FF1A1A1A"/>
      <sz val="10"/>
    </font>
    <font>
      <b val="1"/>
      <color rgb="FFFFFFFF"/>
      <sz val="8"/>
    </font>
    <font>
      <b val="1"/>
      <color rgb="FF1A1A1A"/>
      <sz val="10"/>
    </font>
    <font>
      <color rgb="FF757575"/>
      <sz val="7"/>
    </font>
    <font>
      <color rgb="FF1565C0"/>
      <sz val="10"/>
    </font>
    <font>
      <i val="1"/>
      <color rgb="FF757575"/>
      <sz val="10"/>
    </font>
    <font>
      <color rgb="FF1A1A1A"/>
      <sz val="9"/>
    </font>
    <font>
      <b val="1"/>
      <color rgb="FFFFFFFF"/>
      <sz val="11"/>
    </font>
    <font>
      <color rgb="FFFFFFFF"/>
    </font>
    <font>
      <sz val="10"/>
    </font>
    <font>
      <name val="Arial"/>
      <color rgb="FFAAAAAA"/>
      <sz val="7"/>
    </font>
    <font>
      <name val="Arial"/>
      <b val="1"/>
      <color rgb="FFFFFFFF"/>
      <sz val="11"/>
    </font>
    <font>
      <name val="Arial"/>
      <color rgb="FF1A1A1A"/>
      <sz val="10"/>
    </font>
    <font>
      <name val="Arial"/>
      <i val="1"/>
      <color rgb="FF555555"/>
      <sz val="10"/>
    </font>
  </fonts>
  <fills count="1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344054"/>
      </patternFill>
    </fill>
    <fill>
      <patternFill patternType="solid">
        <fgColor rgb="FFE3F2FD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C8E6C9"/>
      </patternFill>
    </fill>
    <fill>
      <patternFill patternType="solid">
        <fgColor rgb="FFF0F0F0"/>
      </patternFill>
    </fill>
    <fill>
      <patternFill patternType="solid">
        <fgColor rgb="FFE0F7FA"/>
      </patternFill>
    </fill>
    <fill>
      <patternFill patternType="solid">
        <fgColor rgb="FFF3E5F5"/>
      </patternFill>
    </fill>
    <fill>
      <patternFill patternType="solid">
        <fgColor rgb="FFF9F9F9"/>
      </patternFill>
    </fill>
  </fills>
  <borders count="6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9" fillId="11" borderId="0" pivotButton="0" quotePrefix="0" xfId="0"/>
    <xf numFmtId="0" fontId="8" fillId="6" borderId="1" applyAlignment="1" pivotButton="0" quotePrefix="0" xfId="0">
      <alignment horizontal="center" vertical="center"/>
    </xf>
    <xf numFmtId="0" fontId="6" fillId="6" borderId="1" pivotButton="0" quotePrefix="0" xfId="0"/>
    <xf numFmtId="3" fontId="10" fillId="6" borderId="1" pivotButton="0" quotePrefix="0" xfId="0"/>
    <xf numFmtId="3" fontId="6" fillId="6" borderId="1" applyAlignment="1" pivotButton="0" quotePrefix="0" xfId="0">
      <alignment horizontal="right" vertical="center"/>
    </xf>
    <xf numFmtId="3" fontId="6" fillId="4" borderId="1" pivotButton="0" quotePrefix="0" xfId="0"/>
    <xf numFmtId="0" fontId="11" fillId="6" borderId="1" pivotButton="0" quotePrefix="0" xfId="0"/>
    <xf numFmtId="0" fontId="12" fillId="6" borderId="1" applyAlignment="1" pivotButton="0" quotePrefix="0" xfId="0">
      <alignment horizontal="left" vertical="center" wrapText="1"/>
    </xf>
    <xf numFmtId="0" fontId="9" fillId="11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2" borderId="0" pivotButton="0" quotePrefix="0" xfId="0"/>
    <xf numFmtId="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/>
    </xf>
    <xf numFmtId="0" fontId="13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14" fillId="2" borderId="2" pivotButton="0" quotePrefix="0" xfId="0"/>
    <xf numFmtId="0" fontId="2" fillId="2" borderId="2" applyAlignment="1" pivotButton="0" quotePrefix="0" xfId="0">
      <alignment horizontal="center" vertical="center"/>
    </xf>
    <xf numFmtId="0" fontId="14" fillId="4" borderId="2" pivotButton="0" quotePrefix="0" xfId="0"/>
    <xf numFmtId="3" fontId="2" fillId="4" borderId="2" applyAlignment="1" pivotButton="0" quotePrefix="0" xfId="0">
      <alignment horizontal="center" vertical="center"/>
    </xf>
    <xf numFmtId="0" fontId="16" fillId="11" borderId="0" pivotButton="0" quotePrefix="0" xfId="0"/>
    <xf numFmtId="0" fontId="0" fillId="4" borderId="2" pivotButton="0" quotePrefix="0" xfId="0"/>
    <xf numFmtId="0" fontId="17" fillId="2" borderId="2" applyAlignment="1" pivotButton="0" quotePrefix="0" xfId="0">
      <alignment horizontal="center"/>
    </xf>
    <xf numFmtId="0" fontId="0" fillId="2" borderId="2" pivotButton="0" quotePrefix="0" xfId="0"/>
    <xf numFmtId="164" fontId="17" fillId="2" borderId="2" applyAlignment="1" pivotButton="0" quotePrefix="0" xfId="0">
      <alignment horizontal="right"/>
    </xf>
    <xf numFmtId="0" fontId="0" fillId="0" borderId="5" pivotButton="0" quotePrefix="0" xfId="0"/>
    <xf numFmtId="164" fontId="18" fillId="6" borderId="2" applyAlignment="1" pivotButton="0" quotePrefix="0" xfId="0">
      <alignment horizontal="right" vertical="center"/>
    </xf>
    <xf numFmtId="0" fontId="19" fillId="6" borderId="2" applyAlignment="1" pivotButton="0" quotePrefix="0" xfId="0">
      <alignment horizontal="center" vertical="center"/>
    </xf>
  </cellXfs>
  <cellStyles count="1">
    <cellStyle name="Normal" xfId="0" builtinId="0" hidden="0"/>
  </cellStyles>
  <dxfs count="22">
    <dxf>
      <fill>
        <patternFill patternType="solid">
          <fgColor rgb="00F0F0F0"/>
        </patternFill>
      </fill>
    </dxf>
    <dxf>
      <font>
        <b val="1"/>
        <color rgb="001B5E20"/>
      </font>
      <fill>
        <patternFill patternType="solid">
          <fgColor rgb="00C8E6C9"/>
        </patternFill>
      </fill>
    </dxf>
    <dxf>
      <font>
        <color rgb="00757575"/>
      </font>
      <fill>
        <patternFill patternType="solid">
          <fgColor rgb="00EEEEEE"/>
        </patternFill>
      </fill>
    </dxf>
    <dxf>
      <fill>
        <patternFill patternType="solid">
          <fgColor rgb="00C8E6C9"/>
        </patternFill>
      </fill>
    </dxf>
    <dxf>
      <fill>
        <patternFill patternType="solid">
          <fgColor rgb="00FFF3E0"/>
        </patternFill>
      </fill>
    </dxf>
    <dxf>
      <fill>
        <patternFill patternType="solid">
          <fgColor rgb="00EEEEEE"/>
        </patternFill>
      </fill>
    </dxf>
    <dxf>
      <fill>
        <patternFill patternType="solid">
          <fgColor rgb="00F3E5F5"/>
        </patternFill>
      </fill>
    </dxf>
    <dxf>
      <fill>
        <patternFill patternType="solid">
          <fgColor rgb="00E0F7FA"/>
        </patternFill>
      </fill>
    </dxf>
    <dxf>
      <fill>
        <patternFill patternType="solid">
          <fgColor rgb="00FFCDD2"/>
        </patternFill>
      </fill>
    </dxf>
    <dxf>
      <fill>
        <patternFill patternType="solid">
          <fgColor rgb="00FFFF9C"/>
        </patternFill>
      </fill>
    </dxf>
    <dxf>
      <fill>
        <patternFill patternType="solid">
          <fgColor rgb="00EDE7F6"/>
        </patternFill>
      </fill>
    </dxf>
    <dxf>
      <fill>
        <patternFill patternType="solid">
          <fgColor rgb="FFFFCC80"/>
        </patternFill>
      </fill>
    </dxf>
    <dxf>
      <font>
        <name val="Arial"/>
        <b val="1"/>
        <color rgb="FF1B5E20"/>
        <sz val="10"/>
      </font>
      <fill>
        <patternFill patternType="solid">
          <fgColor rgb="FFC8E6C9"/>
        </patternFill>
      </fill>
    </dxf>
    <dxf>
      <font>
        <name val="Arial"/>
        <b val="1"/>
        <color rgb="FFFFFFFF"/>
        <sz val="10"/>
      </font>
      <fill>
        <patternFill patternType="solid">
          <fgColor rgb="FFFF8F00"/>
        </patternFill>
      </fill>
    </dxf>
    <dxf>
      <fill>
        <patternFill patternType="solid">
          <fgColor rgb="FFC8E6C9"/>
        </patternFill>
      </fill>
    </dxf>
    <dxf>
      <fill>
        <patternFill patternType="solid">
          <fgColor rgb="FFFFF3E0"/>
        </patternFill>
      </fill>
    </dxf>
    <dxf>
      <fill>
        <patternFill patternType="solid">
          <fgColor rgb="FFEEEEEE"/>
        </patternFill>
      </fill>
    </dxf>
    <dxf>
      <fill>
        <patternFill patternType="solid">
          <fgColor rgb="FFF3E5F5"/>
        </patternFill>
      </fill>
    </dxf>
    <dxf>
      <fill>
        <patternFill patternType="solid">
          <fgColor rgb="FFE0F7FA"/>
        </patternFill>
      </fill>
    </dxf>
    <dxf>
      <fill>
        <patternFill patternType="solid">
          <fgColor rgb="FFFFCDD2"/>
        </patternFill>
      </fill>
    </dxf>
    <dxf>
      <fill>
        <patternFill patternType="solid">
          <fgColor rgb="FFFFFF9C"/>
        </patternFill>
      </fill>
    </dxf>
    <dxf>
      <fill>
        <patternFill patternType="solid">
          <fgColor rgb="FFEDE7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 ht="30" customHeight="1">
      <c r="A1" s="1" t="inlineStr">
        <is>
          <t>การตั้งค่าการออกบิล</t>
        </is>
      </c>
    </row>
    <row r="2" ht="20" customHeight="1">
      <c r="A2" s="2" t="inlineStr">
        <is>
          <t>ปี (ค.ศ.)</t>
        </is>
      </c>
      <c r="B2" s="3" t="n">
        <v>2026</v>
      </c>
    </row>
    <row r="3" ht="20" customHeight="1">
      <c r="A3" s="2" t="inlineStr">
        <is>
          <t>เดือน (1-12)</t>
        </is>
      </c>
      <c r="B3" s="3" t="n">
        <v>1</v>
      </c>
    </row>
    <row r="4" ht="20" customHeight="1"/>
    <row r="5" ht="20" customHeight="1">
      <c r="A5" s="2" t="inlineStr">
        <is>
          <t>บัญชีรับเงิน (default)</t>
        </is>
      </c>
      <c r="B5" s="3" t="inlineStr">
        <is>
          <t>ACC001</t>
        </is>
      </c>
    </row>
    <row r="6" ht="20" customHeight="1">
      <c r="A6" s="2" t="inlineStr">
        <is>
          <t>กฎ billing (default)</t>
        </is>
      </c>
      <c r="B6" s="3" t="inlineStr">
        <is>
          <t>DEFAULT</t>
        </is>
      </c>
    </row>
    <row r="7" ht="20" customHeight="1">
      <c r="A7" s="2" t="inlineStr">
        <is>
          <t>โหมดน้ำ (default)</t>
        </is>
      </c>
      <c r="B7" s="3" t="inlineStr">
        <is>
          <t>NORMAL</t>
        </is>
      </c>
    </row>
    <row r="8" ht="20" customHeight="1">
      <c r="A8" s="2" t="inlineStr">
        <is>
          <t>โหมดไฟ (default)</t>
        </is>
      </c>
      <c r="B8" s="3" t="inlineStr">
        <is>
          <t>NORMAL</t>
        </is>
      </c>
    </row>
    <row r="9" ht="20" customHeight="1"/>
    <row r="10" ht="20" customHeight="1">
      <c r="A10" s="2" t="inlineStr">
        <is>
          <t>อัตราน้ำ fallback (บาท/หน่วย)</t>
        </is>
      </c>
      <c r="B10" s="3" t="n">
        <v>20</v>
      </c>
    </row>
    <row r="11" ht="20" customHeight="1">
      <c r="A11" s="2" t="inlineStr">
        <is>
          <t>ค่าน้ำขั้นต่ำ fallback (บาท)</t>
        </is>
      </c>
      <c r="B11" s="3" t="n">
        <v>120</v>
      </c>
    </row>
    <row r="12" ht="20" customHeight="1"/>
    <row r="13" ht="20" customHeight="1">
      <c r="A13" s="2" t="inlineStr">
        <is>
          <t>อัตราไฟ fallback (บาท/หน่วย)</t>
        </is>
      </c>
      <c r="B13" s="3" t="n">
        <v>20</v>
      </c>
    </row>
    <row r="14" ht="20" customHeight="1">
      <c r="A14" s="2" t="inlineStr">
        <is>
          <t>ค่าไฟขั้นต่ำ fallback (บาท)</t>
        </is>
      </c>
      <c r="B14" s="3" t="n">
        <v>65</v>
      </c>
    </row>
  </sheetData>
  <mergeCells count="1">
    <mergeCell ref="A1:B1"/>
  </mergeCells>
  <dataValidations count="5">
    <dataValidation sqref="B3" showDropDown="0" showInputMessage="0" showErrorMessage="0" allowBlank="0" type="list">
      <formula1>"1,2,3,4,5,6,7,8,9,10,11,12"</formula1>
    </dataValidation>
    <dataValidation sqref="B5" showDropDown="0" showInputMessage="0" showErrorMessage="0" allowBlank="0" type="list">
      <formula1>=ACCOUNTS!$A$2:$A$100</formula1>
    </dataValidation>
    <dataValidation sqref="B6" showDropDown="0" showInputMessage="0" showErrorMessage="0" allowBlank="0" type="list">
      <formula1>=RULES!$A$2:$A$50</formula1>
    </dataValidation>
    <dataValidation sqref="B7" showDropDown="0" showInputMessage="0" showErrorMessage="0" allowBlank="0" type="list">
      <formula1>"NORMAL,MANUAL,DISABLED,FLAT,STEP"</formula1>
    </dataValidation>
    <dataValidation sqref="B8" showDropDown="0" showInputMessage="0" showErrorMessage="0" allowBlank="0" type="list">
      <formula1>"NORMAL,MANUAL,DISABLED,FLAT,STEP"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20" customWidth="1" min="4" max="4"/>
    <col width="13" customWidth="1" min="5" max="5"/>
    <col width="26" customWidth="1" min="6" max="6"/>
  </cols>
  <sheetData>
    <row r="1" ht="28" customHeight="1">
      <c r="A1" s="4" t="inlineStr">
        <is>
          <t>บัญชีรับเงิน (ACCOUNTS)</t>
        </is>
      </c>
    </row>
    <row r="2" ht="18" customHeight="1">
      <c r="A2" s="5" t="inlineStr">
        <is>
          <t>id</t>
        </is>
      </c>
      <c r="B2" s="5" t="inlineStr">
        <is>
          <t>account_name</t>
        </is>
      </c>
      <c r="C2" s="5" t="inlineStr">
        <is>
          <t>bank</t>
        </is>
      </c>
      <c r="D2" s="5" t="inlineStr">
        <is>
          <t>account_number</t>
        </is>
      </c>
      <c r="E2" s="5" t="inlineStr">
        <is>
          <t>is_default</t>
        </is>
      </c>
      <c r="F2" s="5" t="inlineStr">
        <is>
          <t>note</t>
        </is>
      </c>
    </row>
    <row r="3" ht="22" customHeight="1">
      <c r="A3" s="6" t="inlineStr">
        <is>
          <t>รหัส</t>
        </is>
      </c>
      <c r="B3" s="6" t="inlineStr">
        <is>
          <t>ชื่อบัญชี</t>
        </is>
      </c>
      <c r="C3" s="6" t="inlineStr">
        <is>
          <t>ธนาคาร</t>
        </is>
      </c>
      <c r="D3" s="6" t="inlineStr">
        <is>
          <t>หมายเลขบัญชี</t>
        </is>
      </c>
      <c r="E3" s="6" t="inlineStr">
        <is>
          <t>ค่าเริ่มต้น</t>
        </is>
      </c>
      <c r="F3" s="6" t="inlineStr">
        <is>
          <t>หมายเหตุ</t>
        </is>
      </c>
    </row>
    <row r="4" ht="18" customHeight="1">
      <c r="A4" s="34" t="inlineStr">
        <is>
          <t>ACC001</t>
        </is>
      </c>
      <c r="B4" s="34" t="inlineStr">
        <is>
          <t>บัญชีชั้น 1</t>
        </is>
      </c>
      <c r="C4" s="34" t="inlineStr">
        <is>
          <t>กสิกรไทย</t>
        </is>
      </c>
      <c r="D4" s="34" t="inlineStr">
        <is>
          <t>xxx-x-xxxxx-x</t>
        </is>
      </c>
      <c r="E4" s="34" t="inlineStr">
        <is>
          <t>YES</t>
        </is>
      </c>
      <c r="F4" s="34" t="inlineStr">
        <is>
          <t>ชั้น 1</t>
        </is>
      </c>
    </row>
    <row r="5" ht="18" customHeight="1">
      <c r="A5" s="34" t="inlineStr">
        <is>
          <t>ACC002</t>
        </is>
      </c>
      <c r="B5" s="34" t="inlineStr">
        <is>
          <t>บัญชีชั้น 2</t>
        </is>
      </c>
      <c r="C5" s="34" t="inlineStr">
        <is>
          <t>กสิกรไทย</t>
        </is>
      </c>
      <c r="D5" s="34" t="inlineStr">
        <is>
          <t>xxx-x-xxxxx-x</t>
        </is>
      </c>
      <c r="E5" s="34" t="inlineStr">
        <is>
          <t>NO</t>
        </is>
      </c>
      <c r="F5" s="34" t="inlineStr">
        <is>
          <t>ชั้น 2</t>
        </is>
      </c>
    </row>
    <row r="6" ht="18" customHeight="1">
      <c r="A6" s="34" t="inlineStr">
        <is>
          <t>ACC003</t>
        </is>
      </c>
      <c r="B6" s="34" t="inlineStr">
        <is>
          <t>บัญชีชั้น 3</t>
        </is>
      </c>
      <c r="C6" s="34" t="inlineStr">
        <is>
          <t>กสิกรไทย</t>
        </is>
      </c>
      <c r="D6" s="34" t="inlineStr">
        <is>
          <t>xxx-x-xxxxx-x</t>
        </is>
      </c>
      <c r="E6" s="34" t="inlineStr">
        <is>
          <t>NO</t>
        </is>
      </c>
      <c r="F6" s="34" t="inlineStr">
        <is>
          <t>ชั้น 3</t>
        </is>
      </c>
    </row>
    <row r="7" ht="18" customHeight="1">
      <c r="A7" s="34" t="inlineStr">
        <is>
          <t>ACC004</t>
        </is>
      </c>
      <c r="B7" s="34" t="inlineStr">
        <is>
          <t>บัญชีชั้น 4</t>
        </is>
      </c>
      <c r="C7" s="34" t="inlineStr">
        <is>
          <t>กสิกรไทย</t>
        </is>
      </c>
      <c r="D7" s="34" t="inlineStr">
        <is>
          <t>xxx-x-xxxxx-x</t>
        </is>
      </c>
      <c r="E7" s="34" t="inlineStr">
        <is>
          <t>NO</t>
        </is>
      </c>
      <c r="F7" s="34" t="inlineStr">
        <is>
          <t>ชั้น 4</t>
        </is>
      </c>
    </row>
    <row r="8" ht="18" customHeight="1">
      <c r="A8" s="34" t="inlineStr">
        <is>
          <t>ACC005</t>
        </is>
      </c>
      <c r="B8" s="34" t="inlineStr">
        <is>
          <t>บัญชีชั้น 5</t>
        </is>
      </c>
      <c r="C8" s="34" t="inlineStr">
        <is>
          <t>กสิกรไทย</t>
        </is>
      </c>
      <c r="D8" s="34" t="inlineStr">
        <is>
          <t>xxx-x-xxxxx-x</t>
        </is>
      </c>
      <c r="E8" s="34" t="inlineStr">
        <is>
          <t>NO</t>
        </is>
      </c>
      <c r="F8" s="34" t="inlineStr">
        <is>
          <t>ชั้น 5</t>
        </is>
      </c>
    </row>
    <row r="9" ht="18" customHeight="1">
      <c r="A9" s="34" t="inlineStr">
        <is>
          <t>ACC006</t>
        </is>
      </c>
      <c r="B9" s="34" t="inlineStr">
        <is>
          <t>บัญชีชั้น 6</t>
        </is>
      </c>
      <c r="C9" s="34" t="inlineStr">
        <is>
          <t>กสิกรไทย</t>
        </is>
      </c>
      <c r="D9" s="34" t="inlineStr">
        <is>
          <t>xxx-x-xxxxx-x</t>
        </is>
      </c>
      <c r="E9" s="34" t="inlineStr">
        <is>
          <t>NO</t>
        </is>
      </c>
      <c r="F9" s="34" t="inlineStr">
        <is>
          <t>ชั้น 6</t>
        </is>
      </c>
    </row>
    <row r="10" ht="18" customHeight="1">
      <c r="A10" s="34" t="inlineStr">
        <is>
          <t>ACC007</t>
        </is>
      </c>
      <c r="B10" s="34" t="inlineStr">
        <is>
          <t>บัญชีชั้น 7</t>
        </is>
      </c>
      <c r="C10" s="34" t="inlineStr">
        <is>
          <t>กสิกรไทย</t>
        </is>
      </c>
      <c r="D10" s="34" t="inlineStr">
        <is>
          <t>xxx-x-xxxxx-x</t>
        </is>
      </c>
      <c r="E10" s="34" t="inlineStr">
        <is>
          <t>NO</t>
        </is>
      </c>
      <c r="F10" s="34" t="inlineStr">
        <is>
          <t>ชั้น 7</t>
        </is>
      </c>
    </row>
    <row r="11" ht="18" customHeight="1">
      <c r="A11" s="34" t="inlineStr">
        <is>
          <t>ACC008</t>
        </is>
      </c>
      <c r="B11" s="34" t="inlineStr">
        <is>
          <t>บัญชีชั้น 8</t>
        </is>
      </c>
      <c r="C11" s="34" t="inlineStr">
        <is>
          <t>กสิกรไทย</t>
        </is>
      </c>
      <c r="D11" s="34" t="inlineStr">
        <is>
          <t>xxx-x-xxxxx-x</t>
        </is>
      </c>
      <c r="E11" s="34" t="inlineStr">
        <is>
          <t>NO</t>
        </is>
      </c>
      <c r="F11" s="34" t="inlineStr">
        <is>
          <t>ชั้น 8</t>
        </is>
      </c>
    </row>
  </sheetData>
  <mergeCells count="1">
    <mergeCell ref="A1:F1"/>
  </mergeCells>
  <dataValidations count="2">
    <dataValidation sqref="C2:C30" showDropDown="0" showInputMessage="0" showErrorMessage="0" allowBlank="0" type="list">
      <formula1>"กสิกรไทย,ไทยพาณิชย์,กรุงไทย,กรุงเทพ,ทหารไทยธนชาต,ออมสิน,UOB,CIMB,ธ.ก.ส."</formula1>
    </dataValidation>
    <dataValidation sqref="E2:E3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11" customWidth="1" min="26" max="26"/>
    <col width="9" customWidth="1" min="27" max="27"/>
    <col width="9" customWidth="1" min="28" max="28"/>
    <col width="24" customWidth="1" min="29" max="29"/>
  </cols>
  <sheetData>
    <row r="1" ht="28" customHeight="1">
      <c r="A1" s="4" t="inlineStr">
        <is>
          <t>กฎการคิดค่าน้ำค่าไฟ (RULES)</t>
        </is>
      </c>
    </row>
    <row r="2" ht="32" customHeight="1">
      <c r="A2" s="9" t="inlineStr">
        <is>
          <t>code</t>
        </is>
      </c>
      <c r="B2" s="9" t="inlineStr">
        <is>
          <t>description</t>
        </is>
      </c>
      <c r="C2" s="9" t="inlineStr">
        <is>
          <t>water_mode</t>
        </is>
      </c>
      <c r="D2" s="9" t="inlineStr">
        <is>
          <t>water_rate</t>
        </is>
      </c>
      <c r="E2" s="9" t="inlineStr">
        <is>
          <t>water_min_charge</t>
        </is>
      </c>
      <c r="F2" s="9" t="inlineStr">
        <is>
          <t>water_flat_amount</t>
        </is>
      </c>
      <c r="G2" s="9" t="inlineStr">
        <is>
          <t>water_s1_upto</t>
        </is>
      </c>
      <c r="H2" s="9" t="inlineStr">
        <is>
          <t>water_s1_rate</t>
        </is>
      </c>
      <c r="I2" s="9" t="inlineStr">
        <is>
          <t>water_s2_upto</t>
        </is>
      </c>
      <c r="J2" s="9" t="inlineStr">
        <is>
          <t>water_s2_rate</t>
        </is>
      </c>
      <c r="K2" s="9" t="inlineStr">
        <is>
          <t>water_s3_upto</t>
        </is>
      </c>
      <c r="L2" s="9" t="inlineStr">
        <is>
          <t>water_s3_rate</t>
        </is>
      </c>
      <c r="M2" s="9" t="inlineStr">
        <is>
          <t>water_fee_mode</t>
        </is>
      </c>
      <c r="N2" s="9" t="inlineStr">
        <is>
          <t>water_fee_amount</t>
        </is>
      </c>
      <c r="O2" s="9" t="inlineStr">
        <is>
          <t>water_fee_per_unit</t>
        </is>
      </c>
      <c r="P2" s="9" t="inlineStr">
        <is>
          <t>electric_mode</t>
        </is>
      </c>
      <c r="Q2" s="9" t="inlineStr">
        <is>
          <t>electric_rate</t>
        </is>
      </c>
      <c r="R2" s="9" t="inlineStr">
        <is>
          <t>electric_min_charge</t>
        </is>
      </c>
      <c r="S2" s="9" t="inlineStr">
        <is>
          <t>electric_flat_amount</t>
        </is>
      </c>
      <c r="T2" s="9" t="inlineStr">
        <is>
          <t>electric_s1_upto</t>
        </is>
      </c>
      <c r="U2" s="9" t="inlineStr">
        <is>
          <t>electric_s1_rate</t>
        </is>
      </c>
      <c r="V2" s="9" t="inlineStr">
        <is>
          <t>electric_s2_upto</t>
        </is>
      </c>
      <c r="W2" s="9" t="inlineStr">
        <is>
          <t>electric_s2_rate</t>
        </is>
      </c>
      <c r="X2" s="9" t="inlineStr">
        <is>
          <t>electric_s3_upto</t>
        </is>
      </c>
      <c r="Y2" s="9" t="inlineStr">
        <is>
          <t>electric_s3_rate</t>
        </is>
      </c>
      <c r="Z2" s="9" t="inlineStr">
        <is>
          <t>electric_fee_mode</t>
        </is>
      </c>
      <c r="AA2" s="9" t="inlineStr">
        <is>
          <t>electric_fee_amount</t>
        </is>
      </c>
      <c r="AB2" s="9" t="inlineStr">
        <is>
          <t>electric_fee_per_unit</t>
        </is>
      </c>
      <c r="AC2" s="9" t="inlineStr">
        <is>
          <t>note</t>
        </is>
      </c>
    </row>
    <row r="3" ht="28" customHeight="1">
      <c r="A3" s="10" t="inlineStr">
        <is>
          <t>รหัส</t>
        </is>
      </c>
      <c r="B3" s="10" t="inlineStr">
        <is>
          <t>คำอธิบาย</t>
        </is>
      </c>
      <c r="C3" s="10" t="inlineStr">
        <is>
          <t>โหมดน้ำ</t>
        </is>
      </c>
      <c r="D3" s="10" t="inlineStr">
        <is>
          <t>อัตราน้ำ</t>
        </is>
      </c>
      <c r="E3" s="10" t="inlineStr">
        <is>
          <t>ค่าน้ำขั้นต่ำ</t>
        </is>
      </c>
      <c r="F3" s="10" t="inlineStr">
        <is>
          <t>ค่าน้ำ(FLAT)</t>
        </is>
      </c>
      <c r="G3" s="10" t="inlineStr">
        <is>
          <t>s1 ถึง</t>
        </is>
      </c>
      <c r="H3" s="10" t="inlineStr">
        <is>
          <t>s1 rate</t>
        </is>
      </c>
      <c r="I3" s="10" t="inlineStr">
        <is>
          <t>s2 ถึง</t>
        </is>
      </c>
      <c r="J3" s="10" t="inlineStr">
        <is>
          <t>s2 rate</t>
        </is>
      </c>
      <c r="K3" s="10" t="inlineStr">
        <is>
          <t>s3 ถึง</t>
        </is>
      </c>
      <c r="L3" s="10" t="inlineStr">
        <is>
          <t>s3 rate</t>
        </is>
      </c>
      <c r="M3" s="10" t="inlineStr">
        <is>
          <t>ค่าบริการน้ำ</t>
        </is>
      </c>
      <c r="N3" s="10" t="inlineStr">
        <is>
          <t>จำนวน(FLAT)</t>
        </is>
      </c>
      <c r="O3" s="10" t="inlineStr">
        <is>
          <t>ต่อหน่วย</t>
        </is>
      </c>
      <c r="P3" s="10" t="inlineStr">
        <is>
          <t>โหมดไฟ</t>
        </is>
      </c>
      <c r="Q3" s="10" t="inlineStr">
        <is>
          <t>อัตราไฟ</t>
        </is>
      </c>
      <c r="R3" s="10" t="inlineStr">
        <is>
          <t>ค่าไฟขั้นต่ำ</t>
        </is>
      </c>
      <c r="S3" s="10" t="inlineStr">
        <is>
          <t>ค่าไฟ(FLAT)</t>
        </is>
      </c>
      <c r="T3" s="10" t="inlineStr">
        <is>
          <t>s1 ถึง</t>
        </is>
      </c>
      <c r="U3" s="10" t="inlineStr">
        <is>
          <t>s1 rate</t>
        </is>
      </c>
      <c r="V3" s="10" t="inlineStr">
        <is>
          <t>s2 ถึง</t>
        </is>
      </c>
      <c r="W3" s="10" t="inlineStr">
        <is>
          <t>s2 rate</t>
        </is>
      </c>
      <c r="X3" s="10" t="inlineStr">
        <is>
          <t>s3 ถึง</t>
        </is>
      </c>
      <c r="Y3" s="10" t="inlineStr">
        <is>
          <t>s3 rate</t>
        </is>
      </c>
      <c r="Z3" s="10" t="inlineStr">
        <is>
          <t>ค่าบริการไฟ</t>
        </is>
      </c>
      <c r="AA3" s="10" t="inlineStr">
        <is>
          <t>จำนวน(FLAT)</t>
        </is>
      </c>
      <c r="AB3" s="10" t="inlineStr">
        <is>
          <t>ต่อหน่วย</t>
        </is>
      </c>
      <c r="AC3" s="10" t="inlineStr">
        <is>
          <t>หมายเหตุ</t>
        </is>
      </c>
    </row>
    <row r="4" ht="18" customHeight="1">
      <c r="A4" s="11" t="inlineStr">
        <is>
          <t>DEFAULT</t>
        </is>
      </c>
      <c r="B4" s="7" t="inlineStr">
        <is>
          <t>กฎปกติทั่วไป</t>
        </is>
      </c>
      <c r="C4" s="12" t="inlineStr">
        <is>
          <t>NORMAL</t>
        </is>
      </c>
      <c r="D4" s="8" t="n">
        <v>20</v>
      </c>
      <c r="E4" s="8" t="n">
        <v>120</v>
      </c>
      <c r="F4" s="7" t="n"/>
      <c r="G4" s="7" t="n"/>
      <c r="H4" s="7" t="n"/>
      <c r="I4" s="7" t="n"/>
      <c r="J4" s="7" t="n"/>
      <c r="K4" s="7" t="n"/>
      <c r="L4" s="7" t="n"/>
      <c r="M4" s="13" t="inlineStr">
        <is>
          <t>FLAT</t>
        </is>
      </c>
      <c r="N4" s="8" t="n">
        <v>50</v>
      </c>
      <c r="O4" s="7" t="n"/>
      <c r="P4" s="12" t="inlineStr">
        <is>
          <t>NORMAL</t>
        </is>
      </c>
      <c r="Q4" s="8" t="n">
        <v>20</v>
      </c>
      <c r="R4" s="8" t="n">
        <v>65</v>
      </c>
      <c r="S4" s="7" t="n"/>
      <c r="T4" s="7" t="n"/>
      <c r="U4" s="7" t="n"/>
      <c r="V4" s="7" t="n"/>
      <c r="W4" s="7" t="n"/>
      <c r="X4" s="7" t="n"/>
      <c r="Y4" s="7" t="n"/>
      <c r="Z4" s="13" t="inlineStr">
        <is>
          <t>FLAT</t>
        </is>
      </c>
      <c r="AA4" s="8" t="n">
        <v>50</v>
      </c>
      <c r="AB4" s="7" t="n"/>
      <c r="AC4" s="7" t="inlineStr">
        <is>
          <t>กฎมาตรฐานทั้งอาคาร</t>
        </is>
      </c>
    </row>
    <row r="5" ht="18" customHeight="1">
      <c r="A5" s="11" t="inlineStr">
        <is>
          <t>OWNER</t>
        </is>
      </c>
      <c r="B5" s="7" t="inlineStr">
        <is>
          <t>ห้องเจ้าของ / ยกเว้นค่าน้ำไฟ</t>
        </is>
      </c>
      <c r="C5" s="14" t="inlineStr">
        <is>
          <t>DISABLED</t>
        </is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13" t="inlineStr">
        <is>
          <t>NONE</t>
        </is>
      </c>
      <c r="N5" s="7" t="n"/>
      <c r="O5" s="7" t="n"/>
      <c r="P5" s="14" t="inlineStr">
        <is>
          <t>DISABLED</t>
        </is>
      </c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13" t="inlineStr">
        <is>
          <t>NONE</t>
        </is>
      </c>
      <c r="AA5" s="7" t="n"/>
      <c r="AB5" s="7" t="n"/>
      <c r="AC5" s="7" t="inlineStr">
        <is>
          <t>ห้องเจ้าของ ไม่คิดค่าน้ำและไฟ</t>
        </is>
      </c>
    </row>
    <row r="6" ht="18" customHeight="1">
      <c r="A6" s="11" t="inlineStr">
        <is>
          <t>STEP_W</t>
        </is>
      </c>
      <c r="B6" s="7" t="inlineStr">
        <is>
          <t>น้ำขั้นบันได (ตัวอย่าง)</t>
        </is>
      </c>
      <c r="C6" s="15" t="inlineStr">
        <is>
          <t>STEP</t>
        </is>
      </c>
      <c r="D6" s="7" t="n"/>
      <c r="E6" s="8" t="n">
        <v>120</v>
      </c>
      <c r="F6" s="7" t="n"/>
      <c r="G6" s="8" t="n">
        <v>10</v>
      </c>
      <c r="H6" s="8" t="n">
        <v>15</v>
      </c>
      <c r="I6" s="8" t="n">
        <v>30</v>
      </c>
      <c r="J6" s="8" t="n">
        <v>18</v>
      </c>
      <c r="K6" s="8" t="n">
        <v>999</v>
      </c>
      <c r="L6" s="8" t="n">
        <v>22</v>
      </c>
      <c r="M6" s="13" t="inlineStr">
        <is>
          <t>FLAT</t>
        </is>
      </c>
      <c r="N6" s="8" t="n">
        <v>50</v>
      </c>
      <c r="O6" s="7" t="n"/>
      <c r="P6" s="12" t="inlineStr">
        <is>
          <t>NORMAL</t>
        </is>
      </c>
      <c r="Q6" s="8" t="n">
        <v>20</v>
      </c>
      <c r="R6" s="8" t="n">
        <v>65</v>
      </c>
      <c r="S6" s="7" t="n"/>
      <c r="T6" s="7" t="n"/>
      <c r="U6" s="7" t="n"/>
      <c r="V6" s="7" t="n"/>
      <c r="W6" s="7" t="n"/>
      <c r="X6" s="7" t="n"/>
      <c r="Y6" s="7" t="n"/>
      <c r="Z6" s="13" t="inlineStr">
        <is>
          <t>FLAT</t>
        </is>
      </c>
      <c r="AA6" s="8" t="n">
        <v>50</v>
      </c>
      <c r="AB6" s="7" t="n"/>
      <c r="AC6" s="7" t="inlineStr">
        <is>
          <t>น้ำขั้นบันได 3 ระดับ — ตั้งค่าในคอลัมน์ s1/s2/s3</t>
        </is>
      </c>
    </row>
    <row r="7" ht="18" customHeight="1">
      <c r="A7" s="11" t="inlineStr">
        <is>
          <t>FREE_UTIL</t>
        </is>
      </c>
      <c r="B7" s="7" t="inlineStr">
        <is>
          <t>ฟรีน้ำและไฟ</t>
        </is>
      </c>
      <c r="C7" s="16" t="inlineStr">
        <is>
          <t>FLAT</t>
        </is>
      </c>
      <c r="D7" s="7" t="n"/>
      <c r="E7" s="7" t="n"/>
      <c r="F7" s="8" t="n">
        <v>0</v>
      </c>
      <c r="G7" s="7" t="n"/>
      <c r="H7" s="7" t="n"/>
      <c r="I7" s="7" t="n"/>
      <c r="J7" s="7" t="n"/>
      <c r="K7" s="7" t="n"/>
      <c r="L7" s="7" t="n"/>
      <c r="M7" s="13" t="inlineStr">
        <is>
          <t>NONE</t>
        </is>
      </c>
      <c r="N7" s="7" t="n"/>
      <c r="O7" s="7" t="n"/>
      <c r="P7" s="16" t="inlineStr">
        <is>
          <t>FLAT</t>
        </is>
      </c>
      <c r="Q7" s="7" t="n"/>
      <c r="R7" s="7" t="n"/>
      <c r="S7" s="8" t="n">
        <v>0</v>
      </c>
      <c r="T7" s="7" t="n"/>
      <c r="U7" s="7" t="n"/>
      <c r="V7" s="7" t="n"/>
      <c r="W7" s="7" t="n"/>
      <c r="X7" s="7" t="n"/>
      <c r="Y7" s="7" t="n"/>
      <c r="Z7" s="13" t="inlineStr">
        <is>
          <t>NONE</t>
        </is>
      </c>
      <c r="AA7" s="7" t="n"/>
      <c r="AB7" s="7" t="n"/>
      <c r="AC7" s="7" t="inlineStr">
        <is>
          <t>ฟรีค่าน้ำและไฟ</t>
        </is>
      </c>
    </row>
  </sheetData>
  <mergeCells count="1">
    <mergeCell ref="A1:AC1"/>
  </mergeCells>
  <dataValidations count="4">
    <dataValidation sqref="C4:C50" showDropDown="0" showInputMessage="0" showErrorMessage="0" allowBlank="0" type="list">
      <formula1>"NORMAL,MANUAL,DISABLED,FLAT,STEP"</formula1>
    </dataValidation>
    <dataValidation sqref="M4:M50" showDropDown="0" showInputMessage="0" showErrorMessage="0" allowBlank="0" type="list">
      <formula1>"NONE,FLAT,PER_UNIT,MANUAL"</formula1>
    </dataValidation>
    <dataValidation sqref="P4:P50" showDropDown="0" showInputMessage="0" showErrorMessage="0" allowBlank="0" type="list">
      <formula1>"NORMAL,MANUAL,DISABLED,FLAT,STEP"</formula1>
    </dataValidation>
    <dataValidation sqref="Z4:Z50" showDropDown="0" showInputMessage="0" showErrorMessage="0" allowBlank="0" type="list">
      <formula1>"NONE,FLAT,PER_UNIT,MANUAL"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9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1" customWidth="1" min="12" max="12"/>
    <col width="11" customWidth="1" min="13" max="13"/>
    <col width="10" customWidth="1" min="14" max="14"/>
    <col width="8" customWidth="1" min="15" max="15"/>
    <col width="8" customWidth="1" min="16" max="16"/>
    <col width="8" customWidth="1" min="17" max="17"/>
    <col width="10" customWidth="1" min="18" max="18"/>
    <col width="10" customWidth="1" min="19" max="19"/>
    <col width="11" customWidth="1" min="20" max="20"/>
    <col width="11" customWidth="1" min="21" max="21"/>
    <col width="9" customWidth="1" min="22" max="22"/>
    <col width="9" customWidth="1" min="23" max="23"/>
    <col width="11" customWidth="1" min="24" max="24"/>
    <col width="16" customWidth="1" min="25" max="25"/>
    <col width="22" customWidth="1" min="26" max="26"/>
    <col hidden="1" width="0.5" customWidth="1" min="27" max="27"/>
    <col hidden="1" width="0.5" customWidth="1" min="28" max="28"/>
    <col hidden="1" width="0.5" customWidth="1" min="29" max="29"/>
    <col hidden="1" width="0.5" customWidth="1" min="30" max="30"/>
    <col hidden="1" width="0.5" customWidth="1" min="31" max="31"/>
    <col hidden="1" width="0.5" customWidth="1" min="32" max="32"/>
    <col hidden="1" width="0.5" customWidth="1" min="33" max="33"/>
    <col hidden="1" width="0.5" customWidth="1" min="34" max="34"/>
    <col hidden="1" width="0.5" customWidth="1" min="35" max="35"/>
    <col hidden="1" width="0.5" customWidth="1" min="36" max="36"/>
    <col hidden="1" width="0.5" customWidth="1" min="37" max="37"/>
    <col hidden="1" width="0.5" customWidth="1" min="38" max="38"/>
    <col hidden="1" width="0.5" customWidth="1" min="39" max="39"/>
    <col hidden="1" width="0.5" customWidth="1" min="40" max="40"/>
    <col hidden="1" width="0.5" customWidth="1" min="41" max="41"/>
    <col hidden="1" width="0.5" customWidth="1" min="42" max="42"/>
    <col hidden="1" width="0.5" customWidth="1" min="43" max="43"/>
    <col hidden="1" width="0.5" customWidth="1" min="44" max="44"/>
    <col hidden="1" width="0.5" customWidth="1" min="45" max="45"/>
    <col hidden="1" width="0.5" customWidth="1" min="46" max="46"/>
    <col hidden="1" width="0.5" customWidth="1" min="47" max="47"/>
    <col hidden="1" width="0.5" customWidth="1" min="48" max="48"/>
    <col hidden="1" width="0.5" customWidth="1" min="49" max="49"/>
    <col hidden="1" width="0.5" customWidth="1" min="50" max="50"/>
    <col hidden="1" width="0.5" customWidth="1" min="51" max="51"/>
    <col hidden="1" width="0.5" customWidth="1" min="52" max="52"/>
    <col hidden="1" width="0.5" customWidth="1" min="53" max="53"/>
  </cols>
  <sheetData>
    <row r="1" ht="28" customHeight="1">
      <c r="A1" s="1" t="inlineStr">
        <is>
          <t>ข้อมูลบิล ชั้น 1</t>
        </is>
      </c>
    </row>
    <row r="2" ht="20" customHeight="1">
      <c r="A2" s="9" t="inlineStr">
        <is>
          <t>room</t>
        </is>
      </c>
      <c r="B2" s="9" t="inlineStr">
        <is>
          <t>account_id</t>
        </is>
      </c>
      <c r="C2" s="9" t="inlineStr">
        <is>
          <t>rule_code</t>
        </is>
      </c>
      <c r="D2" s="9" t="inlineStr">
        <is>
          <t>rent_amount</t>
        </is>
      </c>
      <c r="E2" s="9" t="inlineStr">
        <is>
          <t>room_status</t>
        </is>
      </c>
      <c r="F2" s="9" t="inlineStr">
        <is>
          <t>water_mode</t>
        </is>
      </c>
      <c r="G2" s="9" t="inlineStr">
        <is>
          <t>water_prev</t>
        </is>
      </c>
      <c r="H2" s="9" t="inlineStr">
        <is>
          <t>water_curr</t>
        </is>
      </c>
      <c r="I2" s="9" t="inlineStr">
        <is>
          <t>water_units</t>
        </is>
      </c>
      <c r="J2" s="9" t="inlineStr">
        <is>
          <t>water_units_manual</t>
        </is>
      </c>
      <c r="K2" s="9" t="inlineStr">
        <is>
          <t>water_charge</t>
        </is>
      </c>
      <c r="L2" s="9" t="inlineStr">
        <is>
          <t>water_fee</t>
        </is>
      </c>
      <c r="M2" s="9" t="inlineStr">
        <is>
          <t>water_fee_manual</t>
        </is>
      </c>
      <c r="N2" s="9" t="inlineStr">
        <is>
          <t>electric_mode</t>
        </is>
      </c>
      <c r="O2" s="9" t="inlineStr">
        <is>
          <t>electric_prev</t>
        </is>
      </c>
      <c r="P2" s="9" t="inlineStr">
        <is>
          <t>electric_curr</t>
        </is>
      </c>
      <c r="Q2" s="9" t="inlineStr">
        <is>
          <t>electric_units</t>
        </is>
      </c>
      <c r="R2" s="9" t="inlineStr">
        <is>
          <t>electric_units_manual</t>
        </is>
      </c>
      <c r="S2" s="9" t="inlineStr">
        <is>
          <t>electric_charge</t>
        </is>
      </c>
      <c r="T2" s="9" t="inlineStr">
        <is>
          <t>electric_fee</t>
        </is>
      </c>
      <c r="U2" s="9" t="inlineStr">
        <is>
          <t>electric_fee_manual</t>
        </is>
      </c>
      <c r="V2" s="9" t="inlineStr">
        <is>
          <t>furniture_fee</t>
        </is>
      </c>
      <c r="W2" s="9" t="inlineStr">
        <is>
          <t>other_fee</t>
        </is>
      </c>
      <c r="X2" s="9" t="inlineStr">
        <is>
          <t>total_due</t>
        </is>
      </c>
      <c r="Y2" s="9" t="inlineStr">
        <is>
          <t>note</t>
        </is>
      </c>
      <c r="Z2" s="9" t="inlineStr">
        <is>
          <t>check_notes</t>
        </is>
      </c>
      <c r="AA2" s="21" t="inlineStr">
        <is>
          <t>_helpers (hidden)</t>
        </is>
      </c>
    </row>
    <row r="3" ht="22" customHeight="1">
      <c r="A3" s="10" t="inlineStr">
        <is>
          <t>เลขห้อง</t>
        </is>
      </c>
      <c r="B3" s="10" t="inlineStr">
        <is>
          <t>บัญชีรับเงิน</t>
        </is>
      </c>
      <c r="C3" s="10" t="inlineStr">
        <is>
          <t>กฎ billing</t>
        </is>
      </c>
      <c r="D3" s="10" t="inlineStr">
        <is>
          <t>ค่าเช่า (กรอกเอง)</t>
        </is>
      </c>
      <c r="E3" s="10" t="inlineStr">
        <is>
          <t>สถานะ</t>
        </is>
      </c>
      <c r="F3" s="10" t="inlineStr">
        <is>
          <t>โหมดน้ำ</t>
        </is>
      </c>
      <c r="G3" s="10" t="inlineStr">
        <is>
          <t>น้ำก่อน</t>
        </is>
      </c>
      <c r="H3" s="10" t="inlineStr">
        <is>
          <t>น้ำหลัง</t>
        </is>
      </c>
      <c r="I3" s="10" t="inlineStr">
        <is>
          <t>ใช้น้ำ</t>
        </is>
      </c>
      <c r="J3" s="10" t="inlineStr">
        <is>
          <t>units น้ำ(manual)</t>
        </is>
      </c>
      <c r="K3" s="10" t="inlineStr">
        <is>
          <t>ค่าน้ำ</t>
        </is>
      </c>
      <c r="L3" s="10" t="inlineStr">
        <is>
          <t>ค่าบริการน้ำ</t>
        </is>
      </c>
      <c r="M3" s="10" t="inlineStr">
        <is>
          <t>ค่าบริการน้ำ(M)</t>
        </is>
      </c>
      <c r="N3" s="10" t="inlineStr">
        <is>
          <t>โหมดไฟ</t>
        </is>
      </c>
      <c r="O3" s="10" t="inlineStr">
        <is>
          <t>ไฟก่อน</t>
        </is>
      </c>
      <c r="P3" s="10" t="inlineStr">
        <is>
          <t>ไฟหลัง</t>
        </is>
      </c>
      <c r="Q3" s="10" t="inlineStr">
        <is>
          <t>ใช้ไฟ</t>
        </is>
      </c>
      <c r="R3" s="10" t="inlineStr">
        <is>
          <t>units ไฟ(manual)</t>
        </is>
      </c>
      <c r="S3" s="10" t="inlineStr">
        <is>
          <t>ค่าไฟ</t>
        </is>
      </c>
      <c r="T3" s="10" t="inlineStr">
        <is>
          <t>ค่าบริการไฟ</t>
        </is>
      </c>
      <c r="U3" s="10" t="inlineStr">
        <is>
          <t>ค่าบริการไฟ(M)</t>
        </is>
      </c>
      <c r="V3" s="10" t="inlineStr">
        <is>
          <t>ค่าเฟอร์</t>
        </is>
      </c>
      <c r="W3" s="10" t="inlineStr">
        <is>
          <t>อื่นๆ</t>
        </is>
      </c>
      <c r="X3" s="10" t="inlineStr">
        <is>
          <t>รวมเงิน</t>
        </is>
      </c>
      <c r="Y3" s="10" t="inlineStr">
        <is>
          <t>หมายเหตุ</t>
        </is>
      </c>
      <c r="Z3" s="10" t="inlineStr">
        <is>
          <t>ตรวจสอบ</t>
        </is>
      </c>
    </row>
    <row r="4" ht="17" customHeight="1">
      <c r="A4" s="22" t="inlineStr">
        <is>
          <t>798/1</t>
        </is>
      </c>
      <c r="B4" s="48" t="inlineStr">
        <is>
          <t>ACC001</t>
        </is>
      </c>
      <c r="C4" s="48" t="inlineStr">
        <is>
          <t>DEFAULT</t>
        </is>
      </c>
      <c r="D4" s="47" t="n"/>
      <c r="E4" s="22">
        <f>IF(OR(D4="",D4=0),"INACTIVE","ACTIVE")</f>
        <v/>
      </c>
      <c r="F4" s="48" t="inlineStr">
        <is>
          <t>NORMAL</t>
        </is>
      </c>
      <c r="G4" s="25" t="n"/>
      <c r="H4" s="25" t="n"/>
      <c r="I4" s="26">
        <f>IF(OR(E4="INACTIVE",H4=""),0,MAX(0,H4-G4))</f>
        <v/>
      </c>
      <c r="J4" s="23" t="n"/>
      <c r="K4" s="26">
        <f>IF(OR(E4="INACTIVE",H4=""),0,IF(AB4="DISABLED",0,IF(AB4="FLAT",AE4,IF(AB4="MANUAL",IF(J4="",0,J4*AC4),IF(AB4="STEP",IF(I4&lt;=AF4,I4*AG4,IF(I4&lt;=AH4,AF4*AG4+(I4-AF4)*AI4,AF4*AG4+(AH4-AF4)*AI4+(I4-AH4)*AK4)),MAX(I4*AC4,AD4))))))</f>
        <v/>
      </c>
      <c r="L4" s="26">
        <f>IF(OR(E4="INACTIVE",H4=""),0,IF(AL4="NONE",0,IF(AL4="FLAT",AM4,IF(AL4="PER_UNIT",I4*AN4,IF(AL4="MANUAL",IF(M4="",0,M4),0)))))</f>
        <v/>
      </c>
      <c r="M4" s="23" t="n"/>
      <c r="N4" s="48" t="inlineStr">
        <is>
          <t>NORMAL</t>
        </is>
      </c>
      <c r="O4" s="25" t="n"/>
      <c r="P4" s="25" t="n"/>
      <c r="Q4" s="26">
        <f>IF(OR(E4="INACTIVE",P4=""),0,MAX(0,P4-O4))</f>
        <v/>
      </c>
      <c r="R4" s="23" t="n"/>
      <c r="S4" s="26">
        <f>IF(OR(E4="INACTIVE",P4=""),0,IF(AO4="DISABLED",0,IF(AO4="FLAT",AR4,IF(AO4="MANUAL",IF(R4="",0,R4*AP4),IF(AO4="STEP",IF(Q4&lt;=AS4,Q4*AT4,IF(Q4&lt;=AU4,AS4*AT4+(Q4-AS4)*AV4,AS4*AT4+(AU4-AS4)*AV4+(Q4-AU4)*AX4)),MAX(Q4*AP4,AQ4))))))</f>
        <v/>
      </c>
      <c r="T4" s="26">
        <f>IF(OR(E4="INACTIVE",P4=""),0,IF(AY4="NONE",0,IF(AY4="FLAT",AZ4,IF(AY4="PER_UNIT",Q4*BA4,IF(AY4="MANUAL",IF(U4="",0,U4),0)))))</f>
        <v/>
      </c>
      <c r="U4" s="23" t="n"/>
      <c r="V4" s="25" t="n"/>
      <c r="W4" s="25" t="n"/>
      <c r="X4" s="26">
        <f>IF(E4="INACTIVE",0,D4+K4+L4+S4+T4+IF(V4="",0,V4)+IF(W4="",0,W4))</f>
        <v/>
      </c>
      <c r="Y4" s="27" t="n"/>
      <c r="Z4" s="28">
        <f>IF(E4="INACTIVE","_",IF(AND(G4&gt;0,H4&gt;0,H4&lt;G4),"[!]น้ำ reset ","")&amp;IF(AND(O4&gt;0,P4&gt;0,P4&lt;O4),"[!]ไฟ reset ","")&amp;IF(AND(F4="MANUAL",J4=""),"[X]units น้ำ ","")&amp;IF(AND(N4="MANUAL",R4=""),"[X]units ไฟ ","")&amp;IF(D4=0,"[!]ค่าเช่า=0",""))</f>
        <v/>
      </c>
      <c r="AA4" s="29">
        <f>IF(C4&lt;&gt;"",C4,CONFIG!$B$6)</f>
        <v/>
      </c>
      <c r="AB4" s="29">
        <f>IF(F4&lt;&gt;"",F4,IFERROR(VLOOKUP(AA4,RULES!$A:$C,3,0),CONFIG!$B$7))</f>
        <v/>
      </c>
      <c r="AC4" s="29">
        <f>IF(IFERROR(VLOOKUP(AA4,RULES!$A:$D,4,0),"")="",CONFIG!$B$10,VLOOKUP(AA4,RULES!$A:$D,4,0))</f>
        <v/>
      </c>
      <c r="AD4" s="29">
        <f>IF(IFERROR(VLOOKUP(AA4,RULES!$A:$E,5,0),"")="",CONFIG!$B$11,VLOOKUP(AA4,RULES!$A:$E,5,0))</f>
        <v/>
      </c>
      <c r="AE4" s="29">
        <f>IFERROR(VLOOKUP(AA4,RULES!$A:$F,6,0)*1,0)</f>
        <v/>
      </c>
      <c r="AF4" s="29">
        <f>IFERROR(VLOOKUP(AA4,RULES!$A:$G,7,0)*1,0)</f>
        <v/>
      </c>
      <c r="AG4" s="29">
        <f>IFERROR(VLOOKUP(AA4,RULES!$A:$H,8,0)*1,0)</f>
        <v/>
      </c>
      <c r="AH4" s="29">
        <f>IFERROR(VLOOKUP(AA4,RULES!$A:$I,9,0)*1,0)</f>
        <v/>
      </c>
      <c r="AI4" s="29">
        <f>IFERROR(VLOOKUP(AA4,RULES!$A:$J,10,0)*1,0)</f>
        <v/>
      </c>
      <c r="AJ4" s="29">
        <f>IFERROR(IF(VLOOKUP(AA4,RULES!$A:$K,11,0)="",999999,VLOOKUP(AA4,RULES!$A:$K,11,0)*1),999999)</f>
        <v/>
      </c>
      <c r="AK4" s="29">
        <f>IFERROR(VLOOKUP(AA4,RULES!$A:$L,12,0)*1,0)</f>
        <v/>
      </c>
      <c r="AL4" s="29">
        <f>IFERROR(VLOOKUP(AA4,RULES!$A:$M,13,0),"NONE")</f>
        <v/>
      </c>
      <c r="AM4" s="29">
        <f>IFERROR(VLOOKUP(AA4,RULES!$A:$N,14,0)*1,0)</f>
        <v/>
      </c>
      <c r="AN4" s="29">
        <f>IFERROR(VLOOKUP(AA4,RULES!$A:$O,15,0)*1,0)</f>
        <v/>
      </c>
      <c r="AO4" s="29">
        <f>IF(N4&lt;&gt;"",N4,IFERROR(VLOOKUP(AA4,RULES!$A:$P,16,0),CONFIG!$B$8))</f>
        <v/>
      </c>
      <c r="AP4" s="29">
        <f>IF(IFERROR(VLOOKUP(AA4,RULES!$A:$Q,17,0),"")="",CONFIG!$B$13,VLOOKUP(AA4,RULES!$A:$Q,17,0))</f>
        <v/>
      </c>
      <c r="AQ4" s="29">
        <f>IF(IFERROR(VLOOKUP(AA4,RULES!$A:$R,18,0),"")="",CONFIG!$B$14,VLOOKUP(AA4,RULES!$A:$R,18,0))</f>
        <v/>
      </c>
      <c r="AR4" s="29">
        <f>IFERROR(VLOOKUP(AA4,RULES!$A:$S,19,0)*1,0)</f>
        <v/>
      </c>
      <c r="AS4" s="29">
        <f>IFERROR(VLOOKUP(AA4,RULES!$A:$T,20,0)*1,0)</f>
        <v/>
      </c>
      <c r="AT4" s="29">
        <f>IFERROR(VLOOKUP(AA4,RULES!$A:$U,21,0)*1,0)</f>
        <v/>
      </c>
      <c r="AU4" s="29">
        <f>IFERROR(VLOOKUP(AA4,RULES!$A:$V,22,0)*1,0)</f>
        <v/>
      </c>
      <c r="AV4" s="29">
        <f>IFERROR(VLOOKUP(AA4,RULES!$A:$W,23,0)*1,0)</f>
        <v/>
      </c>
      <c r="AW4" s="29">
        <f>IFERROR(IF(VLOOKUP(AA4,RULES!$A:$X,24,0)="",999999,VLOOKUP(AA4,RULES!$A:$X,24,0)*1),999999)</f>
        <v/>
      </c>
      <c r="AX4" s="29">
        <f>IFERROR(VLOOKUP(AA4,RULES!$A:$Y,25,0)*1,0)</f>
        <v/>
      </c>
      <c r="AY4" s="29">
        <f>IFERROR(VLOOKUP(AA4,RULES!$A:$Z,26,0),"NONE")</f>
        <v/>
      </c>
      <c r="AZ4" s="29">
        <f>IFERROR(VLOOKUP(AA4,RULES!$A:$AA,27,0)*1,0)</f>
        <v/>
      </c>
      <c r="BA4" s="29">
        <f>IFERROR(VLOOKUP(AA4,RULES!$A:$AB,28,0)*1,0)</f>
        <v/>
      </c>
    </row>
    <row r="5" ht="17" customHeight="1">
      <c r="A5" s="22" t="inlineStr">
        <is>
          <t>798/2</t>
        </is>
      </c>
      <c r="B5" s="48" t="inlineStr">
        <is>
          <t>ACC001</t>
        </is>
      </c>
      <c r="C5" s="48" t="inlineStr">
        <is>
          <t>DEFAULT</t>
        </is>
      </c>
      <c r="D5" s="47" t="n"/>
      <c r="E5" s="22">
        <f>IF(OR(D5="",D5=0),"INACTIVE","ACTIVE")</f>
        <v/>
      </c>
      <c r="F5" s="48" t="inlineStr">
        <is>
          <t>NORMAL</t>
        </is>
      </c>
      <c r="G5" s="25" t="n"/>
      <c r="H5" s="25" t="n"/>
      <c r="I5" s="26">
        <f>IF(OR(E5="INACTIVE",H5=""),0,MAX(0,H5-G5))</f>
        <v/>
      </c>
      <c r="J5" s="23" t="n"/>
      <c r="K5" s="26">
        <f>IF(OR(E5="INACTIVE",H5=""),0,IF(AB5="DISABLED",0,IF(AB5="FLAT",AE5,IF(AB5="MANUAL",IF(J5="",0,J5*AC5),IF(AB5="STEP",IF(I5&lt;=AF5,I5*AG5,IF(I5&lt;=AH5,AF5*AG5+(I5-AF5)*AI5,AF5*AG5+(AH5-AF5)*AI5+(I5-AH5)*AK5)),MAX(I5*AC5,AD5))))))</f>
        <v/>
      </c>
      <c r="L5" s="26">
        <f>IF(OR(E5="INACTIVE",H5=""),0,IF(AL5="NONE",0,IF(AL5="FLAT",AM5,IF(AL5="PER_UNIT",I5*AN5,IF(AL5="MANUAL",IF(M5="",0,M5),0)))))</f>
        <v/>
      </c>
      <c r="M5" s="23" t="n"/>
      <c r="N5" s="48" t="inlineStr">
        <is>
          <t>NORMAL</t>
        </is>
      </c>
      <c r="O5" s="25" t="n"/>
      <c r="P5" s="25" t="n"/>
      <c r="Q5" s="26">
        <f>IF(OR(E5="INACTIVE",P5=""),0,MAX(0,P5-O5))</f>
        <v/>
      </c>
      <c r="R5" s="23" t="n"/>
      <c r="S5" s="26">
        <f>IF(OR(E5="INACTIVE",P5=""),0,IF(AO5="DISABLED",0,IF(AO5="FLAT",AR5,IF(AO5="MANUAL",IF(R5="",0,R5*AP5),IF(AO5="STEP",IF(Q5&lt;=AS5,Q5*AT5,IF(Q5&lt;=AU5,AS5*AT5+(Q5-AS5)*AV5,AS5*AT5+(AU5-AS5)*AV5+(Q5-AU5)*AX5)),MAX(Q5*AP5,AQ5))))))</f>
        <v/>
      </c>
      <c r="T5" s="26">
        <f>IF(OR(E5="INACTIVE",P5=""),0,IF(AY5="NONE",0,IF(AY5="FLAT",AZ5,IF(AY5="PER_UNIT",Q5*BA5,IF(AY5="MANUAL",IF(U5="",0,U5),0)))))</f>
        <v/>
      </c>
      <c r="U5" s="23" t="n"/>
      <c r="V5" s="25" t="n"/>
      <c r="W5" s="25" t="n"/>
      <c r="X5" s="26">
        <f>IF(E5="INACTIVE",0,D5+K5+L5+S5+T5+IF(V5="",0,V5)+IF(W5="",0,W5))</f>
        <v/>
      </c>
      <c r="Y5" s="27" t="n"/>
      <c r="Z5" s="28">
        <f>IF(E5="INACTIVE","_",IF(AND(G5&gt;0,H5&gt;0,H5&lt;G5),"[!]น้ำ reset ","")&amp;IF(AND(O5&gt;0,P5&gt;0,P5&lt;O5),"[!]ไฟ reset ","")&amp;IF(AND(F5="MANUAL",J5=""),"[X]units น้ำ ","")&amp;IF(AND(N5="MANUAL",R5=""),"[X]units ไฟ ","")&amp;IF(D5=0,"[!]ค่าเช่า=0",""))</f>
        <v/>
      </c>
      <c r="AA5" s="29">
        <f>IF(C5&lt;&gt;"",C5,CONFIG!$B$6)</f>
        <v/>
      </c>
      <c r="AB5" s="29">
        <f>IF(F5&lt;&gt;"",F5,IFERROR(VLOOKUP(AA5,RULES!$A:$C,3,0),CONFIG!$B$7))</f>
        <v/>
      </c>
      <c r="AC5" s="29">
        <f>IF(IFERROR(VLOOKUP(AA5,RULES!$A:$D,4,0),"")="",CONFIG!$B$10,VLOOKUP(AA5,RULES!$A:$D,4,0))</f>
        <v/>
      </c>
      <c r="AD5" s="29">
        <f>IF(IFERROR(VLOOKUP(AA5,RULES!$A:$E,5,0),"")="",CONFIG!$B$11,VLOOKUP(AA5,RULES!$A:$E,5,0))</f>
        <v/>
      </c>
      <c r="AE5" s="29">
        <f>IFERROR(VLOOKUP(AA5,RULES!$A:$F,6,0)*1,0)</f>
        <v/>
      </c>
      <c r="AF5" s="29">
        <f>IFERROR(VLOOKUP(AA5,RULES!$A:$G,7,0)*1,0)</f>
        <v/>
      </c>
      <c r="AG5" s="29">
        <f>IFERROR(VLOOKUP(AA5,RULES!$A:$H,8,0)*1,0)</f>
        <v/>
      </c>
      <c r="AH5" s="29">
        <f>IFERROR(VLOOKUP(AA5,RULES!$A:$I,9,0)*1,0)</f>
        <v/>
      </c>
      <c r="AI5" s="29">
        <f>IFERROR(VLOOKUP(AA5,RULES!$A:$J,10,0)*1,0)</f>
        <v/>
      </c>
      <c r="AJ5" s="29">
        <f>IFERROR(IF(VLOOKUP(AA5,RULES!$A:$K,11,0)="",999999,VLOOKUP(AA5,RULES!$A:$K,11,0)*1),999999)</f>
        <v/>
      </c>
      <c r="AK5" s="29">
        <f>IFERROR(VLOOKUP(AA5,RULES!$A:$L,12,0)*1,0)</f>
        <v/>
      </c>
      <c r="AL5" s="29">
        <f>IFERROR(VLOOKUP(AA5,RULES!$A:$M,13,0),"NONE")</f>
        <v/>
      </c>
      <c r="AM5" s="29">
        <f>IFERROR(VLOOKUP(AA5,RULES!$A:$N,14,0)*1,0)</f>
        <v/>
      </c>
      <c r="AN5" s="29">
        <f>IFERROR(VLOOKUP(AA5,RULES!$A:$O,15,0)*1,0)</f>
        <v/>
      </c>
      <c r="AO5" s="29">
        <f>IF(N5&lt;&gt;"",N5,IFERROR(VLOOKUP(AA5,RULES!$A:$P,16,0),CONFIG!$B$8))</f>
        <v/>
      </c>
      <c r="AP5" s="29">
        <f>IF(IFERROR(VLOOKUP(AA5,RULES!$A:$Q,17,0),"")="",CONFIG!$B$13,VLOOKUP(AA5,RULES!$A:$Q,17,0))</f>
        <v/>
      </c>
      <c r="AQ5" s="29">
        <f>IF(IFERROR(VLOOKUP(AA5,RULES!$A:$R,18,0),"")="",CONFIG!$B$14,VLOOKUP(AA5,RULES!$A:$R,18,0))</f>
        <v/>
      </c>
      <c r="AR5" s="29">
        <f>IFERROR(VLOOKUP(AA5,RULES!$A:$S,19,0)*1,0)</f>
        <v/>
      </c>
      <c r="AS5" s="29">
        <f>IFERROR(VLOOKUP(AA5,RULES!$A:$T,20,0)*1,0)</f>
        <v/>
      </c>
      <c r="AT5" s="29">
        <f>IFERROR(VLOOKUP(AA5,RULES!$A:$U,21,0)*1,0)</f>
        <v/>
      </c>
      <c r="AU5" s="29">
        <f>IFERROR(VLOOKUP(AA5,RULES!$A:$V,22,0)*1,0)</f>
        <v/>
      </c>
      <c r="AV5" s="29">
        <f>IFERROR(VLOOKUP(AA5,RULES!$A:$W,23,0)*1,0)</f>
        <v/>
      </c>
      <c r="AW5" s="29">
        <f>IFERROR(IF(VLOOKUP(AA5,RULES!$A:$X,24,0)="",999999,VLOOKUP(AA5,RULES!$A:$X,24,0)*1),999999)</f>
        <v/>
      </c>
      <c r="AX5" s="29">
        <f>IFERROR(VLOOKUP(AA5,RULES!$A:$Y,25,0)*1,0)</f>
        <v/>
      </c>
      <c r="AY5" s="29">
        <f>IFERROR(VLOOKUP(AA5,RULES!$A:$Z,26,0),"NONE")</f>
        <v/>
      </c>
      <c r="AZ5" s="29">
        <f>IFERROR(VLOOKUP(AA5,RULES!$A:$AA,27,0)*1,0)</f>
        <v/>
      </c>
      <c r="BA5" s="29">
        <f>IFERROR(VLOOKUP(AA5,RULES!$A:$AB,28,0)*1,0)</f>
        <v/>
      </c>
    </row>
    <row r="6" ht="17" customHeight="1">
      <c r="A6" s="22" t="inlineStr">
        <is>
          <t>798/3</t>
        </is>
      </c>
      <c r="B6" s="48" t="inlineStr">
        <is>
          <t>ACC001</t>
        </is>
      </c>
      <c r="C6" s="48" t="inlineStr">
        <is>
          <t>DEFAULT</t>
        </is>
      </c>
      <c r="D6" s="47" t="n"/>
      <c r="E6" s="22">
        <f>IF(OR(D6="",D6=0),"INACTIVE","ACTIVE")</f>
        <v/>
      </c>
      <c r="F6" s="48" t="inlineStr">
        <is>
          <t>NORMAL</t>
        </is>
      </c>
      <c r="G6" s="25" t="n"/>
      <c r="H6" s="25" t="n"/>
      <c r="I6" s="26">
        <f>IF(OR(E6="INACTIVE",H6=""),0,MAX(0,H6-G6))</f>
        <v/>
      </c>
      <c r="J6" s="23" t="n"/>
      <c r="K6" s="26">
        <f>IF(OR(E6="INACTIVE",H6=""),0,IF(AB6="DISABLED",0,IF(AB6="FLAT",AE6,IF(AB6="MANUAL",IF(J6="",0,J6*AC6),IF(AB6="STEP",IF(I6&lt;=AF6,I6*AG6,IF(I6&lt;=AH6,AF6*AG6+(I6-AF6)*AI6,AF6*AG6+(AH6-AF6)*AI6+(I6-AH6)*AK6)),MAX(I6*AC6,AD6))))))</f>
        <v/>
      </c>
      <c r="L6" s="26">
        <f>IF(OR(E6="INACTIVE",H6=""),0,IF(AL6="NONE",0,IF(AL6="FLAT",AM6,IF(AL6="PER_UNIT",I6*AN6,IF(AL6="MANUAL",IF(M6="",0,M6),0)))))</f>
        <v/>
      </c>
      <c r="M6" s="23" t="n"/>
      <c r="N6" s="48" t="inlineStr">
        <is>
          <t>NORMAL</t>
        </is>
      </c>
      <c r="O6" s="25" t="n"/>
      <c r="P6" s="25" t="n"/>
      <c r="Q6" s="26">
        <f>IF(OR(E6="INACTIVE",P6=""),0,MAX(0,P6-O6))</f>
        <v/>
      </c>
      <c r="R6" s="23" t="n"/>
      <c r="S6" s="26">
        <f>IF(OR(E6="INACTIVE",P6=""),0,IF(AO6="DISABLED",0,IF(AO6="FLAT",AR6,IF(AO6="MANUAL",IF(R6="",0,R6*AP6),IF(AO6="STEP",IF(Q6&lt;=AS6,Q6*AT6,IF(Q6&lt;=AU6,AS6*AT6+(Q6-AS6)*AV6,AS6*AT6+(AU6-AS6)*AV6+(Q6-AU6)*AX6)),MAX(Q6*AP6,AQ6))))))</f>
        <v/>
      </c>
      <c r="T6" s="26">
        <f>IF(OR(E6="INACTIVE",P6=""),0,IF(AY6="NONE",0,IF(AY6="FLAT",AZ6,IF(AY6="PER_UNIT",Q6*BA6,IF(AY6="MANUAL",IF(U6="",0,U6),0)))))</f>
        <v/>
      </c>
      <c r="U6" s="23" t="n"/>
      <c r="V6" s="25" t="n"/>
      <c r="W6" s="25" t="n"/>
      <c r="X6" s="26">
        <f>IF(E6="INACTIVE",0,D6+K6+L6+S6+T6+IF(V6="",0,V6)+IF(W6="",0,W6))</f>
        <v/>
      </c>
      <c r="Y6" s="27" t="n"/>
      <c r="Z6" s="28">
        <f>IF(E6="INACTIVE","_",IF(AND(G6&gt;0,H6&gt;0,H6&lt;G6),"[!]น้ำ reset ","")&amp;IF(AND(O6&gt;0,P6&gt;0,P6&lt;O6),"[!]ไฟ reset ","")&amp;IF(AND(F6="MANUAL",J6=""),"[X]units น้ำ ","")&amp;IF(AND(N6="MANUAL",R6=""),"[X]units ไฟ ","")&amp;IF(D6=0,"[!]ค่าเช่า=0",""))</f>
        <v/>
      </c>
      <c r="AA6" s="29">
        <f>IF(C6&lt;&gt;"",C6,CONFIG!$B$6)</f>
        <v/>
      </c>
      <c r="AB6" s="29">
        <f>IF(F6&lt;&gt;"",F6,IFERROR(VLOOKUP(AA6,RULES!$A:$C,3,0),CONFIG!$B$7))</f>
        <v/>
      </c>
      <c r="AC6" s="29">
        <f>IF(IFERROR(VLOOKUP(AA6,RULES!$A:$D,4,0),"")="",CONFIG!$B$10,VLOOKUP(AA6,RULES!$A:$D,4,0))</f>
        <v/>
      </c>
      <c r="AD6" s="29">
        <f>IF(IFERROR(VLOOKUP(AA6,RULES!$A:$E,5,0),"")="",CONFIG!$B$11,VLOOKUP(AA6,RULES!$A:$E,5,0))</f>
        <v/>
      </c>
      <c r="AE6" s="29">
        <f>IFERROR(VLOOKUP(AA6,RULES!$A:$F,6,0)*1,0)</f>
        <v/>
      </c>
      <c r="AF6" s="29">
        <f>IFERROR(VLOOKUP(AA6,RULES!$A:$G,7,0)*1,0)</f>
        <v/>
      </c>
      <c r="AG6" s="29">
        <f>IFERROR(VLOOKUP(AA6,RULES!$A:$H,8,0)*1,0)</f>
        <v/>
      </c>
      <c r="AH6" s="29">
        <f>IFERROR(VLOOKUP(AA6,RULES!$A:$I,9,0)*1,0)</f>
        <v/>
      </c>
      <c r="AI6" s="29">
        <f>IFERROR(VLOOKUP(AA6,RULES!$A:$J,10,0)*1,0)</f>
        <v/>
      </c>
      <c r="AJ6" s="29">
        <f>IFERROR(IF(VLOOKUP(AA6,RULES!$A:$K,11,0)="",999999,VLOOKUP(AA6,RULES!$A:$K,11,0)*1),999999)</f>
        <v/>
      </c>
      <c r="AK6" s="29">
        <f>IFERROR(VLOOKUP(AA6,RULES!$A:$L,12,0)*1,0)</f>
        <v/>
      </c>
      <c r="AL6" s="29">
        <f>IFERROR(VLOOKUP(AA6,RULES!$A:$M,13,0),"NONE")</f>
        <v/>
      </c>
      <c r="AM6" s="29">
        <f>IFERROR(VLOOKUP(AA6,RULES!$A:$N,14,0)*1,0)</f>
        <v/>
      </c>
      <c r="AN6" s="29">
        <f>IFERROR(VLOOKUP(AA6,RULES!$A:$O,15,0)*1,0)</f>
        <v/>
      </c>
      <c r="AO6" s="29">
        <f>IF(N6&lt;&gt;"",N6,IFERROR(VLOOKUP(AA6,RULES!$A:$P,16,0),CONFIG!$B$8))</f>
        <v/>
      </c>
      <c r="AP6" s="29">
        <f>IF(IFERROR(VLOOKUP(AA6,RULES!$A:$Q,17,0),"")="",CONFIG!$B$13,VLOOKUP(AA6,RULES!$A:$Q,17,0))</f>
        <v/>
      </c>
      <c r="AQ6" s="29">
        <f>IF(IFERROR(VLOOKUP(AA6,RULES!$A:$R,18,0),"")="",CONFIG!$B$14,VLOOKUP(AA6,RULES!$A:$R,18,0))</f>
        <v/>
      </c>
      <c r="AR6" s="29">
        <f>IFERROR(VLOOKUP(AA6,RULES!$A:$S,19,0)*1,0)</f>
        <v/>
      </c>
      <c r="AS6" s="29">
        <f>IFERROR(VLOOKUP(AA6,RULES!$A:$T,20,0)*1,0)</f>
        <v/>
      </c>
      <c r="AT6" s="29">
        <f>IFERROR(VLOOKUP(AA6,RULES!$A:$U,21,0)*1,0)</f>
        <v/>
      </c>
      <c r="AU6" s="29">
        <f>IFERROR(VLOOKUP(AA6,RULES!$A:$V,22,0)*1,0)</f>
        <v/>
      </c>
      <c r="AV6" s="29">
        <f>IFERROR(VLOOKUP(AA6,RULES!$A:$W,23,0)*1,0)</f>
        <v/>
      </c>
      <c r="AW6" s="29">
        <f>IFERROR(IF(VLOOKUP(AA6,RULES!$A:$X,24,0)="",999999,VLOOKUP(AA6,RULES!$A:$X,24,0)*1),999999)</f>
        <v/>
      </c>
      <c r="AX6" s="29">
        <f>IFERROR(VLOOKUP(AA6,RULES!$A:$Y,25,0)*1,0)</f>
        <v/>
      </c>
      <c r="AY6" s="29">
        <f>IFERROR(VLOOKUP(AA6,RULES!$A:$Z,26,0),"NONE")</f>
        <v/>
      </c>
      <c r="AZ6" s="29">
        <f>IFERROR(VLOOKUP(AA6,RULES!$A:$AA,27,0)*1,0)</f>
        <v/>
      </c>
      <c r="BA6" s="29">
        <f>IFERROR(VLOOKUP(AA6,RULES!$A:$AB,28,0)*1,0)</f>
        <v/>
      </c>
    </row>
    <row r="7" ht="17" customHeight="1">
      <c r="A7" s="22" t="inlineStr">
        <is>
          <t>798/4</t>
        </is>
      </c>
      <c r="B7" s="48" t="inlineStr">
        <is>
          <t>ACC001</t>
        </is>
      </c>
      <c r="C7" s="48" t="inlineStr">
        <is>
          <t>DEFAULT</t>
        </is>
      </c>
      <c r="D7" s="47" t="n"/>
      <c r="E7" s="22">
        <f>IF(OR(D7="",D7=0),"INACTIVE","ACTIVE")</f>
        <v/>
      </c>
      <c r="F7" s="48" t="inlineStr">
        <is>
          <t>NORMAL</t>
        </is>
      </c>
      <c r="G7" s="25" t="n"/>
      <c r="H7" s="25" t="n"/>
      <c r="I7" s="26">
        <f>IF(OR(E7="INACTIVE",H7=""),0,MAX(0,H7-G7))</f>
        <v/>
      </c>
      <c r="J7" s="23" t="n"/>
      <c r="K7" s="26">
        <f>IF(OR(E7="INACTIVE",H7=""),0,IF(AB7="DISABLED",0,IF(AB7="FLAT",AE7,IF(AB7="MANUAL",IF(J7="",0,J7*AC7),IF(AB7="STEP",IF(I7&lt;=AF7,I7*AG7,IF(I7&lt;=AH7,AF7*AG7+(I7-AF7)*AI7,AF7*AG7+(AH7-AF7)*AI7+(I7-AH7)*AK7)),MAX(I7*AC7,AD7))))))</f>
        <v/>
      </c>
      <c r="L7" s="26">
        <f>IF(OR(E7="INACTIVE",H7=""),0,IF(AL7="NONE",0,IF(AL7="FLAT",AM7,IF(AL7="PER_UNIT",I7*AN7,IF(AL7="MANUAL",IF(M7="",0,M7),0)))))</f>
        <v/>
      </c>
      <c r="M7" s="23" t="n"/>
      <c r="N7" s="48" t="inlineStr">
        <is>
          <t>NORMAL</t>
        </is>
      </c>
      <c r="O7" s="25" t="n"/>
      <c r="P7" s="25" t="n"/>
      <c r="Q7" s="26">
        <f>IF(OR(E7="INACTIVE",P7=""),0,MAX(0,P7-O7))</f>
        <v/>
      </c>
      <c r="R7" s="23" t="n"/>
      <c r="S7" s="26">
        <f>IF(OR(E7="INACTIVE",P7=""),0,IF(AO7="DISABLED",0,IF(AO7="FLAT",AR7,IF(AO7="MANUAL",IF(R7="",0,R7*AP7),IF(AO7="STEP",IF(Q7&lt;=AS7,Q7*AT7,IF(Q7&lt;=AU7,AS7*AT7+(Q7-AS7)*AV7,AS7*AT7+(AU7-AS7)*AV7+(Q7-AU7)*AX7)),MAX(Q7*AP7,AQ7))))))</f>
        <v/>
      </c>
      <c r="T7" s="26">
        <f>IF(OR(E7="INACTIVE",P7=""),0,IF(AY7="NONE",0,IF(AY7="FLAT",AZ7,IF(AY7="PER_UNIT",Q7*BA7,IF(AY7="MANUAL",IF(U7="",0,U7),0)))))</f>
        <v/>
      </c>
      <c r="U7" s="23" t="n"/>
      <c r="V7" s="25" t="n"/>
      <c r="W7" s="25" t="n"/>
      <c r="X7" s="26">
        <f>IF(E7="INACTIVE",0,D7+K7+L7+S7+T7+IF(V7="",0,V7)+IF(W7="",0,W7))</f>
        <v/>
      </c>
      <c r="Y7" s="27" t="n"/>
      <c r="Z7" s="28">
        <f>IF(E7="INACTIVE","_",IF(AND(G7&gt;0,H7&gt;0,H7&lt;G7),"[!]น้ำ reset ","")&amp;IF(AND(O7&gt;0,P7&gt;0,P7&lt;O7),"[!]ไฟ reset ","")&amp;IF(AND(F7="MANUAL",J7=""),"[X]units น้ำ ","")&amp;IF(AND(N7="MANUAL",R7=""),"[X]units ไฟ ","")&amp;IF(D7=0,"[!]ค่าเช่า=0",""))</f>
        <v/>
      </c>
      <c r="AA7" s="29">
        <f>IF(C7&lt;&gt;"",C7,CONFIG!$B$6)</f>
        <v/>
      </c>
      <c r="AB7" s="29">
        <f>IF(F7&lt;&gt;"",F7,IFERROR(VLOOKUP(AA7,RULES!$A:$C,3,0),CONFIG!$B$7))</f>
        <v/>
      </c>
      <c r="AC7" s="29">
        <f>IF(IFERROR(VLOOKUP(AA7,RULES!$A:$D,4,0),"")="",CONFIG!$B$10,VLOOKUP(AA7,RULES!$A:$D,4,0))</f>
        <v/>
      </c>
      <c r="AD7" s="29">
        <f>IF(IFERROR(VLOOKUP(AA7,RULES!$A:$E,5,0),"")="",CONFIG!$B$11,VLOOKUP(AA7,RULES!$A:$E,5,0))</f>
        <v/>
      </c>
      <c r="AE7" s="29">
        <f>IFERROR(VLOOKUP(AA7,RULES!$A:$F,6,0)*1,0)</f>
        <v/>
      </c>
      <c r="AF7" s="29">
        <f>IFERROR(VLOOKUP(AA7,RULES!$A:$G,7,0)*1,0)</f>
        <v/>
      </c>
      <c r="AG7" s="29">
        <f>IFERROR(VLOOKUP(AA7,RULES!$A:$H,8,0)*1,0)</f>
        <v/>
      </c>
      <c r="AH7" s="29">
        <f>IFERROR(VLOOKUP(AA7,RULES!$A:$I,9,0)*1,0)</f>
        <v/>
      </c>
      <c r="AI7" s="29">
        <f>IFERROR(VLOOKUP(AA7,RULES!$A:$J,10,0)*1,0)</f>
        <v/>
      </c>
      <c r="AJ7" s="29">
        <f>IFERROR(IF(VLOOKUP(AA7,RULES!$A:$K,11,0)="",999999,VLOOKUP(AA7,RULES!$A:$K,11,0)*1),999999)</f>
        <v/>
      </c>
      <c r="AK7" s="29">
        <f>IFERROR(VLOOKUP(AA7,RULES!$A:$L,12,0)*1,0)</f>
        <v/>
      </c>
      <c r="AL7" s="29">
        <f>IFERROR(VLOOKUP(AA7,RULES!$A:$M,13,0),"NONE")</f>
        <v/>
      </c>
      <c r="AM7" s="29">
        <f>IFERROR(VLOOKUP(AA7,RULES!$A:$N,14,0)*1,0)</f>
        <v/>
      </c>
      <c r="AN7" s="29">
        <f>IFERROR(VLOOKUP(AA7,RULES!$A:$O,15,0)*1,0)</f>
        <v/>
      </c>
      <c r="AO7" s="29">
        <f>IF(N7&lt;&gt;"",N7,IFERROR(VLOOKUP(AA7,RULES!$A:$P,16,0),CONFIG!$B$8))</f>
        <v/>
      </c>
      <c r="AP7" s="29">
        <f>IF(IFERROR(VLOOKUP(AA7,RULES!$A:$Q,17,0),"")="",CONFIG!$B$13,VLOOKUP(AA7,RULES!$A:$Q,17,0))</f>
        <v/>
      </c>
      <c r="AQ7" s="29">
        <f>IF(IFERROR(VLOOKUP(AA7,RULES!$A:$R,18,0),"")="",CONFIG!$B$14,VLOOKUP(AA7,RULES!$A:$R,18,0))</f>
        <v/>
      </c>
      <c r="AR7" s="29">
        <f>IFERROR(VLOOKUP(AA7,RULES!$A:$S,19,0)*1,0)</f>
        <v/>
      </c>
      <c r="AS7" s="29">
        <f>IFERROR(VLOOKUP(AA7,RULES!$A:$T,20,0)*1,0)</f>
        <v/>
      </c>
      <c r="AT7" s="29">
        <f>IFERROR(VLOOKUP(AA7,RULES!$A:$U,21,0)*1,0)</f>
        <v/>
      </c>
      <c r="AU7" s="29">
        <f>IFERROR(VLOOKUP(AA7,RULES!$A:$V,22,0)*1,0)</f>
        <v/>
      </c>
      <c r="AV7" s="29">
        <f>IFERROR(VLOOKUP(AA7,RULES!$A:$W,23,0)*1,0)</f>
        <v/>
      </c>
      <c r="AW7" s="29">
        <f>IFERROR(IF(VLOOKUP(AA7,RULES!$A:$X,24,0)="",999999,VLOOKUP(AA7,RULES!$A:$X,24,0)*1),999999)</f>
        <v/>
      </c>
      <c r="AX7" s="29">
        <f>IFERROR(VLOOKUP(AA7,RULES!$A:$Y,25,0)*1,0)</f>
        <v/>
      </c>
      <c r="AY7" s="29">
        <f>IFERROR(VLOOKUP(AA7,RULES!$A:$Z,26,0),"NONE")</f>
        <v/>
      </c>
      <c r="AZ7" s="29">
        <f>IFERROR(VLOOKUP(AA7,RULES!$A:$AA,27,0)*1,0)</f>
        <v/>
      </c>
      <c r="BA7" s="29">
        <f>IFERROR(VLOOKUP(AA7,RULES!$A:$AB,28,0)*1,0)</f>
        <v/>
      </c>
    </row>
    <row r="8" ht="17" customHeight="1">
      <c r="A8" s="22" t="inlineStr">
        <is>
          <t>798/5</t>
        </is>
      </c>
      <c r="B8" s="48" t="inlineStr">
        <is>
          <t>ACC001</t>
        </is>
      </c>
      <c r="C8" s="48" t="inlineStr">
        <is>
          <t>DEFAULT</t>
        </is>
      </c>
      <c r="D8" s="47" t="n"/>
      <c r="E8" s="22">
        <f>IF(OR(D8="",D8=0),"INACTIVE","ACTIVE")</f>
        <v/>
      </c>
      <c r="F8" s="48" t="inlineStr">
        <is>
          <t>NORMAL</t>
        </is>
      </c>
      <c r="G8" s="25" t="n"/>
      <c r="H8" s="25" t="n"/>
      <c r="I8" s="26">
        <f>IF(OR(E8="INACTIVE",H8=""),0,MAX(0,H8-G8))</f>
        <v/>
      </c>
      <c r="J8" s="23" t="n"/>
      <c r="K8" s="26">
        <f>IF(OR(E8="INACTIVE",H8=""),0,IF(AB8="DISABLED",0,IF(AB8="FLAT",AE8,IF(AB8="MANUAL",IF(J8="",0,J8*AC8),IF(AB8="STEP",IF(I8&lt;=AF8,I8*AG8,IF(I8&lt;=AH8,AF8*AG8+(I8-AF8)*AI8,AF8*AG8+(AH8-AF8)*AI8+(I8-AH8)*AK8)),MAX(I8*AC8,AD8))))))</f>
        <v/>
      </c>
      <c r="L8" s="26">
        <f>IF(OR(E8="INACTIVE",H8=""),0,IF(AL8="NONE",0,IF(AL8="FLAT",AM8,IF(AL8="PER_UNIT",I8*AN8,IF(AL8="MANUAL",IF(M8="",0,M8),0)))))</f>
        <v/>
      </c>
      <c r="M8" s="23" t="n"/>
      <c r="N8" s="48" t="inlineStr">
        <is>
          <t>NORMAL</t>
        </is>
      </c>
      <c r="O8" s="25" t="n"/>
      <c r="P8" s="25" t="n"/>
      <c r="Q8" s="26">
        <f>IF(OR(E8="INACTIVE",P8=""),0,MAX(0,P8-O8))</f>
        <v/>
      </c>
      <c r="R8" s="23" t="n"/>
      <c r="S8" s="26">
        <f>IF(OR(E8="INACTIVE",P8=""),0,IF(AO8="DISABLED",0,IF(AO8="FLAT",AR8,IF(AO8="MANUAL",IF(R8="",0,R8*AP8),IF(AO8="STEP",IF(Q8&lt;=AS8,Q8*AT8,IF(Q8&lt;=AU8,AS8*AT8+(Q8-AS8)*AV8,AS8*AT8+(AU8-AS8)*AV8+(Q8-AU8)*AX8)),MAX(Q8*AP8,AQ8))))))</f>
        <v/>
      </c>
      <c r="T8" s="26">
        <f>IF(OR(E8="INACTIVE",P8=""),0,IF(AY8="NONE",0,IF(AY8="FLAT",AZ8,IF(AY8="PER_UNIT",Q8*BA8,IF(AY8="MANUAL",IF(U8="",0,U8),0)))))</f>
        <v/>
      </c>
      <c r="U8" s="23" t="n"/>
      <c r="V8" s="25" t="n"/>
      <c r="W8" s="25" t="n"/>
      <c r="X8" s="26">
        <f>IF(E8="INACTIVE",0,D8+K8+L8+S8+T8+IF(V8="",0,V8)+IF(W8="",0,W8))</f>
        <v/>
      </c>
      <c r="Y8" s="27" t="n"/>
      <c r="Z8" s="28">
        <f>IF(E8="INACTIVE","_",IF(AND(G8&gt;0,H8&gt;0,H8&lt;G8),"[!]น้ำ reset ","")&amp;IF(AND(O8&gt;0,P8&gt;0,P8&lt;O8),"[!]ไฟ reset ","")&amp;IF(AND(F8="MANUAL",J8=""),"[X]units น้ำ ","")&amp;IF(AND(N8="MANUAL",R8=""),"[X]units ไฟ ","")&amp;IF(D8=0,"[!]ค่าเช่า=0",""))</f>
        <v/>
      </c>
      <c r="AA8" s="29">
        <f>IF(C8&lt;&gt;"",C8,CONFIG!$B$6)</f>
        <v/>
      </c>
      <c r="AB8" s="29">
        <f>IF(F8&lt;&gt;"",F8,IFERROR(VLOOKUP(AA8,RULES!$A:$C,3,0),CONFIG!$B$7))</f>
        <v/>
      </c>
      <c r="AC8" s="29">
        <f>IF(IFERROR(VLOOKUP(AA8,RULES!$A:$D,4,0),"")="",CONFIG!$B$10,VLOOKUP(AA8,RULES!$A:$D,4,0))</f>
        <v/>
      </c>
      <c r="AD8" s="29">
        <f>IF(IFERROR(VLOOKUP(AA8,RULES!$A:$E,5,0),"")="",CONFIG!$B$11,VLOOKUP(AA8,RULES!$A:$E,5,0))</f>
        <v/>
      </c>
      <c r="AE8" s="29">
        <f>IFERROR(VLOOKUP(AA8,RULES!$A:$F,6,0)*1,0)</f>
        <v/>
      </c>
      <c r="AF8" s="29">
        <f>IFERROR(VLOOKUP(AA8,RULES!$A:$G,7,0)*1,0)</f>
        <v/>
      </c>
      <c r="AG8" s="29">
        <f>IFERROR(VLOOKUP(AA8,RULES!$A:$H,8,0)*1,0)</f>
        <v/>
      </c>
      <c r="AH8" s="29">
        <f>IFERROR(VLOOKUP(AA8,RULES!$A:$I,9,0)*1,0)</f>
        <v/>
      </c>
      <c r="AI8" s="29">
        <f>IFERROR(VLOOKUP(AA8,RULES!$A:$J,10,0)*1,0)</f>
        <v/>
      </c>
      <c r="AJ8" s="29">
        <f>IFERROR(IF(VLOOKUP(AA8,RULES!$A:$K,11,0)="",999999,VLOOKUP(AA8,RULES!$A:$K,11,0)*1),999999)</f>
        <v/>
      </c>
      <c r="AK8" s="29">
        <f>IFERROR(VLOOKUP(AA8,RULES!$A:$L,12,0)*1,0)</f>
        <v/>
      </c>
      <c r="AL8" s="29">
        <f>IFERROR(VLOOKUP(AA8,RULES!$A:$M,13,0),"NONE")</f>
        <v/>
      </c>
      <c r="AM8" s="29">
        <f>IFERROR(VLOOKUP(AA8,RULES!$A:$N,14,0)*1,0)</f>
        <v/>
      </c>
      <c r="AN8" s="29">
        <f>IFERROR(VLOOKUP(AA8,RULES!$A:$O,15,0)*1,0)</f>
        <v/>
      </c>
      <c r="AO8" s="29">
        <f>IF(N8&lt;&gt;"",N8,IFERROR(VLOOKUP(AA8,RULES!$A:$P,16,0),CONFIG!$B$8))</f>
        <v/>
      </c>
      <c r="AP8" s="29">
        <f>IF(IFERROR(VLOOKUP(AA8,RULES!$A:$Q,17,0),"")="",CONFIG!$B$13,VLOOKUP(AA8,RULES!$A:$Q,17,0))</f>
        <v/>
      </c>
      <c r="AQ8" s="29">
        <f>IF(IFERROR(VLOOKUP(AA8,RULES!$A:$R,18,0),"")="",CONFIG!$B$14,VLOOKUP(AA8,RULES!$A:$R,18,0))</f>
        <v/>
      </c>
      <c r="AR8" s="29">
        <f>IFERROR(VLOOKUP(AA8,RULES!$A:$S,19,0)*1,0)</f>
        <v/>
      </c>
      <c r="AS8" s="29">
        <f>IFERROR(VLOOKUP(AA8,RULES!$A:$T,20,0)*1,0)</f>
        <v/>
      </c>
      <c r="AT8" s="29">
        <f>IFERROR(VLOOKUP(AA8,RULES!$A:$U,21,0)*1,0)</f>
        <v/>
      </c>
      <c r="AU8" s="29">
        <f>IFERROR(VLOOKUP(AA8,RULES!$A:$V,22,0)*1,0)</f>
        <v/>
      </c>
      <c r="AV8" s="29">
        <f>IFERROR(VLOOKUP(AA8,RULES!$A:$W,23,0)*1,0)</f>
        <v/>
      </c>
      <c r="AW8" s="29">
        <f>IFERROR(IF(VLOOKUP(AA8,RULES!$A:$X,24,0)="",999999,VLOOKUP(AA8,RULES!$A:$X,24,0)*1),999999)</f>
        <v/>
      </c>
      <c r="AX8" s="29">
        <f>IFERROR(VLOOKUP(AA8,RULES!$A:$Y,25,0)*1,0)</f>
        <v/>
      </c>
      <c r="AY8" s="29">
        <f>IFERROR(VLOOKUP(AA8,RULES!$A:$Z,26,0),"NONE")</f>
        <v/>
      </c>
      <c r="AZ8" s="29">
        <f>IFERROR(VLOOKUP(AA8,RULES!$A:$AA,27,0)*1,0)</f>
        <v/>
      </c>
      <c r="BA8" s="29">
        <f>IFERROR(VLOOKUP(AA8,RULES!$A:$AB,28,0)*1,0)</f>
        <v/>
      </c>
    </row>
    <row r="9" ht="17" customHeight="1">
      <c r="A9" s="22" t="inlineStr">
        <is>
          <t>798/6</t>
        </is>
      </c>
      <c r="B9" s="48" t="inlineStr">
        <is>
          <t>ACC001</t>
        </is>
      </c>
      <c r="C9" s="48" t="inlineStr">
        <is>
          <t>DEFAULT</t>
        </is>
      </c>
      <c r="D9" s="47" t="n"/>
      <c r="E9" s="22">
        <f>IF(OR(D9="",D9=0),"INACTIVE","ACTIVE")</f>
        <v/>
      </c>
      <c r="F9" s="48" t="inlineStr">
        <is>
          <t>NORMAL</t>
        </is>
      </c>
      <c r="G9" s="25" t="n"/>
      <c r="H9" s="25" t="n"/>
      <c r="I9" s="26">
        <f>IF(OR(E9="INACTIVE",H9=""),0,MAX(0,H9-G9))</f>
        <v/>
      </c>
      <c r="J9" s="23" t="n"/>
      <c r="K9" s="26">
        <f>IF(OR(E9="INACTIVE",H9=""),0,IF(AB9="DISABLED",0,IF(AB9="FLAT",AE9,IF(AB9="MANUAL",IF(J9="",0,J9*AC9),IF(AB9="STEP",IF(I9&lt;=AF9,I9*AG9,IF(I9&lt;=AH9,AF9*AG9+(I9-AF9)*AI9,AF9*AG9+(AH9-AF9)*AI9+(I9-AH9)*AK9)),MAX(I9*AC9,AD9))))))</f>
        <v/>
      </c>
      <c r="L9" s="26">
        <f>IF(OR(E9="INACTIVE",H9=""),0,IF(AL9="NONE",0,IF(AL9="FLAT",AM9,IF(AL9="PER_UNIT",I9*AN9,IF(AL9="MANUAL",IF(M9="",0,M9),0)))))</f>
        <v/>
      </c>
      <c r="M9" s="23" t="n"/>
      <c r="N9" s="48" t="inlineStr">
        <is>
          <t>NORMAL</t>
        </is>
      </c>
      <c r="O9" s="25" t="n"/>
      <c r="P9" s="25" t="n"/>
      <c r="Q9" s="26">
        <f>IF(OR(E9="INACTIVE",P9=""),0,MAX(0,P9-O9))</f>
        <v/>
      </c>
      <c r="R9" s="23" t="n"/>
      <c r="S9" s="26">
        <f>IF(OR(E9="INACTIVE",P9=""),0,IF(AO9="DISABLED",0,IF(AO9="FLAT",AR9,IF(AO9="MANUAL",IF(R9="",0,R9*AP9),IF(AO9="STEP",IF(Q9&lt;=AS9,Q9*AT9,IF(Q9&lt;=AU9,AS9*AT9+(Q9-AS9)*AV9,AS9*AT9+(AU9-AS9)*AV9+(Q9-AU9)*AX9)),MAX(Q9*AP9,AQ9))))))</f>
        <v/>
      </c>
      <c r="T9" s="26">
        <f>IF(OR(E9="INACTIVE",P9=""),0,IF(AY9="NONE",0,IF(AY9="FLAT",AZ9,IF(AY9="PER_UNIT",Q9*BA9,IF(AY9="MANUAL",IF(U9="",0,U9),0)))))</f>
        <v/>
      </c>
      <c r="U9" s="23" t="n"/>
      <c r="V9" s="25" t="n"/>
      <c r="W9" s="25" t="n"/>
      <c r="X9" s="26">
        <f>IF(E9="INACTIVE",0,D9+K9+L9+S9+T9+IF(V9="",0,V9)+IF(W9="",0,W9))</f>
        <v/>
      </c>
      <c r="Y9" s="27" t="n"/>
      <c r="Z9" s="28">
        <f>IF(E9="INACTIVE","_",IF(AND(G9&gt;0,H9&gt;0,H9&lt;G9),"[!]น้ำ reset ","")&amp;IF(AND(O9&gt;0,P9&gt;0,P9&lt;O9),"[!]ไฟ reset ","")&amp;IF(AND(F9="MANUAL",J9=""),"[X]units น้ำ ","")&amp;IF(AND(N9="MANUAL",R9=""),"[X]units ไฟ ","")&amp;IF(D9=0,"[!]ค่าเช่า=0",""))</f>
        <v/>
      </c>
      <c r="AA9" s="29">
        <f>IF(C9&lt;&gt;"",C9,CONFIG!$B$6)</f>
        <v/>
      </c>
      <c r="AB9" s="29">
        <f>IF(F9&lt;&gt;"",F9,IFERROR(VLOOKUP(AA9,RULES!$A:$C,3,0),CONFIG!$B$7))</f>
        <v/>
      </c>
      <c r="AC9" s="29">
        <f>IF(IFERROR(VLOOKUP(AA9,RULES!$A:$D,4,0),"")="",CONFIG!$B$10,VLOOKUP(AA9,RULES!$A:$D,4,0))</f>
        <v/>
      </c>
      <c r="AD9" s="29">
        <f>IF(IFERROR(VLOOKUP(AA9,RULES!$A:$E,5,0),"")="",CONFIG!$B$11,VLOOKUP(AA9,RULES!$A:$E,5,0))</f>
        <v/>
      </c>
      <c r="AE9" s="29">
        <f>IFERROR(VLOOKUP(AA9,RULES!$A:$F,6,0)*1,0)</f>
        <v/>
      </c>
      <c r="AF9" s="29">
        <f>IFERROR(VLOOKUP(AA9,RULES!$A:$G,7,0)*1,0)</f>
        <v/>
      </c>
      <c r="AG9" s="29">
        <f>IFERROR(VLOOKUP(AA9,RULES!$A:$H,8,0)*1,0)</f>
        <v/>
      </c>
      <c r="AH9" s="29">
        <f>IFERROR(VLOOKUP(AA9,RULES!$A:$I,9,0)*1,0)</f>
        <v/>
      </c>
      <c r="AI9" s="29">
        <f>IFERROR(VLOOKUP(AA9,RULES!$A:$J,10,0)*1,0)</f>
        <v/>
      </c>
      <c r="AJ9" s="29">
        <f>IFERROR(IF(VLOOKUP(AA9,RULES!$A:$K,11,0)="",999999,VLOOKUP(AA9,RULES!$A:$K,11,0)*1),999999)</f>
        <v/>
      </c>
      <c r="AK9" s="29">
        <f>IFERROR(VLOOKUP(AA9,RULES!$A:$L,12,0)*1,0)</f>
        <v/>
      </c>
      <c r="AL9" s="29">
        <f>IFERROR(VLOOKUP(AA9,RULES!$A:$M,13,0),"NONE")</f>
        <v/>
      </c>
      <c r="AM9" s="29">
        <f>IFERROR(VLOOKUP(AA9,RULES!$A:$N,14,0)*1,0)</f>
        <v/>
      </c>
      <c r="AN9" s="29">
        <f>IFERROR(VLOOKUP(AA9,RULES!$A:$O,15,0)*1,0)</f>
        <v/>
      </c>
      <c r="AO9" s="29">
        <f>IF(N9&lt;&gt;"",N9,IFERROR(VLOOKUP(AA9,RULES!$A:$P,16,0),CONFIG!$B$8))</f>
        <v/>
      </c>
      <c r="AP9" s="29">
        <f>IF(IFERROR(VLOOKUP(AA9,RULES!$A:$Q,17,0),"")="",CONFIG!$B$13,VLOOKUP(AA9,RULES!$A:$Q,17,0))</f>
        <v/>
      </c>
      <c r="AQ9" s="29">
        <f>IF(IFERROR(VLOOKUP(AA9,RULES!$A:$R,18,0),"")="",CONFIG!$B$14,VLOOKUP(AA9,RULES!$A:$R,18,0))</f>
        <v/>
      </c>
      <c r="AR9" s="29">
        <f>IFERROR(VLOOKUP(AA9,RULES!$A:$S,19,0)*1,0)</f>
        <v/>
      </c>
      <c r="AS9" s="29">
        <f>IFERROR(VLOOKUP(AA9,RULES!$A:$T,20,0)*1,0)</f>
        <v/>
      </c>
      <c r="AT9" s="29">
        <f>IFERROR(VLOOKUP(AA9,RULES!$A:$U,21,0)*1,0)</f>
        <v/>
      </c>
      <c r="AU9" s="29">
        <f>IFERROR(VLOOKUP(AA9,RULES!$A:$V,22,0)*1,0)</f>
        <v/>
      </c>
      <c r="AV9" s="29">
        <f>IFERROR(VLOOKUP(AA9,RULES!$A:$W,23,0)*1,0)</f>
        <v/>
      </c>
      <c r="AW9" s="29">
        <f>IFERROR(IF(VLOOKUP(AA9,RULES!$A:$X,24,0)="",999999,VLOOKUP(AA9,RULES!$A:$X,24,0)*1),999999)</f>
        <v/>
      </c>
      <c r="AX9" s="29">
        <f>IFERROR(VLOOKUP(AA9,RULES!$A:$Y,25,0)*1,0)</f>
        <v/>
      </c>
      <c r="AY9" s="29">
        <f>IFERROR(VLOOKUP(AA9,RULES!$A:$Z,26,0),"NONE")</f>
        <v/>
      </c>
      <c r="AZ9" s="29">
        <f>IFERROR(VLOOKUP(AA9,RULES!$A:$AA,27,0)*1,0)</f>
        <v/>
      </c>
      <c r="BA9" s="29">
        <f>IFERROR(VLOOKUP(AA9,RULES!$A:$AB,28,0)*1,0)</f>
        <v/>
      </c>
    </row>
    <row r="10" ht="17" customHeight="1">
      <c r="A10" s="22" t="inlineStr">
        <is>
          <t>798/7</t>
        </is>
      </c>
      <c r="B10" s="48" t="inlineStr">
        <is>
          <t>ACC001</t>
        </is>
      </c>
      <c r="C10" s="48" t="inlineStr">
        <is>
          <t>DEFAULT</t>
        </is>
      </c>
      <c r="D10" s="47" t="n"/>
      <c r="E10" s="22">
        <f>IF(OR(D10="",D10=0),"INACTIVE","ACTIVE")</f>
        <v/>
      </c>
      <c r="F10" s="48" t="inlineStr">
        <is>
          <t>NORMAL</t>
        </is>
      </c>
      <c r="G10" s="25" t="n"/>
      <c r="H10" s="25" t="n"/>
      <c r="I10" s="26">
        <f>IF(OR(E10="INACTIVE",H10=""),0,MAX(0,H10-G10))</f>
        <v/>
      </c>
      <c r="J10" s="23" t="n"/>
      <c r="K10" s="26">
        <f>IF(OR(E10="INACTIVE",H10=""),0,IF(AB10="DISABLED",0,IF(AB10="FLAT",AE10,IF(AB10="MANUAL",IF(J10="",0,J10*AC10),IF(AB10="STEP",IF(I10&lt;=AF10,I10*AG10,IF(I10&lt;=AH10,AF10*AG10+(I10-AF10)*AI10,AF10*AG10+(AH10-AF10)*AI10+(I10-AH10)*AK10)),MAX(I10*AC10,AD10))))))</f>
        <v/>
      </c>
      <c r="L10" s="26">
        <f>IF(OR(E10="INACTIVE",H10=""),0,IF(AL10="NONE",0,IF(AL10="FLAT",AM10,IF(AL10="PER_UNIT",I10*AN10,IF(AL10="MANUAL",IF(M10="",0,M10),0)))))</f>
        <v/>
      </c>
      <c r="M10" s="23" t="n"/>
      <c r="N10" s="48" t="inlineStr">
        <is>
          <t>NORMAL</t>
        </is>
      </c>
      <c r="O10" s="25" t="n"/>
      <c r="P10" s="25" t="n"/>
      <c r="Q10" s="26">
        <f>IF(OR(E10="INACTIVE",P10=""),0,MAX(0,P10-O10))</f>
        <v/>
      </c>
      <c r="R10" s="23" t="n"/>
      <c r="S10" s="26">
        <f>IF(OR(E10="INACTIVE",P10=""),0,IF(AO10="DISABLED",0,IF(AO10="FLAT",AR10,IF(AO10="MANUAL",IF(R10="",0,R10*AP10),IF(AO10="STEP",IF(Q10&lt;=AS10,Q10*AT10,IF(Q10&lt;=AU10,AS10*AT10+(Q10-AS10)*AV10,AS10*AT10+(AU10-AS10)*AV10+(Q10-AU10)*AX10)),MAX(Q10*AP10,AQ10))))))</f>
        <v/>
      </c>
      <c r="T10" s="26">
        <f>IF(OR(E10="INACTIVE",P10=""),0,IF(AY10="NONE",0,IF(AY10="FLAT",AZ10,IF(AY10="PER_UNIT",Q10*BA10,IF(AY10="MANUAL",IF(U10="",0,U10),0)))))</f>
        <v/>
      </c>
      <c r="U10" s="23" t="n"/>
      <c r="V10" s="25" t="n"/>
      <c r="W10" s="25" t="n"/>
      <c r="X10" s="26">
        <f>IF(E10="INACTIVE",0,D10+K10+L10+S10+T10+IF(V10="",0,V10)+IF(W10="",0,W10))</f>
        <v/>
      </c>
      <c r="Y10" s="27" t="n"/>
      <c r="Z10" s="28">
        <f>IF(E10="INACTIVE","_",IF(AND(G10&gt;0,H10&gt;0,H10&lt;G10),"[!]น้ำ reset ","")&amp;IF(AND(O10&gt;0,P10&gt;0,P10&lt;O10),"[!]ไฟ reset ","")&amp;IF(AND(F10="MANUAL",J10=""),"[X]units น้ำ ","")&amp;IF(AND(N10="MANUAL",R10=""),"[X]units ไฟ ","")&amp;IF(D10=0,"[!]ค่าเช่า=0",""))</f>
        <v/>
      </c>
      <c r="AA10" s="29">
        <f>IF(C10&lt;&gt;"",C10,CONFIG!$B$6)</f>
        <v/>
      </c>
      <c r="AB10" s="29">
        <f>IF(F10&lt;&gt;"",F10,IFERROR(VLOOKUP(AA10,RULES!$A:$C,3,0),CONFIG!$B$7))</f>
        <v/>
      </c>
      <c r="AC10" s="29">
        <f>IF(IFERROR(VLOOKUP(AA10,RULES!$A:$D,4,0),"")="",CONFIG!$B$10,VLOOKUP(AA10,RULES!$A:$D,4,0))</f>
        <v/>
      </c>
      <c r="AD10" s="29">
        <f>IF(IFERROR(VLOOKUP(AA10,RULES!$A:$E,5,0),"")="",CONFIG!$B$11,VLOOKUP(AA10,RULES!$A:$E,5,0))</f>
        <v/>
      </c>
      <c r="AE10" s="29">
        <f>IFERROR(VLOOKUP(AA10,RULES!$A:$F,6,0)*1,0)</f>
        <v/>
      </c>
      <c r="AF10" s="29">
        <f>IFERROR(VLOOKUP(AA10,RULES!$A:$G,7,0)*1,0)</f>
        <v/>
      </c>
      <c r="AG10" s="29">
        <f>IFERROR(VLOOKUP(AA10,RULES!$A:$H,8,0)*1,0)</f>
        <v/>
      </c>
      <c r="AH10" s="29">
        <f>IFERROR(VLOOKUP(AA10,RULES!$A:$I,9,0)*1,0)</f>
        <v/>
      </c>
      <c r="AI10" s="29">
        <f>IFERROR(VLOOKUP(AA10,RULES!$A:$J,10,0)*1,0)</f>
        <v/>
      </c>
      <c r="AJ10" s="29">
        <f>IFERROR(IF(VLOOKUP(AA10,RULES!$A:$K,11,0)="",999999,VLOOKUP(AA10,RULES!$A:$K,11,0)*1),999999)</f>
        <v/>
      </c>
      <c r="AK10" s="29">
        <f>IFERROR(VLOOKUP(AA10,RULES!$A:$L,12,0)*1,0)</f>
        <v/>
      </c>
      <c r="AL10" s="29">
        <f>IFERROR(VLOOKUP(AA10,RULES!$A:$M,13,0),"NONE")</f>
        <v/>
      </c>
      <c r="AM10" s="29">
        <f>IFERROR(VLOOKUP(AA10,RULES!$A:$N,14,0)*1,0)</f>
        <v/>
      </c>
      <c r="AN10" s="29">
        <f>IFERROR(VLOOKUP(AA10,RULES!$A:$O,15,0)*1,0)</f>
        <v/>
      </c>
      <c r="AO10" s="29">
        <f>IF(N10&lt;&gt;"",N10,IFERROR(VLOOKUP(AA10,RULES!$A:$P,16,0),CONFIG!$B$8))</f>
        <v/>
      </c>
      <c r="AP10" s="29">
        <f>IF(IFERROR(VLOOKUP(AA10,RULES!$A:$Q,17,0),"")="",CONFIG!$B$13,VLOOKUP(AA10,RULES!$A:$Q,17,0))</f>
        <v/>
      </c>
      <c r="AQ10" s="29">
        <f>IF(IFERROR(VLOOKUP(AA10,RULES!$A:$R,18,0),"")="",CONFIG!$B$14,VLOOKUP(AA10,RULES!$A:$R,18,0))</f>
        <v/>
      </c>
      <c r="AR10" s="29">
        <f>IFERROR(VLOOKUP(AA10,RULES!$A:$S,19,0)*1,0)</f>
        <v/>
      </c>
      <c r="AS10" s="29">
        <f>IFERROR(VLOOKUP(AA10,RULES!$A:$T,20,0)*1,0)</f>
        <v/>
      </c>
      <c r="AT10" s="29">
        <f>IFERROR(VLOOKUP(AA10,RULES!$A:$U,21,0)*1,0)</f>
        <v/>
      </c>
      <c r="AU10" s="29">
        <f>IFERROR(VLOOKUP(AA10,RULES!$A:$V,22,0)*1,0)</f>
        <v/>
      </c>
      <c r="AV10" s="29">
        <f>IFERROR(VLOOKUP(AA10,RULES!$A:$W,23,0)*1,0)</f>
        <v/>
      </c>
      <c r="AW10" s="29">
        <f>IFERROR(IF(VLOOKUP(AA10,RULES!$A:$X,24,0)="",999999,VLOOKUP(AA10,RULES!$A:$X,24,0)*1),999999)</f>
        <v/>
      </c>
      <c r="AX10" s="29">
        <f>IFERROR(VLOOKUP(AA10,RULES!$A:$Y,25,0)*1,0)</f>
        <v/>
      </c>
      <c r="AY10" s="29">
        <f>IFERROR(VLOOKUP(AA10,RULES!$A:$Z,26,0),"NONE")</f>
        <v/>
      </c>
      <c r="AZ10" s="29">
        <f>IFERROR(VLOOKUP(AA10,RULES!$A:$AA,27,0)*1,0)</f>
        <v/>
      </c>
      <c r="BA10" s="29">
        <f>IFERROR(VLOOKUP(AA10,RULES!$A:$AB,28,0)*1,0)</f>
        <v/>
      </c>
    </row>
    <row r="11" ht="17" customHeight="1">
      <c r="A11" s="22" t="inlineStr">
        <is>
          <t>798/8</t>
        </is>
      </c>
      <c r="B11" s="48" t="inlineStr">
        <is>
          <t>ACC001</t>
        </is>
      </c>
      <c r="C11" s="48" t="inlineStr">
        <is>
          <t>DEFAULT</t>
        </is>
      </c>
      <c r="D11" s="47" t="n"/>
      <c r="E11" s="22">
        <f>IF(OR(D11="",D11=0),"INACTIVE","ACTIVE")</f>
        <v/>
      </c>
      <c r="F11" s="48" t="inlineStr">
        <is>
          <t>NORMAL</t>
        </is>
      </c>
      <c r="G11" s="25" t="n"/>
      <c r="H11" s="25" t="n"/>
      <c r="I11" s="26">
        <f>IF(OR(E11="INACTIVE",H11=""),0,MAX(0,H11-G11))</f>
        <v/>
      </c>
      <c r="J11" s="23" t="n"/>
      <c r="K11" s="26">
        <f>IF(OR(E11="INACTIVE",H11=""),0,IF(AB11="DISABLED",0,IF(AB11="FLAT",AE11,IF(AB11="MANUAL",IF(J11="",0,J11*AC11),IF(AB11="STEP",IF(I11&lt;=AF11,I11*AG11,IF(I11&lt;=AH11,AF11*AG11+(I11-AF11)*AI11,AF11*AG11+(AH11-AF11)*AI11+(I11-AH11)*AK11)),MAX(I11*AC11,AD11))))))</f>
        <v/>
      </c>
      <c r="L11" s="26">
        <f>IF(OR(E11="INACTIVE",H11=""),0,IF(AL11="NONE",0,IF(AL11="FLAT",AM11,IF(AL11="PER_UNIT",I11*AN11,IF(AL11="MANUAL",IF(M11="",0,M11),0)))))</f>
        <v/>
      </c>
      <c r="M11" s="23" t="n"/>
      <c r="N11" s="48" t="inlineStr">
        <is>
          <t>NORMAL</t>
        </is>
      </c>
      <c r="O11" s="25" t="n"/>
      <c r="P11" s="25" t="n"/>
      <c r="Q11" s="26">
        <f>IF(OR(E11="INACTIVE",P11=""),0,MAX(0,P11-O11))</f>
        <v/>
      </c>
      <c r="R11" s="23" t="n"/>
      <c r="S11" s="26">
        <f>IF(OR(E11="INACTIVE",P11=""),0,IF(AO11="DISABLED",0,IF(AO11="FLAT",AR11,IF(AO11="MANUAL",IF(R11="",0,R11*AP11),IF(AO11="STEP",IF(Q11&lt;=AS11,Q11*AT11,IF(Q11&lt;=AU11,AS11*AT11+(Q11-AS11)*AV11,AS11*AT11+(AU11-AS11)*AV11+(Q11-AU11)*AX11)),MAX(Q11*AP11,AQ11))))))</f>
        <v/>
      </c>
      <c r="T11" s="26">
        <f>IF(OR(E11="INACTIVE",P11=""),0,IF(AY11="NONE",0,IF(AY11="FLAT",AZ11,IF(AY11="PER_UNIT",Q11*BA11,IF(AY11="MANUAL",IF(U11="",0,U11),0)))))</f>
        <v/>
      </c>
      <c r="U11" s="23" t="n"/>
      <c r="V11" s="25" t="n"/>
      <c r="W11" s="25" t="n"/>
      <c r="X11" s="26">
        <f>IF(E11="INACTIVE",0,D11+K11+L11+S11+T11+IF(V11="",0,V11)+IF(W11="",0,W11))</f>
        <v/>
      </c>
      <c r="Y11" s="27" t="n"/>
      <c r="Z11" s="28">
        <f>IF(E11="INACTIVE","_",IF(AND(G11&gt;0,H11&gt;0,H11&lt;G11),"[!]น้ำ reset ","")&amp;IF(AND(O11&gt;0,P11&gt;0,P11&lt;O11),"[!]ไฟ reset ","")&amp;IF(AND(F11="MANUAL",J11=""),"[X]units น้ำ ","")&amp;IF(AND(N11="MANUAL",R11=""),"[X]units ไฟ ","")&amp;IF(D11=0,"[!]ค่าเช่า=0",""))</f>
        <v/>
      </c>
      <c r="AA11" s="29">
        <f>IF(C11&lt;&gt;"",C11,CONFIG!$B$6)</f>
        <v/>
      </c>
      <c r="AB11" s="29">
        <f>IF(F11&lt;&gt;"",F11,IFERROR(VLOOKUP(AA11,RULES!$A:$C,3,0),CONFIG!$B$7))</f>
        <v/>
      </c>
      <c r="AC11" s="29">
        <f>IF(IFERROR(VLOOKUP(AA11,RULES!$A:$D,4,0),"")="",CONFIG!$B$10,VLOOKUP(AA11,RULES!$A:$D,4,0))</f>
        <v/>
      </c>
      <c r="AD11" s="29">
        <f>IF(IFERROR(VLOOKUP(AA11,RULES!$A:$E,5,0),"")="",CONFIG!$B$11,VLOOKUP(AA11,RULES!$A:$E,5,0))</f>
        <v/>
      </c>
      <c r="AE11" s="29">
        <f>IFERROR(VLOOKUP(AA11,RULES!$A:$F,6,0)*1,0)</f>
        <v/>
      </c>
      <c r="AF11" s="29">
        <f>IFERROR(VLOOKUP(AA11,RULES!$A:$G,7,0)*1,0)</f>
        <v/>
      </c>
      <c r="AG11" s="29">
        <f>IFERROR(VLOOKUP(AA11,RULES!$A:$H,8,0)*1,0)</f>
        <v/>
      </c>
      <c r="AH11" s="29">
        <f>IFERROR(VLOOKUP(AA11,RULES!$A:$I,9,0)*1,0)</f>
        <v/>
      </c>
      <c r="AI11" s="29">
        <f>IFERROR(VLOOKUP(AA11,RULES!$A:$J,10,0)*1,0)</f>
        <v/>
      </c>
      <c r="AJ11" s="29">
        <f>IFERROR(IF(VLOOKUP(AA11,RULES!$A:$K,11,0)="",999999,VLOOKUP(AA11,RULES!$A:$K,11,0)*1),999999)</f>
        <v/>
      </c>
      <c r="AK11" s="29">
        <f>IFERROR(VLOOKUP(AA11,RULES!$A:$L,12,0)*1,0)</f>
        <v/>
      </c>
      <c r="AL11" s="29">
        <f>IFERROR(VLOOKUP(AA11,RULES!$A:$M,13,0),"NONE")</f>
        <v/>
      </c>
      <c r="AM11" s="29">
        <f>IFERROR(VLOOKUP(AA11,RULES!$A:$N,14,0)*1,0)</f>
        <v/>
      </c>
      <c r="AN11" s="29">
        <f>IFERROR(VLOOKUP(AA11,RULES!$A:$O,15,0)*1,0)</f>
        <v/>
      </c>
      <c r="AO11" s="29">
        <f>IF(N11&lt;&gt;"",N11,IFERROR(VLOOKUP(AA11,RULES!$A:$P,16,0),CONFIG!$B$8))</f>
        <v/>
      </c>
      <c r="AP11" s="29">
        <f>IF(IFERROR(VLOOKUP(AA11,RULES!$A:$Q,17,0),"")="",CONFIG!$B$13,VLOOKUP(AA11,RULES!$A:$Q,17,0))</f>
        <v/>
      </c>
      <c r="AQ11" s="29">
        <f>IF(IFERROR(VLOOKUP(AA11,RULES!$A:$R,18,0),"")="",CONFIG!$B$14,VLOOKUP(AA11,RULES!$A:$R,18,0))</f>
        <v/>
      </c>
      <c r="AR11" s="29">
        <f>IFERROR(VLOOKUP(AA11,RULES!$A:$S,19,0)*1,0)</f>
        <v/>
      </c>
      <c r="AS11" s="29">
        <f>IFERROR(VLOOKUP(AA11,RULES!$A:$T,20,0)*1,0)</f>
        <v/>
      </c>
      <c r="AT11" s="29">
        <f>IFERROR(VLOOKUP(AA11,RULES!$A:$U,21,0)*1,0)</f>
        <v/>
      </c>
      <c r="AU11" s="29">
        <f>IFERROR(VLOOKUP(AA11,RULES!$A:$V,22,0)*1,0)</f>
        <v/>
      </c>
      <c r="AV11" s="29">
        <f>IFERROR(VLOOKUP(AA11,RULES!$A:$W,23,0)*1,0)</f>
        <v/>
      </c>
      <c r="AW11" s="29">
        <f>IFERROR(IF(VLOOKUP(AA11,RULES!$A:$X,24,0)="",999999,VLOOKUP(AA11,RULES!$A:$X,24,0)*1),999999)</f>
        <v/>
      </c>
      <c r="AX11" s="29">
        <f>IFERROR(VLOOKUP(AA11,RULES!$A:$Y,25,0)*1,0)</f>
        <v/>
      </c>
      <c r="AY11" s="29">
        <f>IFERROR(VLOOKUP(AA11,RULES!$A:$Z,26,0),"NONE")</f>
        <v/>
      </c>
      <c r="AZ11" s="29">
        <f>IFERROR(VLOOKUP(AA11,RULES!$A:$AA,27,0)*1,0)</f>
        <v/>
      </c>
      <c r="BA11" s="29">
        <f>IFERROR(VLOOKUP(AA11,RULES!$A:$AB,28,0)*1,0)</f>
        <v/>
      </c>
    </row>
    <row r="12" ht="17" customHeight="1">
      <c r="A12" s="22" t="inlineStr">
        <is>
          <t>798/9</t>
        </is>
      </c>
      <c r="B12" s="48" t="inlineStr">
        <is>
          <t>ACC001</t>
        </is>
      </c>
      <c r="C12" s="48" t="inlineStr">
        <is>
          <t>DEFAULT</t>
        </is>
      </c>
      <c r="D12" s="47" t="n"/>
      <c r="E12" s="22">
        <f>IF(OR(D12="",D12=0),"INACTIVE","ACTIVE")</f>
        <v/>
      </c>
      <c r="F12" s="48" t="inlineStr">
        <is>
          <t>NORMAL</t>
        </is>
      </c>
      <c r="G12" s="25" t="n"/>
      <c r="H12" s="25" t="n"/>
      <c r="I12" s="26">
        <f>IF(OR(E12="INACTIVE",H12=""),0,MAX(0,H12-G12))</f>
        <v/>
      </c>
      <c r="J12" s="23" t="n"/>
      <c r="K12" s="26">
        <f>IF(OR(E12="INACTIVE",H12=""),0,IF(AB12="DISABLED",0,IF(AB12="FLAT",AE12,IF(AB12="MANUAL",IF(J12="",0,J12*AC12),IF(AB12="STEP",IF(I12&lt;=AF12,I12*AG12,IF(I12&lt;=AH12,AF12*AG12+(I12-AF12)*AI12,AF12*AG12+(AH12-AF12)*AI12+(I12-AH12)*AK12)),MAX(I12*AC12,AD12))))))</f>
        <v/>
      </c>
      <c r="L12" s="26">
        <f>IF(OR(E12="INACTIVE",H12=""),0,IF(AL12="NONE",0,IF(AL12="FLAT",AM12,IF(AL12="PER_UNIT",I12*AN12,IF(AL12="MANUAL",IF(M12="",0,M12),0)))))</f>
        <v/>
      </c>
      <c r="M12" s="23" t="n"/>
      <c r="N12" s="48" t="inlineStr">
        <is>
          <t>NORMAL</t>
        </is>
      </c>
      <c r="O12" s="25" t="n"/>
      <c r="P12" s="25" t="n"/>
      <c r="Q12" s="26">
        <f>IF(OR(E12="INACTIVE",P12=""),0,MAX(0,P12-O12))</f>
        <v/>
      </c>
      <c r="R12" s="23" t="n"/>
      <c r="S12" s="26">
        <f>IF(OR(E12="INACTIVE",P12=""),0,IF(AO12="DISABLED",0,IF(AO12="FLAT",AR12,IF(AO12="MANUAL",IF(R12="",0,R12*AP12),IF(AO12="STEP",IF(Q12&lt;=AS12,Q12*AT12,IF(Q12&lt;=AU12,AS12*AT12+(Q12-AS12)*AV12,AS12*AT12+(AU12-AS12)*AV12+(Q12-AU12)*AX12)),MAX(Q12*AP12,AQ12))))))</f>
        <v/>
      </c>
      <c r="T12" s="26">
        <f>IF(OR(E12="INACTIVE",P12=""),0,IF(AY12="NONE",0,IF(AY12="FLAT",AZ12,IF(AY12="PER_UNIT",Q12*BA12,IF(AY12="MANUAL",IF(U12="",0,U12),0)))))</f>
        <v/>
      </c>
      <c r="U12" s="23" t="n"/>
      <c r="V12" s="25" t="n"/>
      <c r="W12" s="25" t="n"/>
      <c r="X12" s="26">
        <f>IF(E12="INACTIVE",0,D12+K12+L12+S12+T12+IF(V12="",0,V12)+IF(W12="",0,W12))</f>
        <v/>
      </c>
      <c r="Y12" s="27" t="n"/>
      <c r="Z12" s="28">
        <f>IF(E12="INACTIVE","_",IF(AND(G12&gt;0,H12&gt;0,H12&lt;G12),"[!]น้ำ reset ","")&amp;IF(AND(O12&gt;0,P12&gt;0,P12&lt;O12),"[!]ไฟ reset ","")&amp;IF(AND(F12="MANUAL",J12=""),"[X]units น้ำ ","")&amp;IF(AND(N12="MANUAL",R12=""),"[X]units ไฟ ","")&amp;IF(D12=0,"[!]ค่าเช่า=0",""))</f>
        <v/>
      </c>
      <c r="AA12" s="29">
        <f>IF(C12&lt;&gt;"",C12,CONFIG!$B$6)</f>
        <v/>
      </c>
      <c r="AB12" s="29">
        <f>IF(F12&lt;&gt;"",F12,IFERROR(VLOOKUP(AA12,RULES!$A:$C,3,0),CONFIG!$B$7))</f>
        <v/>
      </c>
      <c r="AC12" s="29">
        <f>IF(IFERROR(VLOOKUP(AA12,RULES!$A:$D,4,0),"")="",CONFIG!$B$10,VLOOKUP(AA12,RULES!$A:$D,4,0))</f>
        <v/>
      </c>
      <c r="AD12" s="29">
        <f>IF(IFERROR(VLOOKUP(AA12,RULES!$A:$E,5,0),"")="",CONFIG!$B$11,VLOOKUP(AA12,RULES!$A:$E,5,0))</f>
        <v/>
      </c>
      <c r="AE12" s="29">
        <f>IFERROR(VLOOKUP(AA12,RULES!$A:$F,6,0)*1,0)</f>
        <v/>
      </c>
      <c r="AF12" s="29">
        <f>IFERROR(VLOOKUP(AA12,RULES!$A:$G,7,0)*1,0)</f>
        <v/>
      </c>
      <c r="AG12" s="29">
        <f>IFERROR(VLOOKUP(AA12,RULES!$A:$H,8,0)*1,0)</f>
        <v/>
      </c>
      <c r="AH12" s="29">
        <f>IFERROR(VLOOKUP(AA12,RULES!$A:$I,9,0)*1,0)</f>
        <v/>
      </c>
      <c r="AI12" s="29">
        <f>IFERROR(VLOOKUP(AA12,RULES!$A:$J,10,0)*1,0)</f>
        <v/>
      </c>
      <c r="AJ12" s="29">
        <f>IFERROR(IF(VLOOKUP(AA12,RULES!$A:$K,11,0)="",999999,VLOOKUP(AA12,RULES!$A:$K,11,0)*1),999999)</f>
        <v/>
      </c>
      <c r="AK12" s="29">
        <f>IFERROR(VLOOKUP(AA12,RULES!$A:$L,12,0)*1,0)</f>
        <v/>
      </c>
      <c r="AL12" s="29">
        <f>IFERROR(VLOOKUP(AA12,RULES!$A:$M,13,0),"NONE")</f>
        <v/>
      </c>
      <c r="AM12" s="29">
        <f>IFERROR(VLOOKUP(AA12,RULES!$A:$N,14,0)*1,0)</f>
        <v/>
      </c>
      <c r="AN12" s="29">
        <f>IFERROR(VLOOKUP(AA12,RULES!$A:$O,15,0)*1,0)</f>
        <v/>
      </c>
      <c r="AO12" s="29">
        <f>IF(N12&lt;&gt;"",N12,IFERROR(VLOOKUP(AA12,RULES!$A:$P,16,0),CONFIG!$B$8))</f>
        <v/>
      </c>
      <c r="AP12" s="29">
        <f>IF(IFERROR(VLOOKUP(AA12,RULES!$A:$Q,17,0),"")="",CONFIG!$B$13,VLOOKUP(AA12,RULES!$A:$Q,17,0))</f>
        <v/>
      </c>
      <c r="AQ12" s="29">
        <f>IF(IFERROR(VLOOKUP(AA12,RULES!$A:$R,18,0),"")="",CONFIG!$B$14,VLOOKUP(AA12,RULES!$A:$R,18,0))</f>
        <v/>
      </c>
      <c r="AR12" s="29">
        <f>IFERROR(VLOOKUP(AA12,RULES!$A:$S,19,0)*1,0)</f>
        <v/>
      </c>
      <c r="AS12" s="29">
        <f>IFERROR(VLOOKUP(AA12,RULES!$A:$T,20,0)*1,0)</f>
        <v/>
      </c>
      <c r="AT12" s="29">
        <f>IFERROR(VLOOKUP(AA12,RULES!$A:$U,21,0)*1,0)</f>
        <v/>
      </c>
      <c r="AU12" s="29">
        <f>IFERROR(VLOOKUP(AA12,RULES!$A:$V,22,0)*1,0)</f>
        <v/>
      </c>
      <c r="AV12" s="29">
        <f>IFERROR(VLOOKUP(AA12,RULES!$A:$W,23,0)*1,0)</f>
        <v/>
      </c>
      <c r="AW12" s="29">
        <f>IFERROR(IF(VLOOKUP(AA12,RULES!$A:$X,24,0)="",999999,VLOOKUP(AA12,RULES!$A:$X,24,0)*1),999999)</f>
        <v/>
      </c>
      <c r="AX12" s="29">
        <f>IFERROR(VLOOKUP(AA12,RULES!$A:$Y,25,0)*1,0)</f>
        <v/>
      </c>
      <c r="AY12" s="29">
        <f>IFERROR(VLOOKUP(AA12,RULES!$A:$Z,26,0),"NONE")</f>
        <v/>
      </c>
      <c r="AZ12" s="29">
        <f>IFERROR(VLOOKUP(AA12,RULES!$A:$AA,27,0)*1,0)</f>
        <v/>
      </c>
      <c r="BA12" s="29">
        <f>IFERROR(VLOOKUP(AA12,RULES!$A:$AB,28,0)*1,0)</f>
        <v/>
      </c>
    </row>
    <row r="13" ht="17" customHeight="1">
      <c r="A13" s="22" t="inlineStr">
        <is>
          <t>798/10</t>
        </is>
      </c>
      <c r="B13" s="48" t="inlineStr">
        <is>
          <t>ACC001</t>
        </is>
      </c>
      <c r="C13" s="48" t="inlineStr">
        <is>
          <t>DEFAULT</t>
        </is>
      </c>
      <c r="D13" s="47" t="n"/>
      <c r="E13" s="22">
        <f>IF(OR(D13="",D13=0),"INACTIVE","ACTIVE")</f>
        <v/>
      </c>
      <c r="F13" s="48" t="inlineStr">
        <is>
          <t>NORMAL</t>
        </is>
      </c>
      <c r="G13" s="25" t="n"/>
      <c r="H13" s="25" t="n"/>
      <c r="I13" s="26">
        <f>IF(OR(E13="INACTIVE",H13=""),0,MAX(0,H13-G13))</f>
        <v/>
      </c>
      <c r="J13" s="23" t="n"/>
      <c r="K13" s="26">
        <f>IF(OR(E13="INACTIVE",H13=""),0,IF(AB13="DISABLED",0,IF(AB13="FLAT",AE13,IF(AB13="MANUAL",IF(J13="",0,J13*AC13),IF(AB13="STEP",IF(I13&lt;=AF13,I13*AG13,IF(I13&lt;=AH13,AF13*AG13+(I13-AF13)*AI13,AF13*AG13+(AH13-AF13)*AI13+(I13-AH13)*AK13)),MAX(I13*AC13,AD13))))))</f>
        <v/>
      </c>
      <c r="L13" s="26">
        <f>IF(OR(E13="INACTIVE",H13=""),0,IF(AL13="NONE",0,IF(AL13="FLAT",AM13,IF(AL13="PER_UNIT",I13*AN13,IF(AL13="MANUAL",IF(M13="",0,M13),0)))))</f>
        <v/>
      </c>
      <c r="M13" s="23" t="n"/>
      <c r="N13" s="48" t="inlineStr">
        <is>
          <t>NORMAL</t>
        </is>
      </c>
      <c r="O13" s="25" t="n"/>
      <c r="P13" s="25" t="n"/>
      <c r="Q13" s="26">
        <f>IF(OR(E13="INACTIVE",P13=""),0,MAX(0,P13-O13))</f>
        <v/>
      </c>
      <c r="R13" s="23" t="n"/>
      <c r="S13" s="26">
        <f>IF(OR(E13="INACTIVE",P13=""),0,IF(AO13="DISABLED",0,IF(AO13="FLAT",AR13,IF(AO13="MANUAL",IF(R13="",0,R13*AP13),IF(AO13="STEP",IF(Q13&lt;=AS13,Q13*AT13,IF(Q13&lt;=AU13,AS13*AT13+(Q13-AS13)*AV13,AS13*AT13+(AU13-AS13)*AV13+(Q13-AU13)*AX13)),MAX(Q13*AP13,AQ13))))))</f>
        <v/>
      </c>
      <c r="T13" s="26">
        <f>IF(OR(E13="INACTIVE",P13=""),0,IF(AY13="NONE",0,IF(AY13="FLAT",AZ13,IF(AY13="PER_UNIT",Q13*BA13,IF(AY13="MANUAL",IF(U13="",0,U13),0)))))</f>
        <v/>
      </c>
      <c r="U13" s="23" t="n"/>
      <c r="V13" s="25" t="n"/>
      <c r="W13" s="25" t="n"/>
      <c r="X13" s="26">
        <f>IF(E13="INACTIVE",0,D13+K13+L13+S13+T13+IF(V13="",0,V13)+IF(W13="",0,W13))</f>
        <v/>
      </c>
      <c r="Y13" s="27" t="n"/>
      <c r="Z13" s="28">
        <f>IF(E13="INACTIVE","_",IF(AND(G13&gt;0,H13&gt;0,H13&lt;G13),"[!]น้ำ reset ","")&amp;IF(AND(O13&gt;0,P13&gt;0,P13&lt;O13),"[!]ไฟ reset ","")&amp;IF(AND(F13="MANUAL",J13=""),"[X]units น้ำ ","")&amp;IF(AND(N13="MANUAL",R13=""),"[X]units ไฟ ","")&amp;IF(D13=0,"[!]ค่าเช่า=0",""))</f>
        <v/>
      </c>
      <c r="AA13" s="29">
        <f>IF(C13&lt;&gt;"",C13,CONFIG!$B$6)</f>
        <v/>
      </c>
      <c r="AB13" s="29">
        <f>IF(F13&lt;&gt;"",F13,IFERROR(VLOOKUP(AA13,RULES!$A:$C,3,0),CONFIG!$B$7))</f>
        <v/>
      </c>
      <c r="AC13" s="29">
        <f>IF(IFERROR(VLOOKUP(AA13,RULES!$A:$D,4,0),"")="",CONFIG!$B$10,VLOOKUP(AA13,RULES!$A:$D,4,0))</f>
        <v/>
      </c>
      <c r="AD13" s="29">
        <f>IF(IFERROR(VLOOKUP(AA13,RULES!$A:$E,5,0),"")="",CONFIG!$B$11,VLOOKUP(AA13,RULES!$A:$E,5,0))</f>
        <v/>
      </c>
      <c r="AE13" s="29">
        <f>IFERROR(VLOOKUP(AA13,RULES!$A:$F,6,0)*1,0)</f>
        <v/>
      </c>
      <c r="AF13" s="29">
        <f>IFERROR(VLOOKUP(AA13,RULES!$A:$G,7,0)*1,0)</f>
        <v/>
      </c>
      <c r="AG13" s="29">
        <f>IFERROR(VLOOKUP(AA13,RULES!$A:$H,8,0)*1,0)</f>
        <v/>
      </c>
      <c r="AH13" s="29">
        <f>IFERROR(VLOOKUP(AA13,RULES!$A:$I,9,0)*1,0)</f>
        <v/>
      </c>
      <c r="AI13" s="29">
        <f>IFERROR(VLOOKUP(AA13,RULES!$A:$J,10,0)*1,0)</f>
        <v/>
      </c>
      <c r="AJ13" s="29">
        <f>IFERROR(IF(VLOOKUP(AA13,RULES!$A:$K,11,0)="",999999,VLOOKUP(AA13,RULES!$A:$K,11,0)*1),999999)</f>
        <v/>
      </c>
      <c r="AK13" s="29">
        <f>IFERROR(VLOOKUP(AA13,RULES!$A:$L,12,0)*1,0)</f>
        <v/>
      </c>
      <c r="AL13" s="29">
        <f>IFERROR(VLOOKUP(AA13,RULES!$A:$M,13,0),"NONE")</f>
        <v/>
      </c>
      <c r="AM13" s="29">
        <f>IFERROR(VLOOKUP(AA13,RULES!$A:$N,14,0)*1,0)</f>
        <v/>
      </c>
      <c r="AN13" s="29">
        <f>IFERROR(VLOOKUP(AA13,RULES!$A:$O,15,0)*1,0)</f>
        <v/>
      </c>
      <c r="AO13" s="29">
        <f>IF(N13&lt;&gt;"",N13,IFERROR(VLOOKUP(AA13,RULES!$A:$P,16,0),CONFIG!$B$8))</f>
        <v/>
      </c>
      <c r="AP13" s="29">
        <f>IF(IFERROR(VLOOKUP(AA13,RULES!$A:$Q,17,0),"")="",CONFIG!$B$13,VLOOKUP(AA13,RULES!$A:$Q,17,0))</f>
        <v/>
      </c>
      <c r="AQ13" s="29">
        <f>IF(IFERROR(VLOOKUP(AA13,RULES!$A:$R,18,0),"")="",CONFIG!$B$14,VLOOKUP(AA13,RULES!$A:$R,18,0))</f>
        <v/>
      </c>
      <c r="AR13" s="29">
        <f>IFERROR(VLOOKUP(AA13,RULES!$A:$S,19,0)*1,0)</f>
        <v/>
      </c>
      <c r="AS13" s="29">
        <f>IFERROR(VLOOKUP(AA13,RULES!$A:$T,20,0)*1,0)</f>
        <v/>
      </c>
      <c r="AT13" s="29">
        <f>IFERROR(VLOOKUP(AA13,RULES!$A:$U,21,0)*1,0)</f>
        <v/>
      </c>
      <c r="AU13" s="29">
        <f>IFERROR(VLOOKUP(AA13,RULES!$A:$V,22,0)*1,0)</f>
        <v/>
      </c>
      <c r="AV13" s="29">
        <f>IFERROR(VLOOKUP(AA13,RULES!$A:$W,23,0)*1,0)</f>
        <v/>
      </c>
      <c r="AW13" s="29">
        <f>IFERROR(IF(VLOOKUP(AA13,RULES!$A:$X,24,0)="",999999,VLOOKUP(AA13,RULES!$A:$X,24,0)*1),999999)</f>
        <v/>
      </c>
      <c r="AX13" s="29">
        <f>IFERROR(VLOOKUP(AA13,RULES!$A:$Y,25,0)*1,0)</f>
        <v/>
      </c>
      <c r="AY13" s="29">
        <f>IFERROR(VLOOKUP(AA13,RULES!$A:$Z,26,0),"NONE")</f>
        <v/>
      </c>
      <c r="AZ13" s="29">
        <f>IFERROR(VLOOKUP(AA13,RULES!$A:$AA,27,0)*1,0)</f>
        <v/>
      </c>
      <c r="BA13" s="29">
        <f>IFERROR(VLOOKUP(AA13,RULES!$A:$AB,28,0)*1,0)</f>
        <v/>
      </c>
    </row>
    <row r="14" ht="17" customHeight="1">
      <c r="A14" s="22" t="inlineStr">
        <is>
          <t>798/11</t>
        </is>
      </c>
      <c r="B14" s="48" t="inlineStr">
        <is>
          <t>ACC001</t>
        </is>
      </c>
      <c r="C14" s="48" t="inlineStr">
        <is>
          <t>DEFAULT</t>
        </is>
      </c>
      <c r="D14" s="47" t="n"/>
      <c r="E14" s="22">
        <f>IF(OR(D14="",D14=0),"INACTIVE","ACTIVE")</f>
        <v/>
      </c>
      <c r="F14" s="48" t="inlineStr">
        <is>
          <t>NORMAL</t>
        </is>
      </c>
      <c r="G14" s="25" t="n"/>
      <c r="H14" s="25" t="n"/>
      <c r="I14" s="26">
        <f>IF(OR(E14="INACTIVE",H14=""),0,MAX(0,H14-G14))</f>
        <v/>
      </c>
      <c r="J14" s="23" t="n"/>
      <c r="K14" s="26">
        <f>IF(OR(E14="INACTIVE",H14=""),0,IF(AB14="DISABLED",0,IF(AB14="FLAT",AE14,IF(AB14="MANUAL",IF(J14="",0,J14*AC14),IF(AB14="STEP",IF(I14&lt;=AF14,I14*AG14,IF(I14&lt;=AH14,AF14*AG14+(I14-AF14)*AI14,AF14*AG14+(AH14-AF14)*AI14+(I14-AH14)*AK14)),MAX(I14*AC14,AD14))))))</f>
        <v/>
      </c>
      <c r="L14" s="26">
        <f>IF(OR(E14="INACTIVE",H14=""),0,IF(AL14="NONE",0,IF(AL14="FLAT",AM14,IF(AL14="PER_UNIT",I14*AN14,IF(AL14="MANUAL",IF(M14="",0,M14),0)))))</f>
        <v/>
      </c>
      <c r="M14" s="23" t="n"/>
      <c r="N14" s="48" t="inlineStr">
        <is>
          <t>NORMAL</t>
        </is>
      </c>
      <c r="O14" s="25" t="n"/>
      <c r="P14" s="25" t="n"/>
      <c r="Q14" s="26">
        <f>IF(OR(E14="INACTIVE",P14=""),0,MAX(0,P14-O14))</f>
        <v/>
      </c>
      <c r="R14" s="23" t="n"/>
      <c r="S14" s="26">
        <f>IF(OR(E14="INACTIVE",P14=""),0,IF(AO14="DISABLED",0,IF(AO14="FLAT",AR14,IF(AO14="MANUAL",IF(R14="",0,R14*AP14),IF(AO14="STEP",IF(Q14&lt;=AS14,Q14*AT14,IF(Q14&lt;=AU14,AS14*AT14+(Q14-AS14)*AV14,AS14*AT14+(AU14-AS14)*AV14+(Q14-AU14)*AX14)),MAX(Q14*AP14,AQ14))))))</f>
        <v/>
      </c>
      <c r="T14" s="26">
        <f>IF(OR(E14="INACTIVE",P14=""),0,IF(AY14="NONE",0,IF(AY14="FLAT",AZ14,IF(AY14="PER_UNIT",Q14*BA14,IF(AY14="MANUAL",IF(U14="",0,U14),0)))))</f>
        <v/>
      </c>
      <c r="U14" s="23" t="n"/>
      <c r="V14" s="25" t="n"/>
      <c r="W14" s="25" t="n"/>
      <c r="X14" s="26">
        <f>IF(E14="INACTIVE",0,D14+K14+L14+S14+T14+IF(V14="",0,V14)+IF(W14="",0,W14))</f>
        <v/>
      </c>
      <c r="Y14" s="27" t="n"/>
      <c r="Z14" s="28">
        <f>IF(E14="INACTIVE","_",IF(AND(G14&gt;0,H14&gt;0,H14&lt;G14),"[!]น้ำ reset ","")&amp;IF(AND(O14&gt;0,P14&gt;0,P14&lt;O14),"[!]ไฟ reset ","")&amp;IF(AND(F14="MANUAL",J14=""),"[X]units น้ำ ","")&amp;IF(AND(N14="MANUAL",R14=""),"[X]units ไฟ ","")&amp;IF(D14=0,"[!]ค่าเช่า=0",""))</f>
        <v/>
      </c>
      <c r="AA14" s="29">
        <f>IF(C14&lt;&gt;"",C14,CONFIG!$B$6)</f>
        <v/>
      </c>
      <c r="AB14" s="29">
        <f>IF(F14&lt;&gt;"",F14,IFERROR(VLOOKUP(AA14,RULES!$A:$C,3,0),CONFIG!$B$7))</f>
        <v/>
      </c>
      <c r="AC14" s="29">
        <f>IF(IFERROR(VLOOKUP(AA14,RULES!$A:$D,4,0),"")="",CONFIG!$B$10,VLOOKUP(AA14,RULES!$A:$D,4,0))</f>
        <v/>
      </c>
      <c r="AD14" s="29">
        <f>IF(IFERROR(VLOOKUP(AA14,RULES!$A:$E,5,0),"")="",CONFIG!$B$11,VLOOKUP(AA14,RULES!$A:$E,5,0))</f>
        <v/>
      </c>
      <c r="AE14" s="29">
        <f>IFERROR(VLOOKUP(AA14,RULES!$A:$F,6,0)*1,0)</f>
        <v/>
      </c>
      <c r="AF14" s="29">
        <f>IFERROR(VLOOKUP(AA14,RULES!$A:$G,7,0)*1,0)</f>
        <v/>
      </c>
      <c r="AG14" s="29">
        <f>IFERROR(VLOOKUP(AA14,RULES!$A:$H,8,0)*1,0)</f>
        <v/>
      </c>
      <c r="AH14" s="29">
        <f>IFERROR(VLOOKUP(AA14,RULES!$A:$I,9,0)*1,0)</f>
        <v/>
      </c>
      <c r="AI14" s="29">
        <f>IFERROR(VLOOKUP(AA14,RULES!$A:$J,10,0)*1,0)</f>
        <v/>
      </c>
      <c r="AJ14" s="29">
        <f>IFERROR(IF(VLOOKUP(AA14,RULES!$A:$K,11,0)="",999999,VLOOKUP(AA14,RULES!$A:$K,11,0)*1),999999)</f>
        <v/>
      </c>
      <c r="AK14" s="29">
        <f>IFERROR(VLOOKUP(AA14,RULES!$A:$L,12,0)*1,0)</f>
        <v/>
      </c>
      <c r="AL14" s="29">
        <f>IFERROR(VLOOKUP(AA14,RULES!$A:$M,13,0),"NONE")</f>
        <v/>
      </c>
      <c r="AM14" s="29">
        <f>IFERROR(VLOOKUP(AA14,RULES!$A:$N,14,0)*1,0)</f>
        <v/>
      </c>
      <c r="AN14" s="29">
        <f>IFERROR(VLOOKUP(AA14,RULES!$A:$O,15,0)*1,0)</f>
        <v/>
      </c>
      <c r="AO14" s="29">
        <f>IF(N14&lt;&gt;"",N14,IFERROR(VLOOKUP(AA14,RULES!$A:$P,16,0),CONFIG!$B$8))</f>
        <v/>
      </c>
      <c r="AP14" s="29">
        <f>IF(IFERROR(VLOOKUP(AA14,RULES!$A:$Q,17,0),"")="",CONFIG!$B$13,VLOOKUP(AA14,RULES!$A:$Q,17,0))</f>
        <v/>
      </c>
      <c r="AQ14" s="29">
        <f>IF(IFERROR(VLOOKUP(AA14,RULES!$A:$R,18,0),"")="",CONFIG!$B$14,VLOOKUP(AA14,RULES!$A:$R,18,0))</f>
        <v/>
      </c>
      <c r="AR14" s="29">
        <f>IFERROR(VLOOKUP(AA14,RULES!$A:$S,19,0)*1,0)</f>
        <v/>
      </c>
      <c r="AS14" s="29">
        <f>IFERROR(VLOOKUP(AA14,RULES!$A:$T,20,0)*1,0)</f>
        <v/>
      </c>
      <c r="AT14" s="29">
        <f>IFERROR(VLOOKUP(AA14,RULES!$A:$U,21,0)*1,0)</f>
        <v/>
      </c>
      <c r="AU14" s="29">
        <f>IFERROR(VLOOKUP(AA14,RULES!$A:$V,22,0)*1,0)</f>
        <v/>
      </c>
      <c r="AV14" s="29">
        <f>IFERROR(VLOOKUP(AA14,RULES!$A:$W,23,0)*1,0)</f>
        <v/>
      </c>
      <c r="AW14" s="29">
        <f>IFERROR(IF(VLOOKUP(AA14,RULES!$A:$X,24,0)="",999999,VLOOKUP(AA14,RULES!$A:$X,24,0)*1),999999)</f>
        <v/>
      </c>
      <c r="AX14" s="29">
        <f>IFERROR(VLOOKUP(AA14,RULES!$A:$Y,25,0)*1,0)</f>
        <v/>
      </c>
      <c r="AY14" s="29">
        <f>IFERROR(VLOOKUP(AA14,RULES!$A:$Z,26,0),"NONE")</f>
        <v/>
      </c>
      <c r="AZ14" s="29">
        <f>IFERROR(VLOOKUP(AA14,RULES!$A:$AA,27,0)*1,0)</f>
        <v/>
      </c>
      <c r="BA14" s="29">
        <f>IFERROR(VLOOKUP(AA14,RULES!$A:$AB,28,0)*1,0)</f>
        <v/>
      </c>
    </row>
    <row r="15" ht="17" customHeight="1">
      <c r="A15" s="22" t="inlineStr">
        <is>
          <t>798/12</t>
        </is>
      </c>
      <c r="B15" s="48" t="inlineStr">
        <is>
          <t>ACC001</t>
        </is>
      </c>
      <c r="C15" s="48" t="inlineStr">
        <is>
          <t>DEFAULT</t>
        </is>
      </c>
      <c r="D15" s="47" t="n"/>
      <c r="E15" s="22">
        <f>IF(OR(D15="",D15=0),"INACTIVE","ACTIVE")</f>
        <v/>
      </c>
      <c r="F15" s="48" t="inlineStr">
        <is>
          <t>NORMAL</t>
        </is>
      </c>
      <c r="G15" s="25" t="n"/>
      <c r="H15" s="25" t="n"/>
      <c r="I15" s="26">
        <f>IF(OR(E15="INACTIVE",H15=""),0,MAX(0,H15-G15))</f>
        <v/>
      </c>
      <c r="J15" s="23" t="n"/>
      <c r="K15" s="26">
        <f>IF(OR(E15="INACTIVE",H15=""),0,IF(AB15="DISABLED",0,IF(AB15="FLAT",AE15,IF(AB15="MANUAL",IF(J15="",0,J15*AC15),IF(AB15="STEP",IF(I15&lt;=AF15,I15*AG15,IF(I15&lt;=AH15,AF15*AG15+(I15-AF15)*AI15,AF15*AG15+(AH15-AF15)*AI15+(I15-AH15)*AK15)),MAX(I15*AC15,AD15))))))</f>
        <v/>
      </c>
      <c r="L15" s="26">
        <f>IF(OR(E15="INACTIVE",H15=""),0,IF(AL15="NONE",0,IF(AL15="FLAT",AM15,IF(AL15="PER_UNIT",I15*AN15,IF(AL15="MANUAL",IF(M15="",0,M15),0)))))</f>
        <v/>
      </c>
      <c r="M15" s="23" t="n"/>
      <c r="N15" s="48" t="inlineStr">
        <is>
          <t>NORMAL</t>
        </is>
      </c>
      <c r="O15" s="25" t="n"/>
      <c r="P15" s="25" t="n"/>
      <c r="Q15" s="26">
        <f>IF(OR(E15="INACTIVE",P15=""),0,MAX(0,P15-O15))</f>
        <v/>
      </c>
      <c r="R15" s="23" t="n"/>
      <c r="S15" s="26">
        <f>IF(OR(E15="INACTIVE",P15=""),0,IF(AO15="DISABLED",0,IF(AO15="FLAT",AR15,IF(AO15="MANUAL",IF(R15="",0,R15*AP15),IF(AO15="STEP",IF(Q15&lt;=AS15,Q15*AT15,IF(Q15&lt;=AU15,AS15*AT15+(Q15-AS15)*AV15,AS15*AT15+(AU15-AS15)*AV15+(Q15-AU15)*AX15)),MAX(Q15*AP15,AQ15))))))</f>
        <v/>
      </c>
      <c r="T15" s="26">
        <f>IF(OR(E15="INACTIVE",P15=""),0,IF(AY15="NONE",0,IF(AY15="FLAT",AZ15,IF(AY15="PER_UNIT",Q15*BA15,IF(AY15="MANUAL",IF(U15="",0,U15),0)))))</f>
        <v/>
      </c>
      <c r="U15" s="23" t="n"/>
      <c r="V15" s="25" t="n"/>
      <c r="W15" s="25" t="n"/>
      <c r="X15" s="26">
        <f>IF(E15="INACTIVE",0,D15+K15+L15+S15+T15+IF(V15="",0,V15)+IF(W15="",0,W15))</f>
        <v/>
      </c>
      <c r="Y15" s="27" t="n"/>
      <c r="Z15" s="28">
        <f>IF(E15="INACTIVE","_",IF(AND(G15&gt;0,H15&gt;0,H15&lt;G15),"[!]น้ำ reset ","")&amp;IF(AND(O15&gt;0,P15&gt;0,P15&lt;O15),"[!]ไฟ reset ","")&amp;IF(AND(F15="MANUAL",J15=""),"[X]units น้ำ ","")&amp;IF(AND(N15="MANUAL",R15=""),"[X]units ไฟ ","")&amp;IF(D15=0,"[!]ค่าเช่า=0",""))</f>
        <v/>
      </c>
      <c r="AA15" s="29">
        <f>IF(C15&lt;&gt;"",C15,CONFIG!$B$6)</f>
        <v/>
      </c>
      <c r="AB15" s="29">
        <f>IF(F15&lt;&gt;"",F15,IFERROR(VLOOKUP(AA15,RULES!$A:$C,3,0),CONFIG!$B$7))</f>
        <v/>
      </c>
      <c r="AC15" s="29">
        <f>IF(IFERROR(VLOOKUP(AA15,RULES!$A:$D,4,0),"")="",CONFIG!$B$10,VLOOKUP(AA15,RULES!$A:$D,4,0))</f>
        <v/>
      </c>
      <c r="AD15" s="29">
        <f>IF(IFERROR(VLOOKUP(AA15,RULES!$A:$E,5,0),"")="",CONFIG!$B$11,VLOOKUP(AA15,RULES!$A:$E,5,0))</f>
        <v/>
      </c>
      <c r="AE15" s="29">
        <f>IFERROR(VLOOKUP(AA15,RULES!$A:$F,6,0)*1,0)</f>
        <v/>
      </c>
      <c r="AF15" s="29">
        <f>IFERROR(VLOOKUP(AA15,RULES!$A:$G,7,0)*1,0)</f>
        <v/>
      </c>
      <c r="AG15" s="29">
        <f>IFERROR(VLOOKUP(AA15,RULES!$A:$H,8,0)*1,0)</f>
        <v/>
      </c>
      <c r="AH15" s="29">
        <f>IFERROR(VLOOKUP(AA15,RULES!$A:$I,9,0)*1,0)</f>
        <v/>
      </c>
      <c r="AI15" s="29">
        <f>IFERROR(VLOOKUP(AA15,RULES!$A:$J,10,0)*1,0)</f>
        <v/>
      </c>
      <c r="AJ15" s="29">
        <f>IFERROR(IF(VLOOKUP(AA15,RULES!$A:$K,11,0)="",999999,VLOOKUP(AA15,RULES!$A:$K,11,0)*1),999999)</f>
        <v/>
      </c>
      <c r="AK15" s="29">
        <f>IFERROR(VLOOKUP(AA15,RULES!$A:$L,12,0)*1,0)</f>
        <v/>
      </c>
      <c r="AL15" s="29">
        <f>IFERROR(VLOOKUP(AA15,RULES!$A:$M,13,0),"NONE")</f>
        <v/>
      </c>
      <c r="AM15" s="29">
        <f>IFERROR(VLOOKUP(AA15,RULES!$A:$N,14,0)*1,0)</f>
        <v/>
      </c>
      <c r="AN15" s="29">
        <f>IFERROR(VLOOKUP(AA15,RULES!$A:$O,15,0)*1,0)</f>
        <v/>
      </c>
      <c r="AO15" s="29">
        <f>IF(N15&lt;&gt;"",N15,IFERROR(VLOOKUP(AA15,RULES!$A:$P,16,0),CONFIG!$B$8))</f>
        <v/>
      </c>
      <c r="AP15" s="29">
        <f>IF(IFERROR(VLOOKUP(AA15,RULES!$A:$Q,17,0),"")="",CONFIG!$B$13,VLOOKUP(AA15,RULES!$A:$Q,17,0))</f>
        <v/>
      </c>
      <c r="AQ15" s="29">
        <f>IF(IFERROR(VLOOKUP(AA15,RULES!$A:$R,18,0),"")="",CONFIG!$B$14,VLOOKUP(AA15,RULES!$A:$R,18,0))</f>
        <v/>
      </c>
      <c r="AR15" s="29">
        <f>IFERROR(VLOOKUP(AA15,RULES!$A:$S,19,0)*1,0)</f>
        <v/>
      </c>
      <c r="AS15" s="29">
        <f>IFERROR(VLOOKUP(AA15,RULES!$A:$T,20,0)*1,0)</f>
        <v/>
      </c>
      <c r="AT15" s="29">
        <f>IFERROR(VLOOKUP(AA15,RULES!$A:$U,21,0)*1,0)</f>
        <v/>
      </c>
      <c r="AU15" s="29">
        <f>IFERROR(VLOOKUP(AA15,RULES!$A:$V,22,0)*1,0)</f>
        <v/>
      </c>
      <c r="AV15" s="29">
        <f>IFERROR(VLOOKUP(AA15,RULES!$A:$W,23,0)*1,0)</f>
        <v/>
      </c>
      <c r="AW15" s="29">
        <f>IFERROR(IF(VLOOKUP(AA15,RULES!$A:$X,24,0)="",999999,VLOOKUP(AA15,RULES!$A:$X,24,0)*1),999999)</f>
        <v/>
      </c>
      <c r="AX15" s="29">
        <f>IFERROR(VLOOKUP(AA15,RULES!$A:$Y,25,0)*1,0)</f>
        <v/>
      </c>
      <c r="AY15" s="29">
        <f>IFERROR(VLOOKUP(AA15,RULES!$A:$Z,26,0),"NONE")</f>
        <v/>
      </c>
      <c r="AZ15" s="29">
        <f>IFERROR(VLOOKUP(AA15,RULES!$A:$AA,27,0)*1,0)</f>
        <v/>
      </c>
      <c r="BA15" s="29">
        <f>IFERROR(VLOOKUP(AA15,RULES!$A:$AB,28,0)*1,0)</f>
        <v/>
      </c>
    </row>
    <row r="16" ht="17" customHeight="1">
      <c r="A16" s="22" t="inlineStr">
        <is>
          <t>798/13</t>
        </is>
      </c>
      <c r="B16" s="48" t="inlineStr">
        <is>
          <t>ACC001</t>
        </is>
      </c>
      <c r="C16" s="48" t="inlineStr">
        <is>
          <t>DEFAULT</t>
        </is>
      </c>
      <c r="D16" s="47" t="n"/>
      <c r="E16" s="22">
        <f>IF(OR(D16="",D16=0),"INACTIVE","ACTIVE")</f>
        <v/>
      </c>
      <c r="F16" s="48" t="inlineStr">
        <is>
          <t>NORMAL</t>
        </is>
      </c>
      <c r="G16" s="25" t="n"/>
      <c r="H16" s="25" t="n"/>
      <c r="I16" s="26">
        <f>IF(OR(E16="INACTIVE",H16=""),0,MAX(0,H16-G16))</f>
        <v/>
      </c>
      <c r="J16" s="23" t="n"/>
      <c r="K16" s="26">
        <f>IF(OR(E16="INACTIVE",H16=""),0,IF(AB16="DISABLED",0,IF(AB16="FLAT",AE16,IF(AB16="MANUAL",IF(J16="",0,J16*AC16),IF(AB16="STEP",IF(I16&lt;=AF16,I16*AG16,IF(I16&lt;=AH16,AF16*AG16+(I16-AF16)*AI16,AF16*AG16+(AH16-AF16)*AI16+(I16-AH16)*AK16)),MAX(I16*AC16,AD16))))))</f>
        <v/>
      </c>
      <c r="L16" s="26">
        <f>IF(OR(E16="INACTIVE",H16=""),0,IF(AL16="NONE",0,IF(AL16="FLAT",AM16,IF(AL16="PER_UNIT",I16*AN16,IF(AL16="MANUAL",IF(M16="",0,M16),0)))))</f>
        <v/>
      </c>
      <c r="M16" s="23" t="n"/>
      <c r="N16" s="48" t="inlineStr">
        <is>
          <t>NORMAL</t>
        </is>
      </c>
      <c r="O16" s="25" t="n"/>
      <c r="P16" s="25" t="n"/>
      <c r="Q16" s="26">
        <f>IF(OR(E16="INACTIVE",P16=""),0,MAX(0,P16-O16))</f>
        <v/>
      </c>
      <c r="R16" s="23" t="n"/>
      <c r="S16" s="26">
        <f>IF(OR(E16="INACTIVE",P16=""),0,IF(AO16="DISABLED",0,IF(AO16="FLAT",AR16,IF(AO16="MANUAL",IF(R16="",0,R16*AP16),IF(AO16="STEP",IF(Q16&lt;=AS16,Q16*AT16,IF(Q16&lt;=AU16,AS16*AT16+(Q16-AS16)*AV16,AS16*AT16+(AU16-AS16)*AV16+(Q16-AU16)*AX16)),MAX(Q16*AP16,AQ16))))))</f>
        <v/>
      </c>
      <c r="T16" s="26">
        <f>IF(OR(E16="INACTIVE",P16=""),0,IF(AY16="NONE",0,IF(AY16="FLAT",AZ16,IF(AY16="PER_UNIT",Q16*BA16,IF(AY16="MANUAL",IF(U16="",0,U16),0)))))</f>
        <v/>
      </c>
      <c r="U16" s="23" t="n"/>
      <c r="V16" s="25" t="n"/>
      <c r="W16" s="25" t="n"/>
      <c r="X16" s="26">
        <f>IF(E16="INACTIVE",0,D16+K16+L16+S16+T16+IF(V16="",0,V16)+IF(W16="",0,W16))</f>
        <v/>
      </c>
      <c r="Y16" s="27" t="n"/>
      <c r="Z16" s="28">
        <f>IF(E16="INACTIVE","_",IF(AND(G16&gt;0,H16&gt;0,H16&lt;G16),"[!]น้ำ reset ","")&amp;IF(AND(O16&gt;0,P16&gt;0,P16&lt;O16),"[!]ไฟ reset ","")&amp;IF(AND(F16="MANUAL",J16=""),"[X]units น้ำ ","")&amp;IF(AND(N16="MANUAL",R16=""),"[X]units ไฟ ","")&amp;IF(D16=0,"[!]ค่าเช่า=0",""))</f>
        <v/>
      </c>
      <c r="AA16" s="29">
        <f>IF(C16&lt;&gt;"",C16,CONFIG!$B$6)</f>
        <v/>
      </c>
      <c r="AB16" s="29">
        <f>IF(F16&lt;&gt;"",F16,IFERROR(VLOOKUP(AA16,RULES!$A:$C,3,0),CONFIG!$B$7))</f>
        <v/>
      </c>
      <c r="AC16" s="29">
        <f>IF(IFERROR(VLOOKUP(AA16,RULES!$A:$D,4,0),"")="",CONFIG!$B$10,VLOOKUP(AA16,RULES!$A:$D,4,0))</f>
        <v/>
      </c>
      <c r="AD16" s="29">
        <f>IF(IFERROR(VLOOKUP(AA16,RULES!$A:$E,5,0),"")="",CONFIG!$B$11,VLOOKUP(AA16,RULES!$A:$E,5,0))</f>
        <v/>
      </c>
      <c r="AE16" s="29">
        <f>IFERROR(VLOOKUP(AA16,RULES!$A:$F,6,0)*1,0)</f>
        <v/>
      </c>
      <c r="AF16" s="29">
        <f>IFERROR(VLOOKUP(AA16,RULES!$A:$G,7,0)*1,0)</f>
        <v/>
      </c>
      <c r="AG16" s="29">
        <f>IFERROR(VLOOKUP(AA16,RULES!$A:$H,8,0)*1,0)</f>
        <v/>
      </c>
      <c r="AH16" s="29">
        <f>IFERROR(VLOOKUP(AA16,RULES!$A:$I,9,0)*1,0)</f>
        <v/>
      </c>
      <c r="AI16" s="29">
        <f>IFERROR(VLOOKUP(AA16,RULES!$A:$J,10,0)*1,0)</f>
        <v/>
      </c>
      <c r="AJ16" s="29">
        <f>IFERROR(IF(VLOOKUP(AA16,RULES!$A:$K,11,0)="",999999,VLOOKUP(AA16,RULES!$A:$K,11,0)*1),999999)</f>
        <v/>
      </c>
      <c r="AK16" s="29">
        <f>IFERROR(VLOOKUP(AA16,RULES!$A:$L,12,0)*1,0)</f>
        <v/>
      </c>
      <c r="AL16" s="29">
        <f>IFERROR(VLOOKUP(AA16,RULES!$A:$M,13,0),"NONE")</f>
        <v/>
      </c>
      <c r="AM16" s="29">
        <f>IFERROR(VLOOKUP(AA16,RULES!$A:$N,14,0)*1,0)</f>
        <v/>
      </c>
      <c r="AN16" s="29">
        <f>IFERROR(VLOOKUP(AA16,RULES!$A:$O,15,0)*1,0)</f>
        <v/>
      </c>
      <c r="AO16" s="29">
        <f>IF(N16&lt;&gt;"",N16,IFERROR(VLOOKUP(AA16,RULES!$A:$P,16,0),CONFIG!$B$8))</f>
        <v/>
      </c>
      <c r="AP16" s="29">
        <f>IF(IFERROR(VLOOKUP(AA16,RULES!$A:$Q,17,0),"")="",CONFIG!$B$13,VLOOKUP(AA16,RULES!$A:$Q,17,0))</f>
        <v/>
      </c>
      <c r="AQ16" s="29">
        <f>IF(IFERROR(VLOOKUP(AA16,RULES!$A:$R,18,0),"")="",CONFIG!$B$14,VLOOKUP(AA16,RULES!$A:$R,18,0))</f>
        <v/>
      </c>
      <c r="AR16" s="29">
        <f>IFERROR(VLOOKUP(AA16,RULES!$A:$S,19,0)*1,0)</f>
        <v/>
      </c>
      <c r="AS16" s="29">
        <f>IFERROR(VLOOKUP(AA16,RULES!$A:$T,20,0)*1,0)</f>
        <v/>
      </c>
      <c r="AT16" s="29">
        <f>IFERROR(VLOOKUP(AA16,RULES!$A:$U,21,0)*1,0)</f>
        <v/>
      </c>
      <c r="AU16" s="29">
        <f>IFERROR(VLOOKUP(AA16,RULES!$A:$V,22,0)*1,0)</f>
        <v/>
      </c>
      <c r="AV16" s="29">
        <f>IFERROR(VLOOKUP(AA16,RULES!$A:$W,23,0)*1,0)</f>
        <v/>
      </c>
      <c r="AW16" s="29">
        <f>IFERROR(IF(VLOOKUP(AA16,RULES!$A:$X,24,0)="",999999,VLOOKUP(AA16,RULES!$A:$X,24,0)*1),999999)</f>
        <v/>
      </c>
      <c r="AX16" s="29">
        <f>IFERROR(VLOOKUP(AA16,RULES!$A:$Y,25,0)*1,0)</f>
        <v/>
      </c>
      <c r="AY16" s="29">
        <f>IFERROR(VLOOKUP(AA16,RULES!$A:$Z,26,0),"NONE")</f>
        <v/>
      </c>
      <c r="AZ16" s="29">
        <f>IFERROR(VLOOKUP(AA16,RULES!$A:$AA,27,0)*1,0)</f>
        <v/>
      </c>
      <c r="BA16" s="29">
        <f>IFERROR(VLOOKUP(AA16,RULES!$A:$AB,28,0)*1,0)</f>
        <v/>
      </c>
    </row>
    <row r="17" ht="17" customHeight="1">
      <c r="A17" s="22" t="inlineStr">
        <is>
          <t>798/14</t>
        </is>
      </c>
      <c r="B17" s="48" t="inlineStr">
        <is>
          <t>ACC001</t>
        </is>
      </c>
      <c r="C17" s="48" t="inlineStr">
        <is>
          <t>DEFAULT</t>
        </is>
      </c>
      <c r="D17" s="47" t="n"/>
      <c r="E17" s="22">
        <f>IF(OR(D17="",D17=0),"INACTIVE","ACTIVE")</f>
        <v/>
      </c>
      <c r="F17" s="48" t="inlineStr">
        <is>
          <t>NORMAL</t>
        </is>
      </c>
      <c r="G17" s="25" t="n"/>
      <c r="H17" s="25" t="n"/>
      <c r="I17" s="26">
        <f>IF(OR(E17="INACTIVE",H17=""),0,MAX(0,H17-G17))</f>
        <v/>
      </c>
      <c r="J17" s="23" t="n"/>
      <c r="K17" s="26">
        <f>IF(OR(E17="INACTIVE",H17=""),0,IF(AB17="DISABLED",0,IF(AB17="FLAT",AE17,IF(AB17="MANUAL",IF(J17="",0,J17*AC17),IF(AB17="STEP",IF(I17&lt;=AF17,I17*AG17,IF(I17&lt;=AH17,AF17*AG17+(I17-AF17)*AI17,AF17*AG17+(AH17-AF17)*AI17+(I17-AH17)*AK17)),MAX(I17*AC17,AD17))))))</f>
        <v/>
      </c>
      <c r="L17" s="26">
        <f>IF(OR(E17="INACTIVE",H17=""),0,IF(AL17="NONE",0,IF(AL17="FLAT",AM17,IF(AL17="PER_UNIT",I17*AN17,IF(AL17="MANUAL",IF(M17="",0,M17),0)))))</f>
        <v/>
      </c>
      <c r="M17" s="23" t="n"/>
      <c r="N17" s="48" t="inlineStr">
        <is>
          <t>NORMAL</t>
        </is>
      </c>
      <c r="O17" s="25" t="n"/>
      <c r="P17" s="25" t="n"/>
      <c r="Q17" s="26">
        <f>IF(OR(E17="INACTIVE",P17=""),0,MAX(0,P17-O17))</f>
        <v/>
      </c>
      <c r="R17" s="23" t="n"/>
      <c r="S17" s="26">
        <f>IF(OR(E17="INACTIVE",P17=""),0,IF(AO17="DISABLED",0,IF(AO17="FLAT",AR17,IF(AO17="MANUAL",IF(R17="",0,R17*AP17),IF(AO17="STEP",IF(Q17&lt;=AS17,Q17*AT17,IF(Q17&lt;=AU17,AS17*AT17+(Q17-AS17)*AV17,AS17*AT17+(AU17-AS17)*AV17+(Q17-AU17)*AX17)),MAX(Q17*AP17,AQ17))))))</f>
        <v/>
      </c>
      <c r="T17" s="26">
        <f>IF(OR(E17="INACTIVE",P17=""),0,IF(AY17="NONE",0,IF(AY17="FLAT",AZ17,IF(AY17="PER_UNIT",Q17*BA17,IF(AY17="MANUAL",IF(U17="",0,U17),0)))))</f>
        <v/>
      </c>
      <c r="U17" s="23" t="n"/>
      <c r="V17" s="25" t="n"/>
      <c r="W17" s="25" t="n"/>
      <c r="X17" s="26">
        <f>IF(E17="INACTIVE",0,D17+K17+L17+S17+T17+IF(V17="",0,V17)+IF(W17="",0,W17))</f>
        <v/>
      </c>
      <c r="Y17" s="27" t="n"/>
      <c r="Z17" s="28">
        <f>IF(E17="INACTIVE","_",IF(AND(G17&gt;0,H17&gt;0,H17&lt;G17),"[!]น้ำ reset ","")&amp;IF(AND(O17&gt;0,P17&gt;0,P17&lt;O17),"[!]ไฟ reset ","")&amp;IF(AND(F17="MANUAL",J17=""),"[X]units น้ำ ","")&amp;IF(AND(N17="MANUAL",R17=""),"[X]units ไฟ ","")&amp;IF(D17=0,"[!]ค่าเช่า=0",""))</f>
        <v/>
      </c>
      <c r="AA17" s="29">
        <f>IF(C17&lt;&gt;"",C17,CONFIG!$B$6)</f>
        <v/>
      </c>
      <c r="AB17" s="29">
        <f>IF(F17&lt;&gt;"",F17,IFERROR(VLOOKUP(AA17,RULES!$A:$C,3,0),CONFIG!$B$7))</f>
        <v/>
      </c>
      <c r="AC17" s="29">
        <f>IF(IFERROR(VLOOKUP(AA17,RULES!$A:$D,4,0),"")="",CONFIG!$B$10,VLOOKUP(AA17,RULES!$A:$D,4,0))</f>
        <v/>
      </c>
      <c r="AD17" s="29">
        <f>IF(IFERROR(VLOOKUP(AA17,RULES!$A:$E,5,0),"")="",CONFIG!$B$11,VLOOKUP(AA17,RULES!$A:$E,5,0))</f>
        <v/>
      </c>
      <c r="AE17" s="29">
        <f>IFERROR(VLOOKUP(AA17,RULES!$A:$F,6,0)*1,0)</f>
        <v/>
      </c>
      <c r="AF17" s="29">
        <f>IFERROR(VLOOKUP(AA17,RULES!$A:$G,7,0)*1,0)</f>
        <v/>
      </c>
      <c r="AG17" s="29">
        <f>IFERROR(VLOOKUP(AA17,RULES!$A:$H,8,0)*1,0)</f>
        <v/>
      </c>
      <c r="AH17" s="29">
        <f>IFERROR(VLOOKUP(AA17,RULES!$A:$I,9,0)*1,0)</f>
        <v/>
      </c>
      <c r="AI17" s="29">
        <f>IFERROR(VLOOKUP(AA17,RULES!$A:$J,10,0)*1,0)</f>
        <v/>
      </c>
      <c r="AJ17" s="29">
        <f>IFERROR(IF(VLOOKUP(AA17,RULES!$A:$K,11,0)="",999999,VLOOKUP(AA17,RULES!$A:$K,11,0)*1),999999)</f>
        <v/>
      </c>
      <c r="AK17" s="29">
        <f>IFERROR(VLOOKUP(AA17,RULES!$A:$L,12,0)*1,0)</f>
        <v/>
      </c>
      <c r="AL17" s="29">
        <f>IFERROR(VLOOKUP(AA17,RULES!$A:$M,13,0),"NONE")</f>
        <v/>
      </c>
      <c r="AM17" s="29">
        <f>IFERROR(VLOOKUP(AA17,RULES!$A:$N,14,0)*1,0)</f>
        <v/>
      </c>
      <c r="AN17" s="29">
        <f>IFERROR(VLOOKUP(AA17,RULES!$A:$O,15,0)*1,0)</f>
        <v/>
      </c>
      <c r="AO17" s="29">
        <f>IF(N17&lt;&gt;"",N17,IFERROR(VLOOKUP(AA17,RULES!$A:$P,16,0),CONFIG!$B$8))</f>
        <v/>
      </c>
      <c r="AP17" s="29">
        <f>IF(IFERROR(VLOOKUP(AA17,RULES!$A:$Q,17,0),"")="",CONFIG!$B$13,VLOOKUP(AA17,RULES!$A:$Q,17,0))</f>
        <v/>
      </c>
      <c r="AQ17" s="29">
        <f>IF(IFERROR(VLOOKUP(AA17,RULES!$A:$R,18,0),"")="",CONFIG!$B$14,VLOOKUP(AA17,RULES!$A:$R,18,0))</f>
        <v/>
      </c>
      <c r="AR17" s="29">
        <f>IFERROR(VLOOKUP(AA17,RULES!$A:$S,19,0)*1,0)</f>
        <v/>
      </c>
      <c r="AS17" s="29">
        <f>IFERROR(VLOOKUP(AA17,RULES!$A:$T,20,0)*1,0)</f>
        <v/>
      </c>
      <c r="AT17" s="29">
        <f>IFERROR(VLOOKUP(AA17,RULES!$A:$U,21,0)*1,0)</f>
        <v/>
      </c>
      <c r="AU17" s="29">
        <f>IFERROR(VLOOKUP(AA17,RULES!$A:$V,22,0)*1,0)</f>
        <v/>
      </c>
      <c r="AV17" s="29">
        <f>IFERROR(VLOOKUP(AA17,RULES!$A:$W,23,0)*1,0)</f>
        <v/>
      </c>
      <c r="AW17" s="29">
        <f>IFERROR(IF(VLOOKUP(AA17,RULES!$A:$X,24,0)="",999999,VLOOKUP(AA17,RULES!$A:$X,24,0)*1),999999)</f>
        <v/>
      </c>
      <c r="AX17" s="29">
        <f>IFERROR(VLOOKUP(AA17,RULES!$A:$Y,25,0)*1,0)</f>
        <v/>
      </c>
      <c r="AY17" s="29">
        <f>IFERROR(VLOOKUP(AA17,RULES!$A:$Z,26,0),"NONE")</f>
        <v/>
      </c>
      <c r="AZ17" s="29">
        <f>IFERROR(VLOOKUP(AA17,RULES!$A:$AA,27,0)*1,0)</f>
        <v/>
      </c>
      <c r="BA17" s="29">
        <f>IFERROR(VLOOKUP(AA17,RULES!$A:$AB,28,0)*1,0)</f>
        <v/>
      </c>
    </row>
    <row r="18" ht="17" customHeight="1">
      <c r="A18" s="22" t="inlineStr">
        <is>
          <t>798/15</t>
        </is>
      </c>
      <c r="B18" s="48" t="inlineStr">
        <is>
          <t>ACC001</t>
        </is>
      </c>
      <c r="C18" s="48" t="inlineStr">
        <is>
          <t>DEFAULT</t>
        </is>
      </c>
      <c r="D18" s="47" t="n"/>
      <c r="E18" s="22">
        <f>IF(OR(D18="",D18=0),"INACTIVE","ACTIVE")</f>
        <v/>
      </c>
      <c r="F18" s="48" t="inlineStr">
        <is>
          <t>NORMAL</t>
        </is>
      </c>
      <c r="G18" s="25" t="n"/>
      <c r="H18" s="25" t="n"/>
      <c r="I18" s="26">
        <f>IF(OR(E18="INACTIVE",H18=""),0,MAX(0,H18-G18))</f>
        <v/>
      </c>
      <c r="J18" s="23" t="n"/>
      <c r="K18" s="26">
        <f>IF(OR(E18="INACTIVE",H18=""),0,IF(AB18="DISABLED",0,IF(AB18="FLAT",AE18,IF(AB18="MANUAL",IF(J18="",0,J18*AC18),IF(AB18="STEP",IF(I18&lt;=AF18,I18*AG18,IF(I18&lt;=AH18,AF18*AG18+(I18-AF18)*AI18,AF18*AG18+(AH18-AF18)*AI18+(I18-AH18)*AK18)),MAX(I18*AC18,AD18))))))</f>
        <v/>
      </c>
      <c r="L18" s="26">
        <f>IF(OR(E18="INACTIVE",H18=""),0,IF(AL18="NONE",0,IF(AL18="FLAT",AM18,IF(AL18="PER_UNIT",I18*AN18,IF(AL18="MANUAL",IF(M18="",0,M18),0)))))</f>
        <v/>
      </c>
      <c r="M18" s="23" t="n"/>
      <c r="N18" s="48" t="inlineStr">
        <is>
          <t>NORMAL</t>
        </is>
      </c>
      <c r="O18" s="25" t="n"/>
      <c r="P18" s="25" t="n"/>
      <c r="Q18" s="26">
        <f>IF(OR(E18="INACTIVE",P18=""),0,MAX(0,P18-O18))</f>
        <v/>
      </c>
      <c r="R18" s="23" t="n"/>
      <c r="S18" s="26">
        <f>IF(OR(E18="INACTIVE",P18=""),0,IF(AO18="DISABLED",0,IF(AO18="FLAT",AR18,IF(AO18="MANUAL",IF(R18="",0,R18*AP18),IF(AO18="STEP",IF(Q18&lt;=AS18,Q18*AT18,IF(Q18&lt;=AU18,AS18*AT18+(Q18-AS18)*AV18,AS18*AT18+(AU18-AS18)*AV18+(Q18-AU18)*AX18)),MAX(Q18*AP18,AQ18))))))</f>
        <v/>
      </c>
      <c r="T18" s="26">
        <f>IF(OR(E18="INACTIVE",P18=""),0,IF(AY18="NONE",0,IF(AY18="FLAT",AZ18,IF(AY18="PER_UNIT",Q18*BA18,IF(AY18="MANUAL",IF(U18="",0,U18),0)))))</f>
        <v/>
      </c>
      <c r="U18" s="23" t="n"/>
      <c r="V18" s="25" t="n"/>
      <c r="W18" s="25" t="n"/>
      <c r="X18" s="26">
        <f>IF(E18="INACTIVE",0,D18+K18+L18+S18+T18+IF(V18="",0,V18)+IF(W18="",0,W18))</f>
        <v/>
      </c>
      <c r="Y18" s="27" t="n"/>
      <c r="Z18" s="28">
        <f>IF(E18="INACTIVE","_",IF(AND(G18&gt;0,H18&gt;0,H18&lt;G18),"[!]น้ำ reset ","")&amp;IF(AND(O18&gt;0,P18&gt;0,P18&lt;O18),"[!]ไฟ reset ","")&amp;IF(AND(F18="MANUAL",J18=""),"[X]units น้ำ ","")&amp;IF(AND(N18="MANUAL",R18=""),"[X]units ไฟ ","")&amp;IF(D18=0,"[!]ค่าเช่า=0",""))</f>
        <v/>
      </c>
      <c r="AA18" s="29">
        <f>IF(C18&lt;&gt;"",C18,CONFIG!$B$6)</f>
        <v/>
      </c>
      <c r="AB18" s="29">
        <f>IF(F18&lt;&gt;"",F18,IFERROR(VLOOKUP(AA18,RULES!$A:$C,3,0),CONFIG!$B$7))</f>
        <v/>
      </c>
      <c r="AC18" s="29">
        <f>IF(IFERROR(VLOOKUP(AA18,RULES!$A:$D,4,0),"")="",CONFIG!$B$10,VLOOKUP(AA18,RULES!$A:$D,4,0))</f>
        <v/>
      </c>
      <c r="AD18" s="29">
        <f>IF(IFERROR(VLOOKUP(AA18,RULES!$A:$E,5,0),"")="",CONFIG!$B$11,VLOOKUP(AA18,RULES!$A:$E,5,0))</f>
        <v/>
      </c>
      <c r="AE18" s="29">
        <f>IFERROR(VLOOKUP(AA18,RULES!$A:$F,6,0)*1,0)</f>
        <v/>
      </c>
      <c r="AF18" s="29">
        <f>IFERROR(VLOOKUP(AA18,RULES!$A:$G,7,0)*1,0)</f>
        <v/>
      </c>
      <c r="AG18" s="29">
        <f>IFERROR(VLOOKUP(AA18,RULES!$A:$H,8,0)*1,0)</f>
        <v/>
      </c>
      <c r="AH18" s="29">
        <f>IFERROR(VLOOKUP(AA18,RULES!$A:$I,9,0)*1,0)</f>
        <v/>
      </c>
      <c r="AI18" s="29">
        <f>IFERROR(VLOOKUP(AA18,RULES!$A:$J,10,0)*1,0)</f>
        <v/>
      </c>
      <c r="AJ18" s="29">
        <f>IFERROR(IF(VLOOKUP(AA18,RULES!$A:$K,11,0)="",999999,VLOOKUP(AA18,RULES!$A:$K,11,0)*1),999999)</f>
        <v/>
      </c>
      <c r="AK18" s="29">
        <f>IFERROR(VLOOKUP(AA18,RULES!$A:$L,12,0)*1,0)</f>
        <v/>
      </c>
      <c r="AL18" s="29">
        <f>IFERROR(VLOOKUP(AA18,RULES!$A:$M,13,0),"NONE")</f>
        <v/>
      </c>
      <c r="AM18" s="29">
        <f>IFERROR(VLOOKUP(AA18,RULES!$A:$N,14,0)*1,0)</f>
        <v/>
      </c>
      <c r="AN18" s="29">
        <f>IFERROR(VLOOKUP(AA18,RULES!$A:$O,15,0)*1,0)</f>
        <v/>
      </c>
      <c r="AO18" s="29">
        <f>IF(N18&lt;&gt;"",N18,IFERROR(VLOOKUP(AA18,RULES!$A:$P,16,0),CONFIG!$B$8))</f>
        <v/>
      </c>
      <c r="AP18" s="29">
        <f>IF(IFERROR(VLOOKUP(AA18,RULES!$A:$Q,17,0),"")="",CONFIG!$B$13,VLOOKUP(AA18,RULES!$A:$Q,17,0))</f>
        <v/>
      </c>
      <c r="AQ18" s="29">
        <f>IF(IFERROR(VLOOKUP(AA18,RULES!$A:$R,18,0),"")="",CONFIG!$B$14,VLOOKUP(AA18,RULES!$A:$R,18,0))</f>
        <v/>
      </c>
      <c r="AR18" s="29">
        <f>IFERROR(VLOOKUP(AA18,RULES!$A:$S,19,0)*1,0)</f>
        <v/>
      </c>
      <c r="AS18" s="29">
        <f>IFERROR(VLOOKUP(AA18,RULES!$A:$T,20,0)*1,0)</f>
        <v/>
      </c>
      <c r="AT18" s="29">
        <f>IFERROR(VLOOKUP(AA18,RULES!$A:$U,21,0)*1,0)</f>
        <v/>
      </c>
      <c r="AU18" s="29">
        <f>IFERROR(VLOOKUP(AA18,RULES!$A:$V,22,0)*1,0)</f>
        <v/>
      </c>
      <c r="AV18" s="29">
        <f>IFERROR(VLOOKUP(AA18,RULES!$A:$W,23,0)*1,0)</f>
        <v/>
      </c>
      <c r="AW18" s="29">
        <f>IFERROR(IF(VLOOKUP(AA18,RULES!$A:$X,24,0)="",999999,VLOOKUP(AA18,RULES!$A:$X,24,0)*1),999999)</f>
        <v/>
      </c>
      <c r="AX18" s="29">
        <f>IFERROR(VLOOKUP(AA18,RULES!$A:$Y,25,0)*1,0)</f>
        <v/>
      </c>
      <c r="AY18" s="29">
        <f>IFERROR(VLOOKUP(AA18,RULES!$A:$Z,26,0),"NONE")</f>
        <v/>
      </c>
      <c r="AZ18" s="29">
        <f>IFERROR(VLOOKUP(AA18,RULES!$A:$AA,27,0)*1,0)</f>
        <v/>
      </c>
      <c r="BA18" s="29">
        <f>IFERROR(VLOOKUP(AA18,RULES!$A:$AB,28,0)*1,0)</f>
        <v/>
      </c>
    </row>
    <row r="19" ht="17" customHeight="1">
      <c r="A19" s="35" t="n"/>
      <c r="B19" s="46" t="n"/>
      <c r="C19" s="48" t="inlineStr">
        <is>
          <t>DEFAULT</t>
        </is>
      </c>
      <c r="D19" s="47" t="n"/>
      <c r="E19" s="38">
        <f>IF(OR(D19="",D19=0),"INACTIVE","ACTIVE")</f>
        <v/>
      </c>
      <c r="F19" s="48" t="inlineStr">
        <is>
          <t>NORMAL</t>
        </is>
      </c>
      <c r="G19" s="37" t="n"/>
      <c r="H19" s="37" t="n"/>
      <c r="I19" s="39">
        <f>IF(OR(E19="INACTIVE",H19=""),0,MAX(0,H19-G19))</f>
        <v/>
      </c>
      <c r="J19" s="37" t="n"/>
      <c r="K19" s="40">
        <f>IF(OR(E19="INACTIVE",H19=""),0,IF(AB19="DISABLED",0,IF(AB19="FLAT",AE19,IF(AB19="MANUAL",IF(J19="",0,J19*AC19),IF(AB19="STEP",IF(I19&lt;=AF19,I19*AG19,IF(I19&lt;=AH19,AF19*AG19+(I19-AF19)*AI19,AF19*AG19+(AH19-AF19)*AI19+(I19-AH19)*AK19)),MAX(I19*AC19,AD19))))))</f>
        <v/>
      </c>
      <c r="L19" s="40">
        <f>IF(OR(E19="INACTIVE",H19=""),0,IF(AL19="NONE",0,IF(AL19="FLAT",AM19,IF(AL19="PER_UNIT",I19*AN19,IF(AL19="MANUAL",IF(M19="",0,M19),0)))))</f>
        <v/>
      </c>
      <c r="M19" s="37" t="n"/>
      <c r="N19" s="48" t="inlineStr">
        <is>
          <t>NORMAL</t>
        </is>
      </c>
      <c r="O19" s="37" t="n"/>
      <c r="P19" s="37" t="n"/>
      <c r="Q19" s="39">
        <f>IF(OR(E19="INACTIVE",P19=""),0,MAX(0,P19-O19))</f>
        <v/>
      </c>
      <c r="R19" s="37" t="n"/>
      <c r="S19" s="40">
        <f>IF(OR(E19="INACTIVE",P19=""),0,IF(AO19="DISABLED",0,IF(AO19="FLAT",AR19,IF(AO19="MANUAL",IF(R19="",0,R19*AP19),IF(AO19="STEP",IF(Q19&lt;=AS19,Q19*AT19,IF(Q19&lt;=AU19,AS19*AT19+(Q19-AS19)*AV19,AS19*AT19+(AU19-AS19)*AV19+(Q19-AU19)*AX19)),MAX(Q19*AP19,AQ19))))))</f>
        <v/>
      </c>
      <c r="T19" s="40">
        <f>IF(OR(E19="INACTIVE",P19=""),0,IF(AY19="NONE",0,IF(AY19="FLAT",AZ19,IF(AY19="PER_UNIT",Q19*BA19,IF(AY19="MANUAL",IF(U19="",0,U19),0)))))</f>
        <v/>
      </c>
      <c r="U19" s="37" t="n"/>
      <c r="V19" s="37" t="n"/>
      <c r="W19" s="37" t="n"/>
      <c r="X19" s="40">
        <f>IF(E19="INACTIVE",0,D19+K19+L19+S19+T19+IF(V19="",0,V19)+IF(W19="",0,W19))</f>
        <v/>
      </c>
      <c r="Y19" s="37" t="n"/>
      <c r="Z19" s="39">
        <f>IF(E19="INACTIVE","_",IF(AND(G19&gt;0,H19&gt;0,H19&lt;G19),"[!]น้ำ reset ","")&amp;IF(AND(O19&gt;0,P19&gt;0,P19&lt;O19),"[!]ไฟ reset ","")&amp;IF(AND(F19="MANUAL",J19=""),"[X]units น้ำ ","")&amp;IF(AND(N19="MANUAL",R19=""),"[X]units ไฟ ","")&amp;IF(D19=0,"[!]ค่าเช่า=0",""))</f>
        <v/>
      </c>
      <c r="AA19" s="41">
        <f>IF(C19&lt;&gt;"",C19,CONFIG!$B$6)</f>
        <v/>
      </c>
      <c r="AB19" s="41">
        <f>IF(F19&lt;&gt;"",F19,IFERROR(VLOOKUP(AA19,RULES!$A:$C,3,0),CONFIG!$B$7))</f>
        <v/>
      </c>
      <c r="AC19" s="41">
        <f>IF(IFERROR(VLOOKUP(AA19,RULES!$A:$D,4,0),"")="",CONFIG!$B$10,VLOOKUP(AA19,RULES!$A:$D,4,0))</f>
        <v/>
      </c>
      <c r="AD19" s="41">
        <f>IF(IFERROR(VLOOKUP(AA19,RULES!$A:$E,5,0),"")="",CONFIG!$B$11,VLOOKUP(AA19,RULES!$A:$E,5,0))</f>
        <v/>
      </c>
      <c r="AE19" s="41">
        <f>IFERROR(VLOOKUP(AA19,RULES!$A:$F,6,0)*1,0)</f>
        <v/>
      </c>
      <c r="AF19" s="41">
        <f>IFERROR(VLOOKUP(AA19,RULES!$A:$G,7,0)*1,0)</f>
        <v/>
      </c>
      <c r="AG19" s="41">
        <f>IFERROR(VLOOKUP(AA19,RULES!$A:$H,8,0)*1,0)</f>
        <v/>
      </c>
      <c r="AH19" s="41">
        <f>IFERROR(VLOOKUP(AA19,RULES!$A:$I,9,0)*1,0)</f>
        <v/>
      </c>
      <c r="AI19" s="41">
        <f>IFERROR(VLOOKUP(AA19,RULES!$A:$J,10,0)*1,0)</f>
        <v/>
      </c>
      <c r="AJ19" s="41">
        <f>IFERROR(IF(VLOOKUP(AA19,RULES!$A:$K,11,0)="",999999,VLOOKUP(AA19,RULES!$A:$K,11,0)*1),999999)</f>
        <v/>
      </c>
      <c r="AK19" s="41">
        <f>IFERROR(VLOOKUP(AA19,RULES!$A:$L,12,0)*1,0)</f>
        <v/>
      </c>
      <c r="AL19" s="41">
        <f>IFERROR(VLOOKUP(AA19,RULES!$A:$M,13,0),"NONE")</f>
        <v/>
      </c>
      <c r="AM19" s="41">
        <f>IFERROR(VLOOKUP(AA19,RULES!$A:$N,14,0)*1,0)</f>
        <v/>
      </c>
      <c r="AN19" s="41">
        <f>IFERROR(VLOOKUP(AA19,RULES!$A:$O,15,0)*1,0)</f>
        <v/>
      </c>
      <c r="AO19" s="41">
        <f>IF(N19&lt;&gt;"",N19,IFERROR(VLOOKUP(AA19,RULES!$A:$P,16,0),CONFIG!$B$8))</f>
        <v/>
      </c>
      <c r="AP19" s="41">
        <f>IF(IFERROR(VLOOKUP(AA19,RULES!$A:$Q,17,0),"")="",CONFIG!$B$13,VLOOKUP(AA19,RULES!$A:$Q,17,0))</f>
        <v/>
      </c>
      <c r="AQ19" s="41">
        <f>IF(IFERROR(VLOOKUP(AA19,RULES!$A:$R,18,0),"")="",CONFIG!$B$14,VLOOKUP(AA19,RULES!$A:$R,18,0))</f>
        <v/>
      </c>
      <c r="AR19" s="41">
        <f>IFERROR(VLOOKUP(AA19,RULES!$A:$S,19,0)*1,0)</f>
        <v/>
      </c>
      <c r="AS19" s="41">
        <f>IFERROR(VLOOKUP(AA19,RULES!$A:$T,20,0)*1,0)</f>
        <v/>
      </c>
      <c r="AT19" s="41">
        <f>IFERROR(VLOOKUP(AA19,RULES!$A:$U,21,0)*1,0)</f>
        <v/>
      </c>
      <c r="AU19" s="41">
        <f>IFERROR(VLOOKUP(AA19,RULES!$A:$V,22,0)*1,0)</f>
        <v/>
      </c>
      <c r="AV19" s="41">
        <f>IFERROR(VLOOKUP(AA19,RULES!$A:$W,23,0)*1,0)</f>
        <v/>
      </c>
      <c r="AW19" s="41">
        <f>IFERROR(IF(VLOOKUP(AA19,RULES!$A:$X,24,0)="",999999,VLOOKUP(AA19,RULES!$A:$X,24,0)*1),999999)</f>
        <v/>
      </c>
      <c r="AX19" s="41">
        <f>IFERROR(VLOOKUP(AA19,RULES!$A:$Y,25,0)*1,0)</f>
        <v/>
      </c>
      <c r="AY19" s="41">
        <f>IFERROR(VLOOKUP(AA19,RULES!$A:$Z,26,0),"NONE")</f>
        <v/>
      </c>
      <c r="AZ19" s="41">
        <f>IFERROR(VLOOKUP(AA19,RULES!$A:$AA,27,0)*1,0)</f>
        <v/>
      </c>
      <c r="BA19" s="41">
        <f>IFERROR(VLOOKUP(AA19,RULES!$A:$AB,28,0)*1,0)</f>
        <v/>
      </c>
    </row>
    <row r="20" ht="17" customHeight="1">
      <c r="A20" s="36" t="n"/>
      <c r="B20" s="48" t="inlineStr">
        <is>
          <t>ACC001</t>
        </is>
      </c>
      <c r="C20" s="48" t="inlineStr">
        <is>
          <t>DEFAULT</t>
        </is>
      </c>
      <c r="D20" s="47" t="n"/>
      <c r="E20" s="36">
        <f>IF(OR(D20="",D20=0),"INACTIVE","ACTIVE")</f>
        <v/>
      </c>
      <c r="F20" s="48" t="inlineStr">
        <is>
          <t>NORMAL</t>
        </is>
      </c>
      <c r="G20" s="36" t="n"/>
      <c r="H20" s="36" t="n"/>
      <c r="I20" s="42">
        <f>IF(OR(E20="INACTIVE",H20=""),0,MAX(0,H20-G20))</f>
        <v/>
      </c>
      <c r="J20" s="36" t="n"/>
      <c r="K20" s="42">
        <f>IF(OR(E20="INACTIVE",H20=""),0,IF(AB20="DISABLED",0,IF(AB20="FLAT",AE20,IF(AB20="MANUAL",IF(J20="",0,J20*AC20),IF(AB20="STEP",IF(I20&lt;=AF20,I20*AG20,IF(I20&lt;=AH20,AF20*AG20+(I20-AF20)*AI20,AF20*AG20+(AH20-AF20)*AI20+(I20-AH20)*AK20)),MAX(I20*AC20,AD20))))))</f>
        <v/>
      </c>
      <c r="L20" s="42">
        <f>IF(OR(E20="INACTIVE",H20=""),0,IF(AL20="NONE",0,IF(AL20="FLAT",AM20,IF(AL20="PER_UNIT",I20*AN20,IF(AL20="MANUAL",IF(M20="",0,M20),0)))))</f>
        <v/>
      </c>
      <c r="M20" s="36" t="n"/>
      <c r="N20" s="48" t="inlineStr">
        <is>
          <t>NORMAL</t>
        </is>
      </c>
      <c r="O20" s="36" t="n"/>
      <c r="P20" s="36" t="n"/>
      <c r="Q20" s="42">
        <f>IF(OR(E20="INACTIVE",P20=""),0,MAX(0,P20-O20))</f>
        <v/>
      </c>
      <c r="R20" s="36" t="n"/>
      <c r="S20" s="42">
        <f>IF(OR(E20="INACTIVE",P20=""),0,IF(AO20="DISABLED",0,IF(AO20="FLAT",AR20,IF(AO20="MANUAL",IF(R20="",0,R20*AP20),IF(AO20="STEP",IF(Q20&lt;=AS20,Q20*AT20,IF(Q20&lt;=AU20,AS20*AT20+(Q20-AS20)*AV20,AS20*AT20+(AU20-AS20)*AV20+(Q20-AU20)*AX20)),MAX(Q20*AP20,AQ20))))))</f>
        <v/>
      </c>
      <c r="T20" s="42">
        <f>IF(OR(E20="INACTIVE",P20=""),0,IF(AY20="NONE",0,IF(AY20="FLAT",AZ20,IF(AY20="PER_UNIT",Q20*BA20,IF(AY20="MANUAL",IF(U20="",0,U20),0)))))</f>
        <v/>
      </c>
      <c r="U20" s="36" t="n"/>
      <c r="V20" s="36" t="n"/>
      <c r="W20" s="36" t="n"/>
      <c r="X20" s="42">
        <f>IF(E20="INACTIVE",0,D20+K20+L20+S20+T20+IF(V20="",0,V20)+IF(W20="",0,W20))</f>
        <v/>
      </c>
      <c r="Y20" s="36" t="n"/>
      <c r="Z20" s="42">
        <f>IF(E20="INACTIVE","_",IF(AND(G20&gt;0,H20&gt;0,H20&lt;G20),"[!]น้ำ reset ","")&amp;IF(AND(O20&gt;0,P20&gt;0,P20&lt;O20),"[!]ไฟ reset ","")&amp;IF(AND(F20="MANUAL",J20=""),"[X]units น้ำ ","")&amp;IF(AND(N20="MANUAL",R20=""),"[X]units ไฟ ","")&amp;IF(D20=0,"[!]ค่าเช่า=0",""))</f>
        <v/>
      </c>
      <c r="AA20" s="41">
        <f>IF(C20&lt;&gt;"",C20,CONFIG!$B$6)</f>
        <v/>
      </c>
      <c r="AB20" s="41">
        <f>IF(F20&lt;&gt;"",F20,IFERROR(VLOOKUP(AA20,RULES!$A:$C,3,0),CONFIG!$B$7))</f>
        <v/>
      </c>
      <c r="AC20" s="41">
        <f>IF(IFERROR(VLOOKUP(AA20,RULES!$A:$D,4,0),"")="",CONFIG!$B$10,VLOOKUP(AA20,RULES!$A:$D,4,0))</f>
        <v/>
      </c>
      <c r="AD20" s="41">
        <f>IF(IFERROR(VLOOKUP(AA20,RULES!$A:$E,5,0),"")="",CONFIG!$B$11,VLOOKUP(AA20,RULES!$A:$E,5,0))</f>
        <v/>
      </c>
      <c r="AE20" s="41">
        <f>IFERROR(VLOOKUP(AA20,RULES!$A:$F,6,0)*1,0)</f>
        <v/>
      </c>
      <c r="AF20" s="41">
        <f>IFERROR(VLOOKUP(AA20,RULES!$A:$G,7,0)*1,0)</f>
        <v/>
      </c>
      <c r="AG20" s="41">
        <f>IFERROR(VLOOKUP(AA20,RULES!$A:$H,8,0)*1,0)</f>
        <v/>
      </c>
      <c r="AH20" s="41">
        <f>IFERROR(VLOOKUP(AA20,RULES!$A:$I,9,0)*1,0)</f>
        <v/>
      </c>
      <c r="AI20" s="41">
        <f>IFERROR(VLOOKUP(AA20,RULES!$A:$J,10,0)*1,0)</f>
        <v/>
      </c>
      <c r="AJ20" s="41">
        <f>IFERROR(IF(VLOOKUP(AA20,RULES!$A:$K,11,0)="",999999,VLOOKUP(AA20,RULES!$A:$K,11,0)*1),999999)</f>
        <v/>
      </c>
      <c r="AK20" s="41">
        <f>IFERROR(VLOOKUP(AA20,RULES!$A:$L,12,0)*1,0)</f>
        <v/>
      </c>
      <c r="AL20" s="41">
        <f>IFERROR(VLOOKUP(AA20,RULES!$A:$M,13,0),"NONE")</f>
        <v/>
      </c>
      <c r="AM20" s="41">
        <f>IFERROR(VLOOKUP(AA20,RULES!$A:$N,14,0)*1,0)</f>
        <v/>
      </c>
      <c r="AN20" s="41">
        <f>IFERROR(VLOOKUP(AA20,RULES!$A:$O,15,0)*1,0)</f>
        <v/>
      </c>
      <c r="AO20" s="41">
        <f>IF(N20&lt;&gt;"",N20,IFERROR(VLOOKUP(AA20,RULES!$A:$P,16,0),CONFIG!$B$8))</f>
        <v/>
      </c>
      <c r="AP20" s="41">
        <f>IF(IFERROR(VLOOKUP(AA20,RULES!$A:$Q,17,0),"")="",CONFIG!$B$13,VLOOKUP(AA20,RULES!$A:$Q,17,0))</f>
        <v/>
      </c>
      <c r="AQ20" s="41">
        <f>IF(IFERROR(VLOOKUP(AA20,RULES!$A:$R,18,0),"")="",CONFIG!$B$14,VLOOKUP(AA20,RULES!$A:$R,18,0))</f>
        <v/>
      </c>
      <c r="AR20" s="41">
        <f>IFERROR(VLOOKUP(AA20,RULES!$A:$S,19,0)*1,0)</f>
        <v/>
      </c>
      <c r="AS20" s="41">
        <f>IFERROR(VLOOKUP(AA20,RULES!$A:$T,20,0)*1,0)</f>
        <v/>
      </c>
      <c r="AT20" s="41">
        <f>IFERROR(VLOOKUP(AA20,RULES!$A:$U,21,0)*1,0)</f>
        <v/>
      </c>
      <c r="AU20" s="41">
        <f>IFERROR(VLOOKUP(AA20,RULES!$A:$V,22,0)*1,0)</f>
        <v/>
      </c>
      <c r="AV20" s="41">
        <f>IFERROR(VLOOKUP(AA20,RULES!$A:$W,23,0)*1,0)</f>
        <v/>
      </c>
      <c r="AW20" s="41">
        <f>IFERROR(IF(VLOOKUP(AA20,RULES!$A:$X,24,0)="",999999,VLOOKUP(AA20,RULES!$A:$X,24,0)*1),999999)</f>
        <v/>
      </c>
      <c r="AX20" s="41">
        <f>IFERROR(VLOOKUP(AA20,RULES!$A:$Y,25,0)*1,0)</f>
        <v/>
      </c>
      <c r="AY20" s="41">
        <f>IFERROR(VLOOKUP(AA20,RULES!$A:$Z,26,0),"NONE")</f>
        <v/>
      </c>
      <c r="AZ20" s="41">
        <f>IFERROR(VLOOKUP(AA20,RULES!$A:$AA,27,0)*1,0)</f>
        <v/>
      </c>
      <c r="BA20" s="41">
        <f>IFERROR(VLOOKUP(AA20,RULES!$A:$AB,28,0)*1,0)</f>
        <v/>
      </c>
    </row>
    <row r="21" ht="17" customHeight="1">
      <c r="A21" s="36" t="n"/>
      <c r="B21" s="48" t="inlineStr">
        <is>
          <t>ACC001</t>
        </is>
      </c>
      <c r="C21" s="48" t="inlineStr">
        <is>
          <t>DEFAULT</t>
        </is>
      </c>
      <c r="D21" s="47" t="n"/>
      <c r="E21" s="36">
        <f>IF(OR(D21="",D21=0),"INACTIVE","ACTIVE")</f>
        <v/>
      </c>
      <c r="F21" s="48" t="inlineStr">
        <is>
          <t>NORMAL</t>
        </is>
      </c>
      <c r="G21" s="36" t="n"/>
      <c r="H21" s="36" t="n"/>
      <c r="I21" s="42">
        <f>IF(OR(E21="INACTIVE",H21=""),0,MAX(0,H21-G21))</f>
        <v/>
      </c>
      <c r="J21" s="36" t="n"/>
      <c r="K21" s="42">
        <f>IF(OR(E21="INACTIVE",H21=""),0,IF(AB21="DISABLED",0,IF(AB21="FLAT",AE21,IF(AB21="MANUAL",IF(J21="",0,J21*AC21),IF(AB21="STEP",IF(I21&lt;=AF21,I21*AG21,IF(I21&lt;=AH21,AF21*AG21+(I21-AF21)*AI21,AF21*AG21+(AH21-AF21)*AI21+(I21-AH21)*AK21)),MAX(I21*AC21,AD21))))))</f>
        <v/>
      </c>
      <c r="L21" s="42">
        <f>IF(OR(E21="INACTIVE",H21=""),0,IF(AL21="NONE",0,IF(AL21="FLAT",AM21,IF(AL21="PER_UNIT",I21*AN21,IF(AL21="MANUAL",IF(M21="",0,M21),0)))))</f>
        <v/>
      </c>
      <c r="M21" s="36" t="n"/>
      <c r="N21" s="48" t="inlineStr">
        <is>
          <t>NORMAL</t>
        </is>
      </c>
      <c r="O21" s="36" t="n"/>
      <c r="P21" s="36" t="n"/>
      <c r="Q21" s="42">
        <f>IF(OR(E21="INACTIVE",P21=""),0,MAX(0,P21-O21))</f>
        <v/>
      </c>
      <c r="R21" s="36" t="n"/>
      <c r="S21" s="42">
        <f>IF(OR(E21="INACTIVE",P21=""),0,IF(AO21="DISABLED",0,IF(AO21="FLAT",AR21,IF(AO21="MANUAL",IF(R21="",0,R21*AP21),IF(AO21="STEP",IF(Q21&lt;=AS21,Q21*AT21,IF(Q21&lt;=AU21,AS21*AT21+(Q21-AS21)*AV21,AS21*AT21+(AU21-AS21)*AV21+(Q21-AU21)*AX21)),MAX(Q21*AP21,AQ21))))))</f>
        <v/>
      </c>
      <c r="T21" s="42">
        <f>IF(OR(E21="INACTIVE",P21=""),0,IF(AY21="NONE",0,IF(AY21="FLAT",AZ21,IF(AY21="PER_UNIT",Q21*BA21,IF(AY21="MANUAL",IF(U21="",0,U21),0)))))</f>
        <v/>
      </c>
      <c r="U21" s="36" t="n"/>
      <c r="V21" s="36" t="n"/>
      <c r="W21" s="36" t="n"/>
      <c r="X21" s="42">
        <f>IF(E21="INACTIVE",0,D21+K21+L21+S21+T21+IF(V21="",0,V21)+IF(W21="",0,W21))</f>
        <v/>
      </c>
      <c r="Y21" s="36" t="n"/>
      <c r="Z21" s="42">
        <f>IF(E21="INACTIVE","_",IF(AND(G21&gt;0,H21&gt;0,H21&lt;G21),"[!]น้ำ reset ","")&amp;IF(AND(O21&gt;0,P21&gt;0,P21&lt;O21),"[!]ไฟ reset ","")&amp;IF(AND(F21="MANUAL",J21=""),"[X]units น้ำ ","")&amp;IF(AND(N21="MANUAL",R21=""),"[X]units ไฟ ","")&amp;IF(D21=0,"[!]ค่าเช่า=0",""))</f>
        <v/>
      </c>
      <c r="AA21" s="41">
        <f>IF(C21&lt;&gt;"",C21,CONFIG!$B$6)</f>
        <v/>
      </c>
      <c r="AB21" s="41">
        <f>IF(F21&lt;&gt;"",F21,IFERROR(VLOOKUP(AA21,RULES!$A:$C,3,0),CONFIG!$B$7))</f>
        <v/>
      </c>
      <c r="AC21" s="41">
        <f>IF(IFERROR(VLOOKUP(AA21,RULES!$A:$D,4,0),"")="",CONFIG!$B$10,VLOOKUP(AA21,RULES!$A:$D,4,0))</f>
        <v/>
      </c>
      <c r="AD21" s="41">
        <f>IF(IFERROR(VLOOKUP(AA21,RULES!$A:$E,5,0),"")="",CONFIG!$B$11,VLOOKUP(AA21,RULES!$A:$E,5,0))</f>
        <v/>
      </c>
      <c r="AE21" s="41">
        <f>IFERROR(VLOOKUP(AA21,RULES!$A:$F,6,0)*1,0)</f>
        <v/>
      </c>
      <c r="AF21" s="41">
        <f>IFERROR(VLOOKUP(AA21,RULES!$A:$G,7,0)*1,0)</f>
        <v/>
      </c>
      <c r="AG21" s="41">
        <f>IFERROR(VLOOKUP(AA21,RULES!$A:$H,8,0)*1,0)</f>
        <v/>
      </c>
      <c r="AH21" s="41">
        <f>IFERROR(VLOOKUP(AA21,RULES!$A:$I,9,0)*1,0)</f>
        <v/>
      </c>
      <c r="AI21" s="41">
        <f>IFERROR(VLOOKUP(AA21,RULES!$A:$J,10,0)*1,0)</f>
        <v/>
      </c>
      <c r="AJ21" s="41">
        <f>IFERROR(IF(VLOOKUP(AA21,RULES!$A:$K,11,0)="",999999,VLOOKUP(AA21,RULES!$A:$K,11,0)*1),999999)</f>
        <v/>
      </c>
      <c r="AK21" s="41">
        <f>IFERROR(VLOOKUP(AA21,RULES!$A:$L,12,0)*1,0)</f>
        <v/>
      </c>
      <c r="AL21" s="41">
        <f>IFERROR(VLOOKUP(AA21,RULES!$A:$M,13,0),"NONE")</f>
        <v/>
      </c>
      <c r="AM21" s="41">
        <f>IFERROR(VLOOKUP(AA21,RULES!$A:$N,14,0)*1,0)</f>
        <v/>
      </c>
      <c r="AN21" s="41">
        <f>IFERROR(VLOOKUP(AA21,RULES!$A:$O,15,0)*1,0)</f>
        <v/>
      </c>
      <c r="AO21" s="41">
        <f>IF(N21&lt;&gt;"",N21,IFERROR(VLOOKUP(AA21,RULES!$A:$P,16,0),CONFIG!$B$8))</f>
        <v/>
      </c>
      <c r="AP21" s="41">
        <f>IF(IFERROR(VLOOKUP(AA21,RULES!$A:$Q,17,0),"")="",CONFIG!$B$13,VLOOKUP(AA21,RULES!$A:$Q,17,0))</f>
        <v/>
      </c>
      <c r="AQ21" s="41">
        <f>IF(IFERROR(VLOOKUP(AA21,RULES!$A:$R,18,0),"")="",CONFIG!$B$14,VLOOKUP(AA21,RULES!$A:$R,18,0))</f>
        <v/>
      </c>
      <c r="AR21" s="41">
        <f>IFERROR(VLOOKUP(AA21,RULES!$A:$S,19,0)*1,0)</f>
        <v/>
      </c>
      <c r="AS21" s="41">
        <f>IFERROR(VLOOKUP(AA21,RULES!$A:$T,20,0)*1,0)</f>
        <v/>
      </c>
      <c r="AT21" s="41">
        <f>IFERROR(VLOOKUP(AA21,RULES!$A:$U,21,0)*1,0)</f>
        <v/>
      </c>
      <c r="AU21" s="41">
        <f>IFERROR(VLOOKUP(AA21,RULES!$A:$V,22,0)*1,0)</f>
        <v/>
      </c>
      <c r="AV21" s="41">
        <f>IFERROR(VLOOKUP(AA21,RULES!$A:$W,23,0)*1,0)</f>
        <v/>
      </c>
      <c r="AW21" s="41">
        <f>IFERROR(IF(VLOOKUP(AA21,RULES!$A:$X,24,0)="",999999,VLOOKUP(AA21,RULES!$A:$X,24,0)*1),999999)</f>
        <v/>
      </c>
      <c r="AX21" s="41">
        <f>IFERROR(VLOOKUP(AA21,RULES!$A:$Y,25,0)*1,0)</f>
        <v/>
      </c>
      <c r="AY21" s="41">
        <f>IFERROR(VLOOKUP(AA21,RULES!$A:$Z,26,0),"NONE")</f>
        <v/>
      </c>
      <c r="AZ21" s="41">
        <f>IFERROR(VLOOKUP(AA21,RULES!$A:$AA,27,0)*1,0)</f>
        <v/>
      </c>
      <c r="BA21" s="41">
        <f>IFERROR(VLOOKUP(AA21,RULES!$A:$AB,28,0)*1,0)</f>
        <v/>
      </c>
    </row>
    <row r="22" ht="17" customHeight="1">
      <c r="A22" s="36" t="n"/>
      <c r="B22" s="48" t="inlineStr">
        <is>
          <t>ACC001</t>
        </is>
      </c>
      <c r="C22" s="48" t="inlineStr">
        <is>
          <t>DEFAULT</t>
        </is>
      </c>
      <c r="D22" s="47" t="n"/>
      <c r="E22" s="36">
        <f>IF(OR(D22="",D22=0),"INACTIVE","ACTIVE")</f>
        <v/>
      </c>
      <c r="F22" s="48" t="inlineStr">
        <is>
          <t>NORMAL</t>
        </is>
      </c>
      <c r="G22" s="36" t="n"/>
      <c r="H22" s="36" t="n"/>
      <c r="I22" s="42">
        <f>IF(OR(E22="INACTIVE",H22=""),0,MAX(0,H22-G22))</f>
        <v/>
      </c>
      <c r="J22" s="36" t="n"/>
      <c r="K22" s="42">
        <f>IF(OR(E22="INACTIVE",H22=""),0,IF(AB22="DISABLED",0,IF(AB22="FLAT",AE22,IF(AB22="MANUAL",IF(J22="",0,J22*AC22),IF(AB22="STEP",IF(I22&lt;=AF22,I22*AG22,IF(I22&lt;=AH22,AF22*AG22+(I22-AF22)*AI22,AF22*AG22+(AH22-AF22)*AI22+(I22-AH22)*AK22)),MAX(I22*AC22,AD22))))))</f>
        <v/>
      </c>
      <c r="L22" s="42">
        <f>IF(OR(E22="INACTIVE",H22=""),0,IF(AL22="NONE",0,IF(AL22="FLAT",AM22,IF(AL22="PER_UNIT",I22*AN22,IF(AL22="MANUAL",IF(M22="",0,M22),0)))))</f>
        <v/>
      </c>
      <c r="M22" s="36" t="n"/>
      <c r="N22" s="48" t="inlineStr">
        <is>
          <t>NORMAL</t>
        </is>
      </c>
      <c r="O22" s="36" t="n"/>
      <c r="P22" s="36" t="n"/>
      <c r="Q22" s="42">
        <f>IF(OR(E22="INACTIVE",P22=""),0,MAX(0,P22-O22))</f>
        <v/>
      </c>
      <c r="R22" s="36" t="n"/>
      <c r="S22" s="42">
        <f>IF(OR(E22="INACTIVE",P22=""),0,IF(AO22="DISABLED",0,IF(AO22="FLAT",AR22,IF(AO22="MANUAL",IF(R22="",0,R22*AP22),IF(AO22="STEP",IF(Q22&lt;=AS22,Q22*AT22,IF(Q22&lt;=AU22,AS22*AT22+(Q22-AS22)*AV22,AS22*AT22+(AU22-AS22)*AV22+(Q22-AU22)*AX22)),MAX(Q22*AP22,AQ22))))))</f>
        <v/>
      </c>
      <c r="T22" s="42">
        <f>IF(OR(E22="INACTIVE",P22=""),0,IF(AY22="NONE",0,IF(AY22="FLAT",AZ22,IF(AY22="PER_UNIT",Q22*BA22,IF(AY22="MANUAL",IF(U22="",0,U22),0)))))</f>
        <v/>
      </c>
      <c r="U22" s="36" t="n"/>
      <c r="V22" s="36" t="n"/>
      <c r="W22" s="36" t="n"/>
      <c r="X22" s="42">
        <f>IF(E22="INACTIVE",0,D22+K22+L22+S22+T22+IF(V22="",0,V22)+IF(W22="",0,W22))</f>
        <v/>
      </c>
      <c r="Y22" s="36" t="n"/>
      <c r="Z22" s="42">
        <f>IF(E22="INACTIVE","_",IF(AND(G22&gt;0,H22&gt;0,H22&lt;G22),"[!]น้ำ reset ","")&amp;IF(AND(O22&gt;0,P22&gt;0,P22&lt;O22),"[!]ไฟ reset ","")&amp;IF(AND(F22="MANUAL",J22=""),"[X]units น้ำ ","")&amp;IF(AND(N22="MANUAL",R22=""),"[X]units ไฟ ","")&amp;IF(D22=0,"[!]ค่าเช่า=0",""))</f>
        <v/>
      </c>
      <c r="AA22" s="41">
        <f>IF(C22&lt;&gt;"",C22,CONFIG!$B$6)</f>
        <v/>
      </c>
      <c r="AB22" s="41">
        <f>IF(F22&lt;&gt;"",F22,IFERROR(VLOOKUP(AA22,RULES!$A:$C,3,0),CONFIG!$B$7))</f>
        <v/>
      </c>
      <c r="AC22" s="41">
        <f>IF(IFERROR(VLOOKUP(AA22,RULES!$A:$D,4,0),"")="",CONFIG!$B$10,VLOOKUP(AA22,RULES!$A:$D,4,0))</f>
        <v/>
      </c>
      <c r="AD22" s="41">
        <f>IF(IFERROR(VLOOKUP(AA22,RULES!$A:$E,5,0),"")="",CONFIG!$B$11,VLOOKUP(AA22,RULES!$A:$E,5,0))</f>
        <v/>
      </c>
      <c r="AE22" s="41">
        <f>IFERROR(VLOOKUP(AA22,RULES!$A:$F,6,0)*1,0)</f>
        <v/>
      </c>
      <c r="AF22" s="41">
        <f>IFERROR(VLOOKUP(AA22,RULES!$A:$G,7,0)*1,0)</f>
        <v/>
      </c>
      <c r="AG22" s="41">
        <f>IFERROR(VLOOKUP(AA22,RULES!$A:$H,8,0)*1,0)</f>
        <v/>
      </c>
      <c r="AH22" s="41">
        <f>IFERROR(VLOOKUP(AA22,RULES!$A:$I,9,0)*1,0)</f>
        <v/>
      </c>
      <c r="AI22" s="41">
        <f>IFERROR(VLOOKUP(AA22,RULES!$A:$J,10,0)*1,0)</f>
        <v/>
      </c>
      <c r="AJ22" s="41">
        <f>IFERROR(IF(VLOOKUP(AA22,RULES!$A:$K,11,0)="",999999,VLOOKUP(AA22,RULES!$A:$K,11,0)*1),999999)</f>
        <v/>
      </c>
      <c r="AK22" s="41">
        <f>IFERROR(VLOOKUP(AA22,RULES!$A:$L,12,0)*1,0)</f>
        <v/>
      </c>
      <c r="AL22" s="41">
        <f>IFERROR(VLOOKUP(AA22,RULES!$A:$M,13,0),"NONE")</f>
        <v/>
      </c>
      <c r="AM22" s="41">
        <f>IFERROR(VLOOKUP(AA22,RULES!$A:$N,14,0)*1,0)</f>
        <v/>
      </c>
      <c r="AN22" s="41">
        <f>IFERROR(VLOOKUP(AA22,RULES!$A:$O,15,0)*1,0)</f>
        <v/>
      </c>
      <c r="AO22" s="41">
        <f>IF(N22&lt;&gt;"",N22,IFERROR(VLOOKUP(AA22,RULES!$A:$P,16,0),CONFIG!$B$8))</f>
        <v/>
      </c>
      <c r="AP22" s="41">
        <f>IF(IFERROR(VLOOKUP(AA22,RULES!$A:$Q,17,0),"")="",CONFIG!$B$13,VLOOKUP(AA22,RULES!$A:$Q,17,0))</f>
        <v/>
      </c>
      <c r="AQ22" s="41">
        <f>IF(IFERROR(VLOOKUP(AA22,RULES!$A:$R,18,0),"")="",CONFIG!$B$14,VLOOKUP(AA22,RULES!$A:$R,18,0))</f>
        <v/>
      </c>
      <c r="AR22" s="41">
        <f>IFERROR(VLOOKUP(AA22,RULES!$A:$S,19,0)*1,0)</f>
        <v/>
      </c>
      <c r="AS22" s="41">
        <f>IFERROR(VLOOKUP(AA22,RULES!$A:$T,20,0)*1,0)</f>
        <v/>
      </c>
      <c r="AT22" s="41">
        <f>IFERROR(VLOOKUP(AA22,RULES!$A:$U,21,0)*1,0)</f>
        <v/>
      </c>
      <c r="AU22" s="41">
        <f>IFERROR(VLOOKUP(AA22,RULES!$A:$V,22,0)*1,0)</f>
        <v/>
      </c>
      <c r="AV22" s="41">
        <f>IFERROR(VLOOKUP(AA22,RULES!$A:$W,23,0)*1,0)</f>
        <v/>
      </c>
      <c r="AW22" s="41">
        <f>IFERROR(IF(VLOOKUP(AA22,RULES!$A:$X,24,0)="",999999,VLOOKUP(AA22,RULES!$A:$X,24,0)*1),999999)</f>
        <v/>
      </c>
      <c r="AX22" s="41">
        <f>IFERROR(VLOOKUP(AA22,RULES!$A:$Y,25,0)*1,0)</f>
        <v/>
      </c>
      <c r="AY22" s="41">
        <f>IFERROR(VLOOKUP(AA22,RULES!$A:$Z,26,0),"NONE")</f>
        <v/>
      </c>
      <c r="AZ22" s="41">
        <f>IFERROR(VLOOKUP(AA22,RULES!$A:$AA,27,0)*1,0)</f>
        <v/>
      </c>
      <c r="BA22" s="41">
        <f>IFERROR(VLOOKUP(AA22,RULES!$A:$AB,28,0)*1,0)</f>
        <v/>
      </c>
    </row>
    <row r="23" ht="17" customHeight="1">
      <c r="A23" s="36" t="n"/>
      <c r="B23" s="48" t="inlineStr">
        <is>
          <t>ACC001</t>
        </is>
      </c>
      <c r="C23" s="48" t="inlineStr">
        <is>
          <t>DEFAULT</t>
        </is>
      </c>
      <c r="D23" s="47" t="n"/>
      <c r="E23" s="36">
        <f>IF(OR(D23="",D23=0),"INACTIVE","ACTIVE")</f>
        <v/>
      </c>
      <c r="F23" s="48" t="inlineStr">
        <is>
          <t>NORMAL</t>
        </is>
      </c>
      <c r="G23" s="36" t="n"/>
      <c r="H23" s="36" t="n"/>
      <c r="I23" s="42">
        <f>IF(OR(E23="INACTIVE",H23=""),0,MAX(0,H23-G23))</f>
        <v/>
      </c>
      <c r="J23" s="36" t="n"/>
      <c r="K23" s="42">
        <f>IF(OR(E23="INACTIVE",H23=""),0,IF(AB23="DISABLED",0,IF(AB23="FLAT",AE23,IF(AB23="MANUAL",IF(J23="",0,J23*AC23),IF(AB23="STEP",IF(I23&lt;=AF23,I23*AG23,IF(I23&lt;=AH23,AF23*AG23+(I23-AF23)*AI23,AF23*AG23+(AH23-AF23)*AI23+(I23-AH23)*AK23)),MAX(I23*AC23,AD23))))))</f>
        <v/>
      </c>
      <c r="L23" s="42">
        <f>IF(OR(E23="INACTIVE",H23=""),0,IF(AL23="NONE",0,IF(AL23="FLAT",AM23,IF(AL23="PER_UNIT",I23*AN23,IF(AL23="MANUAL",IF(M23="",0,M23),0)))))</f>
        <v/>
      </c>
      <c r="M23" s="36" t="n"/>
      <c r="N23" s="48" t="inlineStr">
        <is>
          <t>NORMAL</t>
        </is>
      </c>
      <c r="O23" s="36" t="n"/>
      <c r="P23" s="36" t="n"/>
      <c r="Q23" s="42">
        <f>IF(OR(E23="INACTIVE",P23=""),0,MAX(0,P23-O23))</f>
        <v/>
      </c>
      <c r="R23" s="36" t="n"/>
      <c r="S23" s="42">
        <f>IF(OR(E23="INACTIVE",P23=""),0,IF(AO23="DISABLED",0,IF(AO23="FLAT",AR23,IF(AO23="MANUAL",IF(R23="",0,R23*AP23),IF(AO23="STEP",IF(Q23&lt;=AS23,Q23*AT23,IF(Q23&lt;=AU23,AS23*AT23+(Q23-AS23)*AV23,AS23*AT23+(AU23-AS23)*AV23+(Q23-AU23)*AX23)),MAX(Q23*AP23,AQ23))))))</f>
        <v/>
      </c>
      <c r="T23" s="42">
        <f>IF(OR(E23="INACTIVE",P23=""),0,IF(AY23="NONE",0,IF(AY23="FLAT",AZ23,IF(AY23="PER_UNIT",Q23*BA23,IF(AY23="MANUAL",IF(U23="",0,U23),0)))))</f>
        <v/>
      </c>
      <c r="U23" s="36" t="n"/>
      <c r="V23" s="36" t="n"/>
      <c r="W23" s="36" t="n"/>
      <c r="X23" s="42">
        <f>IF(E23="INACTIVE",0,D23+K23+L23+S23+T23+IF(V23="",0,V23)+IF(W23="",0,W23))</f>
        <v/>
      </c>
      <c r="Y23" s="36" t="n"/>
      <c r="Z23" s="42">
        <f>IF(E23="INACTIVE","_",IF(AND(G23&gt;0,H23&gt;0,H23&lt;G23),"[!]น้ำ reset ","")&amp;IF(AND(O23&gt;0,P23&gt;0,P23&lt;O23),"[!]ไฟ reset ","")&amp;IF(AND(F23="MANUAL",J23=""),"[X]units น้ำ ","")&amp;IF(AND(N23="MANUAL",R23=""),"[X]units ไฟ ","")&amp;IF(D23=0,"[!]ค่าเช่า=0",""))</f>
        <v/>
      </c>
      <c r="AA23" s="41">
        <f>IF(C23&lt;&gt;"",C23,CONFIG!$B$6)</f>
        <v/>
      </c>
      <c r="AB23" s="41">
        <f>IF(F23&lt;&gt;"",F23,IFERROR(VLOOKUP(AA23,RULES!$A:$C,3,0),CONFIG!$B$7))</f>
        <v/>
      </c>
      <c r="AC23" s="41">
        <f>IF(IFERROR(VLOOKUP(AA23,RULES!$A:$D,4,0),"")="",CONFIG!$B$10,VLOOKUP(AA23,RULES!$A:$D,4,0))</f>
        <v/>
      </c>
      <c r="AD23" s="41">
        <f>IF(IFERROR(VLOOKUP(AA23,RULES!$A:$E,5,0),"")="",CONFIG!$B$11,VLOOKUP(AA23,RULES!$A:$E,5,0))</f>
        <v/>
      </c>
      <c r="AE23" s="41">
        <f>IFERROR(VLOOKUP(AA23,RULES!$A:$F,6,0)*1,0)</f>
        <v/>
      </c>
      <c r="AF23" s="41">
        <f>IFERROR(VLOOKUP(AA23,RULES!$A:$G,7,0)*1,0)</f>
        <v/>
      </c>
      <c r="AG23" s="41">
        <f>IFERROR(VLOOKUP(AA23,RULES!$A:$H,8,0)*1,0)</f>
        <v/>
      </c>
      <c r="AH23" s="41">
        <f>IFERROR(VLOOKUP(AA23,RULES!$A:$I,9,0)*1,0)</f>
        <v/>
      </c>
      <c r="AI23" s="41">
        <f>IFERROR(VLOOKUP(AA23,RULES!$A:$J,10,0)*1,0)</f>
        <v/>
      </c>
      <c r="AJ23" s="41">
        <f>IFERROR(IF(VLOOKUP(AA23,RULES!$A:$K,11,0)="",999999,VLOOKUP(AA23,RULES!$A:$K,11,0)*1),999999)</f>
        <v/>
      </c>
      <c r="AK23" s="41">
        <f>IFERROR(VLOOKUP(AA23,RULES!$A:$L,12,0)*1,0)</f>
        <v/>
      </c>
      <c r="AL23" s="41">
        <f>IFERROR(VLOOKUP(AA23,RULES!$A:$M,13,0),"NONE")</f>
        <v/>
      </c>
      <c r="AM23" s="41">
        <f>IFERROR(VLOOKUP(AA23,RULES!$A:$N,14,0)*1,0)</f>
        <v/>
      </c>
      <c r="AN23" s="41">
        <f>IFERROR(VLOOKUP(AA23,RULES!$A:$O,15,0)*1,0)</f>
        <v/>
      </c>
      <c r="AO23" s="41">
        <f>IF(N23&lt;&gt;"",N23,IFERROR(VLOOKUP(AA23,RULES!$A:$P,16,0),CONFIG!$B$8))</f>
        <v/>
      </c>
      <c r="AP23" s="41">
        <f>IF(IFERROR(VLOOKUP(AA23,RULES!$A:$Q,17,0),"")="",CONFIG!$B$13,VLOOKUP(AA23,RULES!$A:$Q,17,0))</f>
        <v/>
      </c>
      <c r="AQ23" s="41">
        <f>IF(IFERROR(VLOOKUP(AA23,RULES!$A:$R,18,0),"")="",CONFIG!$B$14,VLOOKUP(AA23,RULES!$A:$R,18,0))</f>
        <v/>
      </c>
      <c r="AR23" s="41">
        <f>IFERROR(VLOOKUP(AA23,RULES!$A:$S,19,0)*1,0)</f>
        <v/>
      </c>
      <c r="AS23" s="41">
        <f>IFERROR(VLOOKUP(AA23,RULES!$A:$T,20,0)*1,0)</f>
        <v/>
      </c>
      <c r="AT23" s="41">
        <f>IFERROR(VLOOKUP(AA23,RULES!$A:$U,21,0)*1,0)</f>
        <v/>
      </c>
      <c r="AU23" s="41">
        <f>IFERROR(VLOOKUP(AA23,RULES!$A:$V,22,0)*1,0)</f>
        <v/>
      </c>
      <c r="AV23" s="41">
        <f>IFERROR(VLOOKUP(AA23,RULES!$A:$W,23,0)*1,0)</f>
        <v/>
      </c>
      <c r="AW23" s="41">
        <f>IFERROR(IF(VLOOKUP(AA23,RULES!$A:$X,24,0)="",999999,VLOOKUP(AA23,RULES!$A:$X,24,0)*1),999999)</f>
        <v/>
      </c>
      <c r="AX23" s="41">
        <f>IFERROR(VLOOKUP(AA23,RULES!$A:$Y,25,0)*1,0)</f>
        <v/>
      </c>
      <c r="AY23" s="41">
        <f>IFERROR(VLOOKUP(AA23,RULES!$A:$Z,26,0),"NONE")</f>
        <v/>
      </c>
      <c r="AZ23" s="41">
        <f>IFERROR(VLOOKUP(AA23,RULES!$A:$AA,27,0)*1,0)</f>
        <v/>
      </c>
      <c r="BA23" s="41">
        <f>IFERROR(VLOOKUP(AA23,RULES!$A:$AB,28,0)*1,0)</f>
        <v/>
      </c>
    </row>
    <row r="24" ht="17" customHeight="1">
      <c r="A24" s="36" t="n"/>
      <c r="B24" s="48" t="inlineStr">
        <is>
          <t>ACC001</t>
        </is>
      </c>
      <c r="C24" s="48" t="inlineStr">
        <is>
          <t>DEFAULT</t>
        </is>
      </c>
      <c r="D24" s="47" t="n"/>
      <c r="E24" s="36">
        <f>IF(OR(D24="",D24=0),"INACTIVE","ACTIVE")</f>
        <v/>
      </c>
      <c r="F24" s="48" t="inlineStr">
        <is>
          <t>NORMAL</t>
        </is>
      </c>
      <c r="G24" s="36" t="n"/>
      <c r="H24" s="36" t="n"/>
      <c r="I24" s="42">
        <f>IF(OR(E24="INACTIVE",H24=""),0,MAX(0,H24-G24))</f>
        <v/>
      </c>
      <c r="J24" s="36" t="n"/>
      <c r="K24" s="42">
        <f>IF(OR(E24="INACTIVE",H24=""),0,IF(AB24="DISABLED",0,IF(AB24="FLAT",AE24,IF(AB24="MANUAL",IF(J24="",0,J24*AC24),IF(AB24="STEP",IF(I24&lt;=AF24,I24*AG24,IF(I24&lt;=AH24,AF24*AG24+(I24-AF24)*AI24,AF24*AG24+(AH24-AF24)*AI24+(I24-AH24)*AK24)),MAX(I24*AC24,AD24))))))</f>
        <v/>
      </c>
      <c r="L24" s="42">
        <f>IF(OR(E24="INACTIVE",H24=""),0,IF(AL24="NONE",0,IF(AL24="FLAT",AM24,IF(AL24="PER_UNIT",I24*AN24,IF(AL24="MANUAL",IF(M24="",0,M24),0)))))</f>
        <v/>
      </c>
      <c r="M24" s="36" t="n"/>
      <c r="N24" s="48" t="inlineStr">
        <is>
          <t>NORMAL</t>
        </is>
      </c>
      <c r="O24" s="36" t="n"/>
      <c r="P24" s="36" t="n"/>
      <c r="Q24" s="42">
        <f>IF(OR(E24="INACTIVE",P24=""),0,MAX(0,P24-O24))</f>
        <v/>
      </c>
      <c r="R24" s="36" t="n"/>
      <c r="S24" s="42">
        <f>IF(OR(E24="INACTIVE",P24=""),0,IF(AO24="DISABLED",0,IF(AO24="FLAT",AR24,IF(AO24="MANUAL",IF(R24="",0,R24*AP24),IF(AO24="STEP",IF(Q24&lt;=AS24,Q24*AT24,IF(Q24&lt;=AU24,AS24*AT24+(Q24-AS24)*AV24,AS24*AT24+(AU24-AS24)*AV24+(Q24-AU24)*AX24)),MAX(Q24*AP24,AQ24))))))</f>
        <v/>
      </c>
      <c r="T24" s="42">
        <f>IF(OR(E24="INACTIVE",P24=""),0,IF(AY24="NONE",0,IF(AY24="FLAT",AZ24,IF(AY24="PER_UNIT",Q24*BA24,IF(AY24="MANUAL",IF(U24="",0,U24),0)))))</f>
        <v/>
      </c>
      <c r="U24" s="36" t="n"/>
      <c r="V24" s="36" t="n"/>
      <c r="W24" s="36" t="n"/>
      <c r="X24" s="42">
        <f>IF(E24="INACTIVE",0,D24+K24+L24+S24+T24+IF(V24="",0,V24)+IF(W24="",0,W24))</f>
        <v/>
      </c>
      <c r="Y24" s="36" t="n"/>
      <c r="Z24" s="42">
        <f>IF(E24="INACTIVE","_",IF(AND(G24&gt;0,H24&gt;0,H24&lt;G24),"[!]น้ำ reset ","")&amp;IF(AND(O24&gt;0,P24&gt;0,P24&lt;O24),"[!]ไฟ reset ","")&amp;IF(AND(F24="MANUAL",J24=""),"[X]units น้ำ ","")&amp;IF(AND(N24="MANUAL",R24=""),"[X]units ไฟ ","")&amp;IF(D24=0,"[!]ค่าเช่า=0",""))</f>
        <v/>
      </c>
      <c r="AA24" s="41">
        <f>IF(C24&lt;&gt;"",C24,CONFIG!$B$6)</f>
        <v/>
      </c>
      <c r="AB24" s="41">
        <f>IF(F24&lt;&gt;"",F24,IFERROR(VLOOKUP(AA24,RULES!$A:$C,3,0),CONFIG!$B$7))</f>
        <v/>
      </c>
      <c r="AC24" s="41">
        <f>IF(IFERROR(VLOOKUP(AA24,RULES!$A:$D,4,0),"")="",CONFIG!$B$10,VLOOKUP(AA24,RULES!$A:$D,4,0))</f>
        <v/>
      </c>
      <c r="AD24" s="41">
        <f>IF(IFERROR(VLOOKUP(AA24,RULES!$A:$E,5,0),"")="",CONFIG!$B$11,VLOOKUP(AA24,RULES!$A:$E,5,0))</f>
        <v/>
      </c>
      <c r="AE24" s="41">
        <f>IFERROR(VLOOKUP(AA24,RULES!$A:$F,6,0)*1,0)</f>
        <v/>
      </c>
      <c r="AF24" s="41">
        <f>IFERROR(VLOOKUP(AA24,RULES!$A:$G,7,0)*1,0)</f>
        <v/>
      </c>
      <c r="AG24" s="41">
        <f>IFERROR(VLOOKUP(AA24,RULES!$A:$H,8,0)*1,0)</f>
        <v/>
      </c>
      <c r="AH24" s="41">
        <f>IFERROR(VLOOKUP(AA24,RULES!$A:$I,9,0)*1,0)</f>
        <v/>
      </c>
      <c r="AI24" s="41">
        <f>IFERROR(VLOOKUP(AA24,RULES!$A:$J,10,0)*1,0)</f>
        <v/>
      </c>
      <c r="AJ24" s="41">
        <f>IFERROR(IF(VLOOKUP(AA24,RULES!$A:$K,11,0)="",999999,VLOOKUP(AA24,RULES!$A:$K,11,0)*1),999999)</f>
        <v/>
      </c>
      <c r="AK24" s="41">
        <f>IFERROR(VLOOKUP(AA24,RULES!$A:$L,12,0)*1,0)</f>
        <v/>
      </c>
      <c r="AL24" s="41">
        <f>IFERROR(VLOOKUP(AA24,RULES!$A:$M,13,0),"NONE")</f>
        <v/>
      </c>
      <c r="AM24" s="41">
        <f>IFERROR(VLOOKUP(AA24,RULES!$A:$N,14,0)*1,0)</f>
        <v/>
      </c>
      <c r="AN24" s="41">
        <f>IFERROR(VLOOKUP(AA24,RULES!$A:$O,15,0)*1,0)</f>
        <v/>
      </c>
      <c r="AO24" s="41">
        <f>IF(N24&lt;&gt;"",N24,IFERROR(VLOOKUP(AA24,RULES!$A:$P,16,0),CONFIG!$B$8))</f>
        <v/>
      </c>
      <c r="AP24" s="41">
        <f>IF(IFERROR(VLOOKUP(AA24,RULES!$A:$Q,17,0),"")="",CONFIG!$B$13,VLOOKUP(AA24,RULES!$A:$Q,17,0))</f>
        <v/>
      </c>
      <c r="AQ24" s="41">
        <f>IF(IFERROR(VLOOKUP(AA24,RULES!$A:$R,18,0),"")="",CONFIG!$B$14,VLOOKUP(AA24,RULES!$A:$R,18,0))</f>
        <v/>
      </c>
      <c r="AR24" s="41">
        <f>IFERROR(VLOOKUP(AA24,RULES!$A:$S,19,0)*1,0)</f>
        <v/>
      </c>
      <c r="AS24" s="41">
        <f>IFERROR(VLOOKUP(AA24,RULES!$A:$T,20,0)*1,0)</f>
        <v/>
      </c>
      <c r="AT24" s="41">
        <f>IFERROR(VLOOKUP(AA24,RULES!$A:$U,21,0)*1,0)</f>
        <v/>
      </c>
      <c r="AU24" s="41">
        <f>IFERROR(VLOOKUP(AA24,RULES!$A:$V,22,0)*1,0)</f>
        <v/>
      </c>
      <c r="AV24" s="41">
        <f>IFERROR(VLOOKUP(AA24,RULES!$A:$W,23,0)*1,0)</f>
        <v/>
      </c>
      <c r="AW24" s="41">
        <f>IFERROR(IF(VLOOKUP(AA24,RULES!$A:$X,24,0)="",999999,VLOOKUP(AA24,RULES!$A:$X,24,0)*1),999999)</f>
        <v/>
      </c>
      <c r="AX24" s="41">
        <f>IFERROR(VLOOKUP(AA24,RULES!$A:$Y,25,0)*1,0)</f>
        <v/>
      </c>
      <c r="AY24" s="41">
        <f>IFERROR(VLOOKUP(AA24,RULES!$A:$Z,26,0),"NONE")</f>
        <v/>
      </c>
      <c r="AZ24" s="41">
        <f>IFERROR(VLOOKUP(AA24,RULES!$A:$AA,27,0)*1,0)</f>
        <v/>
      </c>
      <c r="BA24" s="41">
        <f>IFERROR(VLOOKUP(AA24,RULES!$A:$AB,28,0)*1,0)</f>
        <v/>
      </c>
    </row>
    <row r="25" ht="17" customHeight="1">
      <c r="A25" s="36" t="n"/>
      <c r="B25" s="48" t="inlineStr">
        <is>
          <t>ACC001</t>
        </is>
      </c>
      <c r="C25" s="48" t="inlineStr">
        <is>
          <t>DEFAULT</t>
        </is>
      </c>
      <c r="D25" s="47" t="n"/>
      <c r="E25" s="36">
        <f>IF(OR(D25="",D25=0),"INACTIVE","ACTIVE")</f>
        <v/>
      </c>
      <c r="F25" s="48" t="inlineStr">
        <is>
          <t>NORMAL</t>
        </is>
      </c>
      <c r="G25" s="36" t="n"/>
      <c r="H25" s="36" t="n"/>
      <c r="I25" s="42">
        <f>IF(OR(E25="INACTIVE",H25=""),0,MAX(0,H25-G25))</f>
        <v/>
      </c>
      <c r="J25" s="36" t="n"/>
      <c r="K25" s="42">
        <f>IF(OR(E25="INACTIVE",H25=""),0,IF(AB25="DISABLED",0,IF(AB25="FLAT",AE25,IF(AB25="MANUAL",IF(J25="",0,J25*AC25),IF(AB25="STEP",IF(I25&lt;=AF25,I25*AG25,IF(I25&lt;=AH25,AF25*AG25+(I25-AF25)*AI25,AF25*AG25+(AH25-AF25)*AI25+(I25-AH25)*AK25)),MAX(I25*AC25,AD25))))))</f>
        <v/>
      </c>
      <c r="L25" s="42">
        <f>IF(OR(E25="INACTIVE",H25=""),0,IF(AL25="NONE",0,IF(AL25="FLAT",AM25,IF(AL25="PER_UNIT",I25*AN25,IF(AL25="MANUAL",IF(M25="",0,M25),0)))))</f>
        <v/>
      </c>
      <c r="M25" s="36" t="n"/>
      <c r="N25" s="48" t="inlineStr">
        <is>
          <t>NORMAL</t>
        </is>
      </c>
      <c r="O25" s="36" t="n"/>
      <c r="P25" s="36" t="n"/>
      <c r="Q25" s="42">
        <f>IF(OR(E25="INACTIVE",P25=""),0,MAX(0,P25-O25))</f>
        <v/>
      </c>
      <c r="R25" s="36" t="n"/>
      <c r="S25" s="42">
        <f>IF(OR(E25="INACTIVE",P25=""),0,IF(AO25="DISABLED",0,IF(AO25="FLAT",AR25,IF(AO25="MANUAL",IF(R25="",0,R25*AP25),IF(AO25="STEP",IF(Q25&lt;=AS25,Q25*AT25,IF(Q25&lt;=AU25,AS25*AT25+(Q25-AS25)*AV25,AS25*AT25+(AU25-AS25)*AV25+(Q25-AU25)*AX25)),MAX(Q25*AP25,AQ25))))))</f>
        <v/>
      </c>
      <c r="T25" s="42">
        <f>IF(OR(E25="INACTIVE",P25=""),0,IF(AY25="NONE",0,IF(AY25="FLAT",AZ25,IF(AY25="PER_UNIT",Q25*BA25,IF(AY25="MANUAL",IF(U25="",0,U25),0)))))</f>
        <v/>
      </c>
      <c r="U25" s="36" t="n"/>
      <c r="V25" s="36" t="n"/>
      <c r="W25" s="36" t="n"/>
      <c r="X25" s="42">
        <f>IF(E25="INACTIVE",0,D25+K25+L25+S25+T25+IF(V25="",0,V25)+IF(W25="",0,W25))</f>
        <v/>
      </c>
      <c r="Y25" s="36" t="n"/>
      <c r="Z25" s="42">
        <f>IF(E25="INACTIVE","_",IF(AND(G25&gt;0,H25&gt;0,H25&lt;G25),"[!]น้ำ reset ","")&amp;IF(AND(O25&gt;0,P25&gt;0,P25&lt;O25),"[!]ไฟ reset ","")&amp;IF(AND(F25="MANUAL",J25=""),"[X]units น้ำ ","")&amp;IF(AND(N25="MANUAL",R25=""),"[X]units ไฟ ","")&amp;IF(D25=0,"[!]ค่าเช่า=0",""))</f>
        <v/>
      </c>
      <c r="AA25" s="41">
        <f>IF(C25&lt;&gt;"",C25,CONFIG!$B$6)</f>
        <v/>
      </c>
      <c r="AB25" s="41">
        <f>IF(F25&lt;&gt;"",F25,IFERROR(VLOOKUP(AA25,RULES!$A:$C,3,0),CONFIG!$B$7))</f>
        <v/>
      </c>
      <c r="AC25" s="41">
        <f>IF(IFERROR(VLOOKUP(AA25,RULES!$A:$D,4,0),"")="",CONFIG!$B$10,VLOOKUP(AA25,RULES!$A:$D,4,0))</f>
        <v/>
      </c>
      <c r="AD25" s="41">
        <f>IF(IFERROR(VLOOKUP(AA25,RULES!$A:$E,5,0),"")="",CONFIG!$B$11,VLOOKUP(AA25,RULES!$A:$E,5,0))</f>
        <v/>
      </c>
      <c r="AE25" s="41">
        <f>IFERROR(VLOOKUP(AA25,RULES!$A:$F,6,0)*1,0)</f>
        <v/>
      </c>
      <c r="AF25" s="41">
        <f>IFERROR(VLOOKUP(AA25,RULES!$A:$G,7,0)*1,0)</f>
        <v/>
      </c>
      <c r="AG25" s="41">
        <f>IFERROR(VLOOKUP(AA25,RULES!$A:$H,8,0)*1,0)</f>
        <v/>
      </c>
      <c r="AH25" s="41">
        <f>IFERROR(VLOOKUP(AA25,RULES!$A:$I,9,0)*1,0)</f>
        <v/>
      </c>
      <c r="AI25" s="41">
        <f>IFERROR(VLOOKUP(AA25,RULES!$A:$J,10,0)*1,0)</f>
        <v/>
      </c>
      <c r="AJ25" s="41">
        <f>IFERROR(IF(VLOOKUP(AA25,RULES!$A:$K,11,0)="",999999,VLOOKUP(AA25,RULES!$A:$K,11,0)*1),999999)</f>
        <v/>
      </c>
      <c r="AK25" s="41">
        <f>IFERROR(VLOOKUP(AA25,RULES!$A:$L,12,0)*1,0)</f>
        <v/>
      </c>
      <c r="AL25" s="41">
        <f>IFERROR(VLOOKUP(AA25,RULES!$A:$M,13,0),"NONE")</f>
        <v/>
      </c>
      <c r="AM25" s="41">
        <f>IFERROR(VLOOKUP(AA25,RULES!$A:$N,14,0)*1,0)</f>
        <v/>
      </c>
      <c r="AN25" s="41">
        <f>IFERROR(VLOOKUP(AA25,RULES!$A:$O,15,0)*1,0)</f>
        <v/>
      </c>
      <c r="AO25" s="41">
        <f>IF(N25&lt;&gt;"",N25,IFERROR(VLOOKUP(AA25,RULES!$A:$P,16,0),CONFIG!$B$8))</f>
        <v/>
      </c>
      <c r="AP25" s="41">
        <f>IF(IFERROR(VLOOKUP(AA25,RULES!$A:$Q,17,0),"")="",CONFIG!$B$13,VLOOKUP(AA25,RULES!$A:$Q,17,0))</f>
        <v/>
      </c>
      <c r="AQ25" s="41">
        <f>IF(IFERROR(VLOOKUP(AA25,RULES!$A:$R,18,0),"")="",CONFIG!$B$14,VLOOKUP(AA25,RULES!$A:$R,18,0))</f>
        <v/>
      </c>
      <c r="AR25" s="41">
        <f>IFERROR(VLOOKUP(AA25,RULES!$A:$S,19,0)*1,0)</f>
        <v/>
      </c>
      <c r="AS25" s="41">
        <f>IFERROR(VLOOKUP(AA25,RULES!$A:$T,20,0)*1,0)</f>
        <v/>
      </c>
      <c r="AT25" s="41">
        <f>IFERROR(VLOOKUP(AA25,RULES!$A:$U,21,0)*1,0)</f>
        <v/>
      </c>
      <c r="AU25" s="41">
        <f>IFERROR(VLOOKUP(AA25,RULES!$A:$V,22,0)*1,0)</f>
        <v/>
      </c>
      <c r="AV25" s="41">
        <f>IFERROR(VLOOKUP(AA25,RULES!$A:$W,23,0)*1,0)</f>
        <v/>
      </c>
      <c r="AW25" s="41">
        <f>IFERROR(IF(VLOOKUP(AA25,RULES!$A:$X,24,0)="",999999,VLOOKUP(AA25,RULES!$A:$X,24,0)*1),999999)</f>
        <v/>
      </c>
      <c r="AX25" s="41">
        <f>IFERROR(VLOOKUP(AA25,RULES!$A:$Y,25,0)*1,0)</f>
        <v/>
      </c>
      <c r="AY25" s="41">
        <f>IFERROR(VLOOKUP(AA25,RULES!$A:$Z,26,0),"NONE")</f>
        <v/>
      </c>
      <c r="AZ25" s="41">
        <f>IFERROR(VLOOKUP(AA25,RULES!$A:$AA,27,0)*1,0)</f>
        <v/>
      </c>
      <c r="BA25" s="41">
        <f>IFERROR(VLOOKUP(AA25,RULES!$A:$AB,28,0)*1,0)</f>
        <v/>
      </c>
    </row>
    <row r="26" ht="17" customHeight="1">
      <c r="A26" s="36" t="n"/>
      <c r="B26" s="48" t="inlineStr">
        <is>
          <t>ACC001</t>
        </is>
      </c>
      <c r="C26" s="48" t="inlineStr">
        <is>
          <t>DEFAULT</t>
        </is>
      </c>
      <c r="D26" s="47" t="n"/>
      <c r="E26" s="36">
        <f>IF(OR(D26="",D26=0),"INACTIVE","ACTIVE")</f>
        <v/>
      </c>
      <c r="F26" s="48" t="inlineStr">
        <is>
          <t>NORMAL</t>
        </is>
      </c>
      <c r="G26" s="36" t="n"/>
      <c r="H26" s="36" t="n"/>
      <c r="I26" s="42">
        <f>IF(OR(E26="INACTIVE",H26=""),0,MAX(0,H26-G26))</f>
        <v/>
      </c>
      <c r="J26" s="36" t="n"/>
      <c r="K26" s="42">
        <f>IF(OR(E26="INACTIVE",H26=""),0,IF(AB26="DISABLED",0,IF(AB26="FLAT",AE26,IF(AB26="MANUAL",IF(J26="",0,J26*AC26),IF(AB26="STEP",IF(I26&lt;=AF26,I26*AG26,IF(I26&lt;=AH26,AF26*AG26+(I26-AF26)*AI26,AF26*AG26+(AH26-AF26)*AI26+(I26-AH26)*AK26)),MAX(I26*AC26,AD26))))))</f>
        <v/>
      </c>
      <c r="L26" s="42">
        <f>IF(OR(E26="INACTIVE",H26=""),0,IF(AL26="NONE",0,IF(AL26="FLAT",AM26,IF(AL26="PER_UNIT",I26*AN26,IF(AL26="MANUAL",IF(M26="",0,M26),0)))))</f>
        <v/>
      </c>
      <c r="M26" s="36" t="n"/>
      <c r="N26" s="48" t="inlineStr">
        <is>
          <t>NORMAL</t>
        </is>
      </c>
      <c r="O26" s="36" t="n"/>
      <c r="P26" s="36" t="n"/>
      <c r="Q26" s="42">
        <f>IF(OR(E26="INACTIVE",P26=""),0,MAX(0,P26-O26))</f>
        <v/>
      </c>
      <c r="R26" s="36" t="n"/>
      <c r="S26" s="42">
        <f>IF(OR(E26="INACTIVE",P26=""),0,IF(AO26="DISABLED",0,IF(AO26="FLAT",AR26,IF(AO26="MANUAL",IF(R26="",0,R26*AP26),IF(AO26="STEP",IF(Q26&lt;=AS26,Q26*AT26,IF(Q26&lt;=AU26,AS26*AT26+(Q26-AS26)*AV26,AS26*AT26+(AU26-AS26)*AV26+(Q26-AU26)*AX26)),MAX(Q26*AP26,AQ26))))))</f>
        <v/>
      </c>
      <c r="T26" s="42">
        <f>IF(OR(E26="INACTIVE",P26=""),0,IF(AY26="NONE",0,IF(AY26="FLAT",AZ26,IF(AY26="PER_UNIT",Q26*BA26,IF(AY26="MANUAL",IF(U26="",0,U26),0)))))</f>
        <v/>
      </c>
      <c r="U26" s="36" t="n"/>
      <c r="V26" s="36" t="n"/>
      <c r="W26" s="36" t="n"/>
      <c r="X26" s="42">
        <f>IF(E26="INACTIVE",0,D26+K26+L26+S26+T26+IF(V26="",0,V26)+IF(W26="",0,W26))</f>
        <v/>
      </c>
      <c r="Y26" s="36" t="n"/>
      <c r="Z26" s="42">
        <f>IF(E26="INACTIVE","_",IF(AND(G26&gt;0,H26&gt;0,H26&lt;G26),"[!]น้ำ reset ","")&amp;IF(AND(O26&gt;0,P26&gt;0,P26&lt;O26),"[!]ไฟ reset ","")&amp;IF(AND(F26="MANUAL",J26=""),"[X]units น้ำ ","")&amp;IF(AND(N26="MANUAL",R26=""),"[X]units ไฟ ","")&amp;IF(D26=0,"[!]ค่าเช่า=0",""))</f>
        <v/>
      </c>
      <c r="AA26" s="41">
        <f>IF(C26&lt;&gt;"",C26,CONFIG!$B$6)</f>
        <v/>
      </c>
      <c r="AB26" s="41">
        <f>IF(F26&lt;&gt;"",F26,IFERROR(VLOOKUP(AA26,RULES!$A:$C,3,0),CONFIG!$B$7))</f>
        <v/>
      </c>
      <c r="AC26" s="41">
        <f>IF(IFERROR(VLOOKUP(AA26,RULES!$A:$D,4,0),"")="",CONFIG!$B$10,VLOOKUP(AA26,RULES!$A:$D,4,0))</f>
        <v/>
      </c>
      <c r="AD26" s="41">
        <f>IF(IFERROR(VLOOKUP(AA26,RULES!$A:$E,5,0),"")="",CONFIG!$B$11,VLOOKUP(AA26,RULES!$A:$E,5,0))</f>
        <v/>
      </c>
      <c r="AE26" s="41">
        <f>IFERROR(VLOOKUP(AA26,RULES!$A:$F,6,0)*1,0)</f>
        <v/>
      </c>
      <c r="AF26" s="41">
        <f>IFERROR(VLOOKUP(AA26,RULES!$A:$G,7,0)*1,0)</f>
        <v/>
      </c>
      <c r="AG26" s="41">
        <f>IFERROR(VLOOKUP(AA26,RULES!$A:$H,8,0)*1,0)</f>
        <v/>
      </c>
      <c r="AH26" s="41">
        <f>IFERROR(VLOOKUP(AA26,RULES!$A:$I,9,0)*1,0)</f>
        <v/>
      </c>
      <c r="AI26" s="41">
        <f>IFERROR(VLOOKUP(AA26,RULES!$A:$J,10,0)*1,0)</f>
        <v/>
      </c>
      <c r="AJ26" s="41">
        <f>IFERROR(IF(VLOOKUP(AA26,RULES!$A:$K,11,0)="",999999,VLOOKUP(AA26,RULES!$A:$K,11,0)*1),999999)</f>
        <v/>
      </c>
      <c r="AK26" s="41">
        <f>IFERROR(VLOOKUP(AA26,RULES!$A:$L,12,0)*1,0)</f>
        <v/>
      </c>
      <c r="AL26" s="41">
        <f>IFERROR(VLOOKUP(AA26,RULES!$A:$M,13,0),"NONE")</f>
        <v/>
      </c>
      <c r="AM26" s="41">
        <f>IFERROR(VLOOKUP(AA26,RULES!$A:$N,14,0)*1,0)</f>
        <v/>
      </c>
      <c r="AN26" s="41">
        <f>IFERROR(VLOOKUP(AA26,RULES!$A:$O,15,0)*1,0)</f>
        <v/>
      </c>
      <c r="AO26" s="41">
        <f>IF(N26&lt;&gt;"",N26,IFERROR(VLOOKUP(AA26,RULES!$A:$P,16,0),CONFIG!$B$8))</f>
        <v/>
      </c>
      <c r="AP26" s="41">
        <f>IF(IFERROR(VLOOKUP(AA26,RULES!$A:$Q,17,0),"")="",CONFIG!$B$13,VLOOKUP(AA26,RULES!$A:$Q,17,0))</f>
        <v/>
      </c>
      <c r="AQ26" s="41">
        <f>IF(IFERROR(VLOOKUP(AA26,RULES!$A:$R,18,0),"")="",CONFIG!$B$14,VLOOKUP(AA26,RULES!$A:$R,18,0))</f>
        <v/>
      </c>
      <c r="AR26" s="41">
        <f>IFERROR(VLOOKUP(AA26,RULES!$A:$S,19,0)*1,0)</f>
        <v/>
      </c>
      <c r="AS26" s="41">
        <f>IFERROR(VLOOKUP(AA26,RULES!$A:$T,20,0)*1,0)</f>
        <v/>
      </c>
      <c r="AT26" s="41">
        <f>IFERROR(VLOOKUP(AA26,RULES!$A:$U,21,0)*1,0)</f>
        <v/>
      </c>
      <c r="AU26" s="41">
        <f>IFERROR(VLOOKUP(AA26,RULES!$A:$V,22,0)*1,0)</f>
        <v/>
      </c>
      <c r="AV26" s="41">
        <f>IFERROR(VLOOKUP(AA26,RULES!$A:$W,23,0)*1,0)</f>
        <v/>
      </c>
      <c r="AW26" s="41">
        <f>IFERROR(IF(VLOOKUP(AA26,RULES!$A:$X,24,0)="",999999,VLOOKUP(AA26,RULES!$A:$X,24,0)*1),999999)</f>
        <v/>
      </c>
      <c r="AX26" s="41">
        <f>IFERROR(VLOOKUP(AA26,RULES!$A:$Y,25,0)*1,0)</f>
        <v/>
      </c>
      <c r="AY26" s="41">
        <f>IFERROR(VLOOKUP(AA26,RULES!$A:$Z,26,0),"NONE")</f>
        <v/>
      </c>
      <c r="AZ26" s="41">
        <f>IFERROR(VLOOKUP(AA26,RULES!$A:$AA,27,0)*1,0)</f>
        <v/>
      </c>
      <c r="BA26" s="41">
        <f>IFERROR(VLOOKUP(AA26,RULES!$A:$AB,28,0)*1,0)</f>
        <v/>
      </c>
    </row>
    <row r="27" ht="17" customHeight="1">
      <c r="A27" s="36" t="n"/>
      <c r="B27" s="48" t="inlineStr">
        <is>
          <t>ACC001</t>
        </is>
      </c>
      <c r="C27" s="48" t="inlineStr">
        <is>
          <t>DEFAULT</t>
        </is>
      </c>
      <c r="D27" s="47" t="n"/>
      <c r="E27" s="36">
        <f>IF(OR(D27="",D27=0),"INACTIVE","ACTIVE")</f>
        <v/>
      </c>
      <c r="F27" s="48" t="inlineStr">
        <is>
          <t>NORMAL</t>
        </is>
      </c>
      <c r="G27" s="36" t="n"/>
      <c r="H27" s="36" t="n"/>
      <c r="I27" s="42">
        <f>IF(OR(E27="INACTIVE",H27=""),0,MAX(0,H27-G27))</f>
        <v/>
      </c>
      <c r="J27" s="36" t="n"/>
      <c r="K27" s="42">
        <f>IF(OR(E27="INACTIVE",H27=""),0,IF(AB27="DISABLED",0,IF(AB27="FLAT",AE27,IF(AB27="MANUAL",IF(J27="",0,J27*AC27),IF(AB27="STEP",IF(I27&lt;=AF27,I27*AG27,IF(I27&lt;=AH27,AF27*AG27+(I27-AF27)*AI27,AF27*AG27+(AH27-AF27)*AI27+(I27-AH27)*AK27)),MAX(I27*AC27,AD27))))))</f>
        <v/>
      </c>
      <c r="L27" s="42">
        <f>IF(OR(E27="INACTIVE",H27=""),0,IF(AL27="NONE",0,IF(AL27="FLAT",AM27,IF(AL27="PER_UNIT",I27*AN27,IF(AL27="MANUAL",IF(M27="",0,M27),0)))))</f>
        <v/>
      </c>
      <c r="M27" s="36" t="n"/>
      <c r="N27" s="48" t="inlineStr">
        <is>
          <t>NORMAL</t>
        </is>
      </c>
      <c r="O27" s="36" t="n"/>
      <c r="P27" s="36" t="n"/>
      <c r="Q27" s="42">
        <f>IF(OR(E27="INACTIVE",P27=""),0,MAX(0,P27-O27))</f>
        <v/>
      </c>
      <c r="R27" s="36" t="n"/>
      <c r="S27" s="42">
        <f>IF(OR(E27="INACTIVE",P27=""),0,IF(AO27="DISABLED",0,IF(AO27="FLAT",AR27,IF(AO27="MANUAL",IF(R27="",0,R27*AP27),IF(AO27="STEP",IF(Q27&lt;=AS27,Q27*AT27,IF(Q27&lt;=AU27,AS27*AT27+(Q27-AS27)*AV27,AS27*AT27+(AU27-AS27)*AV27+(Q27-AU27)*AX27)),MAX(Q27*AP27,AQ27))))))</f>
        <v/>
      </c>
      <c r="T27" s="42">
        <f>IF(OR(E27="INACTIVE",P27=""),0,IF(AY27="NONE",0,IF(AY27="FLAT",AZ27,IF(AY27="PER_UNIT",Q27*BA27,IF(AY27="MANUAL",IF(U27="",0,U27),0)))))</f>
        <v/>
      </c>
      <c r="U27" s="36" t="n"/>
      <c r="V27" s="36" t="n"/>
      <c r="W27" s="36" t="n"/>
      <c r="X27" s="42">
        <f>IF(E27="INACTIVE",0,D27+K27+L27+S27+T27+IF(V27="",0,V27)+IF(W27="",0,W27))</f>
        <v/>
      </c>
      <c r="Y27" s="36" t="n"/>
      <c r="Z27" s="42">
        <f>IF(E27="INACTIVE","_",IF(AND(G27&gt;0,H27&gt;0,H27&lt;G27),"[!]น้ำ reset ","")&amp;IF(AND(O27&gt;0,P27&gt;0,P27&lt;O27),"[!]ไฟ reset ","")&amp;IF(AND(F27="MANUAL",J27=""),"[X]units น้ำ ","")&amp;IF(AND(N27="MANUAL",R27=""),"[X]units ไฟ ","")&amp;IF(D27=0,"[!]ค่าเช่า=0",""))</f>
        <v/>
      </c>
      <c r="AA27" s="41">
        <f>IF(C27&lt;&gt;"",C27,CONFIG!$B$6)</f>
        <v/>
      </c>
      <c r="AB27" s="41">
        <f>IF(F27&lt;&gt;"",F27,IFERROR(VLOOKUP(AA27,RULES!$A:$C,3,0),CONFIG!$B$7))</f>
        <v/>
      </c>
      <c r="AC27" s="41">
        <f>IF(IFERROR(VLOOKUP(AA27,RULES!$A:$D,4,0),"")="",CONFIG!$B$10,VLOOKUP(AA27,RULES!$A:$D,4,0))</f>
        <v/>
      </c>
      <c r="AD27" s="41">
        <f>IF(IFERROR(VLOOKUP(AA27,RULES!$A:$E,5,0),"")="",CONFIG!$B$11,VLOOKUP(AA27,RULES!$A:$E,5,0))</f>
        <v/>
      </c>
      <c r="AE27" s="41">
        <f>IFERROR(VLOOKUP(AA27,RULES!$A:$F,6,0)*1,0)</f>
        <v/>
      </c>
      <c r="AF27" s="41">
        <f>IFERROR(VLOOKUP(AA27,RULES!$A:$G,7,0)*1,0)</f>
        <v/>
      </c>
      <c r="AG27" s="41">
        <f>IFERROR(VLOOKUP(AA27,RULES!$A:$H,8,0)*1,0)</f>
        <v/>
      </c>
      <c r="AH27" s="41">
        <f>IFERROR(VLOOKUP(AA27,RULES!$A:$I,9,0)*1,0)</f>
        <v/>
      </c>
      <c r="AI27" s="41">
        <f>IFERROR(VLOOKUP(AA27,RULES!$A:$J,10,0)*1,0)</f>
        <v/>
      </c>
      <c r="AJ27" s="41">
        <f>IFERROR(IF(VLOOKUP(AA27,RULES!$A:$K,11,0)="",999999,VLOOKUP(AA27,RULES!$A:$K,11,0)*1),999999)</f>
        <v/>
      </c>
      <c r="AK27" s="41">
        <f>IFERROR(VLOOKUP(AA27,RULES!$A:$L,12,0)*1,0)</f>
        <v/>
      </c>
      <c r="AL27" s="41">
        <f>IFERROR(VLOOKUP(AA27,RULES!$A:$M,13,0),"NONE")</f>
        <v/>
      </c>
      <c r="AM27" s="41">
        <f>IFERROR(VLOOKUP(AA27,RULES!$A:$N,14,0)*1,0)</f>
        <v/>
      </c>
      <c r="AN27" s="41">
        <f>IFERROR(VLOOKUP(AA27,RULES!$A:$O,15,0)*1,0)</f>
        <v/>
      </c>
      <c r="AO27" s="41">
        <f>IF(N27&lt;&gt;"",N27,IFERROR(VLOOKUP(AA27,RULES!$A:$P,16,0),CONFIG!$B$8))</f>
        <v/>
      </c>
      <c r="AP27" s="41">
        <f>IF(IFERROR(VLOOKUP(AA27,RULES!$A:$Q,17,0),"")="",CONFIG!$B$13,VLOOKUP(AA27,RULES!$A:$Q,17,0))</f>
        <v/>
      </c>
      <c r="AQ27" s="41">
        <f>IF(IFERROR(VLOOKUP(AA27,RULES!$A:$R,18,0),"")="",CONFIG!$B$14,VLOOKUP(AA27,RULES!$A:$R,18,0))</f>
        <v/>
      </c>
      <c r="AR27" s="41">
        <f>IFERROR(VLOOKUP(AA27,RULES!$A:$S,19,0)*1,0)</f>
        <v/>
      </c>
      <c r="AS27" s="41">
        <f>IFERROR(VLOOKUP(AA27,RULES!$A:$T,20,0)*1,0)</f>
        <v/>
      </c>
      <c r="AT27" s="41">
        <f>IFERROR(VLOOKUP(AA27,RULES!$A:$U,21,0)*1,0)</f>
        <v/>
      </c>
      <c r="AU27" s="41">
        <f>IFERROR(VLOOKUP(AA27,RULES!$A:$V,22,0)*1,0)</f>
        <v/>
      </c>
      <c r="AV27" s="41">
        <f>IFERROR(VLOOKUP(AA27,RULES!$A:$W,23,0)*1,0)</f>
        <v/>
      </c>
      <c r="AW27" s="41">
        <f>IFERROR(IF(VLOOKUP(AA27,RULES!$A:$X,24,0)="",999999,VLOOKUP(AA27,RULES!$A:$X,24,0)*1),999999)</f>
        <v/>
      </c>
      <c r="AX27" s="41">
        <f>IFERROR(VLOOKUP(AA27,RULES!$A:$Y,25,0)*1,0)</f>
        <v/>
      </c>
      <c r="AY27" s="41">
        <f>IFERROR(VLOOKUP(AA27,RULES!$A:$Z,26,0),"NONE")</f>
        <v/>
      </c>
      <c r="AZ27" s="41">
        <f>IFERROR(VLOOKUP(AA27,RULES!$A:$AA,27,0)*1,0)</f>
        <v/>
      </c>
      <c r="BA27" s="41">
        <f>IFERROR(VLOOKUP(AA27,RULES!$A:$AB,28,0)*1,0)</f>
        <v/>
      </c>
    </row>
    <row r="28" ht="17" customHeight="1">
      <c r="A28" s="36" t="n"/>
      <c r="B28" s="48" t="inlineStr">
        <is>
          <t>ACC001</t>
        </is>
      </c>
      <c r="C28" s="48" t="inlineStr">
        <is>
          <t>DEFAULT</t>
        </is>
      </c>
      <c r="D28" s="47" t="n"/>
      <c r="E28" s="36">
        <f>IF(OR(D28="",D28=0),"INACTIVE","ACTIVE")</f>
        <v/>
      </c>
      <c r="F28" s="48" t="inlineStr">
        <is>
          <t>NORMAL</t>
        </is>
      </c>
      <c r="G28" s="36" t="n"/>
      <c r="H28" s="36" t="n"/>
      <c r="I28" s="42">
        <f>IF(OR(E28="INACTIVE",H28=""),0,MAX(0,H28-G28))</f>
        <v/>
      </c>
      <c r="J28" s="36" t="n"/>
      <c r="K28" s="42">
        <f>IF(OR(E28="INACTIVE",H28=""),0,IF(AB28="DISABLED",0,IF(AB28="FLAT",AE28,IF(AB28="MANUAL",IF(J28="",0,J28*AC28),IF(AB28="STEP",IF(I28&lt;=AF28,I28*AG28,IF(I28&lt;=AH28,AF28*AG28+(I28-AF28)*AI28,AF28*AG28+(AH28-AF28)*AI28+(I28-AH28)*AK28)),MAX(I28*AC28,AD28))))))</f>
        <v/>
      </c>
      <c r="L28" s="42">
        <f>IF(OR(E28="INACTIVE",H28=""),0,IF(AL28="NONE",0,IF(AL28="FLAT",AM28,IF(AL28="PER_UNIT",I28*AN28,IF(AL28="MANUAL",IF(M28="",0,M28),0)))))</f>
        <v/>
      </c>
      <c r="M28" s="36" t="n"/>
      <c r="N28" s="48" t="inlineStr">
        <is>
          <t>NORMAL</t>
        </is>
      </c>
      <c r="O28" s="36" t="n"/>
      <c r="P28" s="36" t="n"/>
      <c r="Q28" s="42">
        <f>IF(OR(E28="INACTIVE",P28=""),0,MAX(0,P28-O28))</f>
        <v/>
      </c>
      <c r="R28" s="36" t="n"/>
      <c r="S28" s="42">
        <f>IF(OR(E28="INACTIVE",P28=""),0,IF(AO28="DISABLED",0,IF(AO28="FLAT",AR28,IF(AO28="MANUAL",IF(R28="",0,R28*AP28),IF(AO28="STEP",IF(Q28&lt;=AS28,Q28*AT28,IF(Q28&lt;=AU28,AS28*AT28+(Q28-AS28)*AV28,AS28*AT28+(AU28-AS28)*AV28+(Q28-AU28)*AX28)),MAX(Q28*AP28,AQ28))))))</f>
        <v/>
      </c>
      <c r="T28" s="42">
        <f>IF(OR(E28="INACTIVE",P28=""),0,IF(AY28="NONE",0,IF(AY28="FLAT",AZ28,IF(AY28="PER_UNIT",Q28*BA28,IF(AY28="MANUAL",IF(U28="",0,U28),0)))))</f>
        <v/>
      </c>
      <c r="U28" s="36" t="n"/>
      <c r="V28" s="36" t="n"/>
      <c r="W28" s="36" t="n"/>
      <c r="X28" s="42">
        <f>IF(E28="INACTIVE",0,D28+K28+L28+S28+T28+IF(V28="",0,V28)+IF(W28="",0,W28))</f>
        <v/>
      </c>
      <c r="Y28" s="36" t="n"/>
      <c r="Z28" s="42">
        <f>IF(E28="INACTIVE","_",IF(AND(G28&gt;0,H28&gt;0,H28&lt;G28),"[!]น้ำ reset ","")&amp;IF(AND(O28&gt;0,P28&gt;0,P28&lt;O28),"[!]ไฟ reset ","")&amp;IF(AND(F28="MANUAL",J28=""),"[X]units น้ำ ","")&amp;IF(AND(N28="MANUAL",R28=""),"[X]units ไฟ ","")&amp;IF(D28=0,"[!]ค่าเช่า=0",""))</f>
        <v/>
      </c>
      <c r="AA28" s="41">
        <f>IF(C28&lt;&gt;"",C28,CONFIG!$B$6)</f>
        <v/>
      </c>
      <c r="AB28" s="41">
        <f>IF(F28&lt;&gt;"",F28,IFERROR(VLOOKUP(AA28,RULES!$A:$C,3,0),CONFIG!$B$7))</f>
        <v/>
      </c>
      <c r="AC28" s="41">
        <f>IF(IFERROR(VLOOKUP(AA28,RULES!$A:$D,4,0),"")="",CONFIG!$B$10,VLOOKUP(AA28,RULES!$A:$D,4,0))</f>
        <v/>
      </c>
      <c r="AD28" s="41">
        <f>IF(IFERROR(VLOOKUP(AA28,RULES!$A:$E,5,0),"")="",CONFIG!$B$11,VLOOKUP(AA28,RULES!$A:$E,5,0))</f>
        <v/>
      </c>
      <c r="AE28" s="41">
        <f>IFERROR(VLOOKUP(AA28,RULES!$A:$F,6,0)*1,0)</f>
        <v/>
      </c>
      <c r="AF28" s="41">
        <f>IFERROR(VLOOKUP(AA28,RULES!$A:$G,7,0)*1,0)</f>
        <v/>
      </c>
      <c r="AG28" s="41">
        <f>IFERROR(VLOOKUP(AA28,RULES!$A:$H,8,0)*1,0)</f>
        <v/>
      </c>
      <c r="AH28" s="41">
        <f>IFERROR(VLOOKUP(AA28,RULES!$A:$I,9,0)*1,0)</f>
        <v/>
      </c>
      <c r="AI28" s="41">
        <f>IFERROR(VLOOKUP(AA28,RULES!$A:$J,10,0)*1,0)</f>
        <v/>
      </c>
      <c r="AJ28" s="41">
        <f>IFERROR(IF(VLOOKUP(AA28,RULES!$A:$K,11,0)="",999999,VLOOKUP(AA28,RULES!$A:$K,11,0)*1),999999)</f>
        <v/>
      </c>
      <c r="AK28" s="41">
        <f>IFERROR(VLOOKUP(AA28,RULES!$A:$L,12,0)*1,0)</f>
        <v/>
      </c>
      <c r="AL28" s="41">
        <f>IFERROR(VLOOKUP(AA28,RULES!$A:$M,13,0),"NONE")</f>
        <v/>
      </c>
      <c r="AM28" s="41">
        <f>IFERROR(VLOOKUP(AA28,RULES!$A:$N,14,0)*1,0)</f>
        <v/>
      </c>
      <c r="AN28" s="41">
        <f>IFERROR(VLOOKUP(AA28,RULES!$A:$O,15,0)*1,0)</f>
        <v/>
      </c>
      <c r="AO28" s="41">
        <f>IF(N28&lt;&gt;"",N28,IFERROR(VLOOKUP(AA28,RULES!$A:$P,16,0),CONFIG!$B$8))</f>
        <v/>
      </c>
      <c r="AP28" s="41">
        <f>IF(IFERROR(VLOOKUP(AA28,RULES!$A:$Q,17,0),"")="",CONFIG!$B$13,VLOOKUP(AA28,RULES!$A:$Q,17,0))</f>
        <v/>
      </c>
      <c r="AQ28" s="41">
        <f>IF(IFERROR(VLOOKUP(AA28,RULES!$A:$R,18,0),"")="",CONFIG!$B$14,VLOOKUP(AA28,RULES!$A:$R,18,0))</f>
        <v/>
      </c>
      <c r="AR28" s="41">
        <f>IFERROR(VLOOKUP(AA28,RULES!$A:$S,19,0)*1,0)</f>
        <v/>
      </c>
      <c r="AS28" s="41">
        <f>IFERROR(VLOOKUP(AA28,RULES!$A:$T,20,0)*1,0)</f>
        <v/>
      </c>
      <c r="AT28" s="41">
        <f>IFERROR(VLOOKUP(AA28,RULES!$A:$U,21,0)*1,0)</f>
        <v/>
      </c>
      <c r="AU28" s="41">
        <f>IFERROR(VLOOKUP(AA28,RULES!$A:$V,22,0)*1,0)</f>
        <v/>
      </c>
      <c r="AV28" s="41">
        <f>IFERROR(VLOOKUP(AA28,RULES!$A:$W,23,0)*1,0)</f>
        <v/>
      </c>
      <c r="AW28" s="41">
        <f>IFERROR(IF(VLOOKUP(AA28,RULES!$A:$X,24,0)="",999999,VLOOKUP(AA28,RULES!$A:$X,24,0)*1),999999)</f>
        <v/>
      </c>
      <c r="AX28" s="41">
        <f>IFERROR(VLOOKUP(AA28,RULES!$A:$Y,25,0)*1,0)</f>
        <v/>
      </c>
      <c r="AY28" s="41">
        <f>IFERROR(VLOOKUP(AA28,RULES!$A:$Z,26,0),"NONE")</f>
        <v/>
      </c>
      <c r="AZ28" s="41">
        <f>IFERROR(VLOOKUP(AA28,RULES!$A:$AA,27,0)*1,0)</f>
        <v/>
      </c>
      <c r="BA28" s="41">
        <f>IFERROR(VLOOKUP(AA28,RULES!$A:$AB,28,0)*1,0)</f>
        <v/>
      </c>
    </row>
    <row r="29" ht="22" customHeight="1">
      <c r="A29" s="43" t="inlineStr">
        <is>
          <t>Summary Floor 1</t>
        </is>
      </c>
      <c r="B29" s="46" t="n"/>
      <c r="C29" s="44" t="n"/>
      <c r="D29" s="44" t="n"/>
      <c r="E29" s="43">
        <f>COUNTIF(E4:E18,"ACTIVE")&amp;" / "&amp;COUNTIF(E4:E18,"INACTIVE")</f>
        <v/>
      </c>
      <c r="F29" s="44" t="n"/>
      <c r="G29" s="44" t="n"/>
      <c r="H29" s="44" t="n"/>
      <c r="I29" s="44" t="n"/>
      <c r="J29" s="44" t="n"/>
      <c r="K29" s="45">
        <f>SUM(K4:K18)</f>
        <v/>
      </c>
      <c r="L29" s="45">
        <f>SUM(L4:L18)</f>
        <v/>
      </c>
      <c r="M29" s="44" t="n"/>
      <c r="N29" s="44" t="n"/>
      <c r="O29" s="44" t="n"/>
      <c r="P29" s="44" t="n"/>
      <c r="Q29" s="44" t="n"/>
      <c r="R29" s="44" t="n"/>
      <c r="S29" s="45">
        <f>SUM(S4:S18)</f>
        <v/>
      </c>
      <c r="T29" s="45">
        <f>SUM(T4:T18)</f>
        <v/>
      </c>
      <c r="U29" s="44" t="n"/>
      <c r="V29" s="44" t="n"/>
      <c r="W29" s="44" t="n"/>
      <c r="X29" s="45">
        <f>SUM(X4:X18)</f>
        <v/>
      </c>
      <c r="Y29" s="44" t="n"/>
      <c r="Z29" s="44" t="n"/>
    </row>
  </sheetData>
  <mergeCells count="3">
    <mergeCell ref="A1:Z1"/>
    <mergeCell ref="A19:B19"/>
    <mergeCell ref="A29:B29"/>
  </mergeCells>
  <conditionalFormatting sqref="A4:Z29">
    <cfRule type="expression" priority="22" dxfId="11">
      <formula>=$E4="INACTIVE"</formula>
    </cfRule>
  </conditionalFormatting>
  <conditionalFormatting sqref="E4:E29">
    <cfRule type="expression" priority="23" dxfId="12">
      <formula>=E4="ACTIVE"</formula>
    </cfRule>
    <cfRule type="expression" priority="24" dxfId="13">
      <formula>=E4="INACTIVE"</formula>
    </cfRule>
  </conditionalFormatting>
  <conditionalFormatting sqref="F4:F29">
    <cfRule type="expression" priority="25" dxfId="14">
      <formula>=F4="NORMAL"</formula>
    </cfRule>
    <cfRule type="expression" priority="26" dxfId="15">
      <formula>=F4="MANUAL"</formula>
    </cfRule>
    <cfRule type="expression" priority="27" dxfId="16">
      <formula>=F4="DISABLED"</formula>
    </cfRule>
    <cfRule type="expression" priority="28" dxfId="17">
      <formula>=F4="FLAT"</formula>
    </cfRule>
    <cfRule type="expression" priority="29" dxfId="18">
      <formula>=F4="STEP"</formula>
    </cfRule>
  </conditionalFormatting>
  <conditionalFormatting sqref="N4:N29">
    <cfRule type="expression" priority="30" dxfId="14">
      <formula>=N4="NORMAL"</formula>
    </cfRule>
    <cfRule type="expression" priority="31" dxfId="15">
      <formula>=N4="MANUAL"</formula>
    </cfRule>
    <cfRule type="expression" priority="32" dxfId="16">
      <formula>=N4="DISABLED"</formula>
    </cfRule>
    <cfRule type="expression" priority="33" dxfId="17">
      <formula>=N4="FLAT"</formula>
    </cfRule>
    <cfRule type="expression" priority="34" dxfId="18">
      <formula>=N4="STEP"</formula>
    </cfRule>
  </conditionalFormatting>
  <conditionalFormatting sqref="Z4:Z29">
    <cfRule type="expression" priority="35" dxfId="19">
      <formula>=ISNUMBER(SEARCH("[X]",Z4))</formula>
    </cfRule>
    <cfRule type="expression" priority="36" dxfId="20">
      <formula>=ISNUMBER(SEARCH("[!]",Z4))</formula>
    </cfRule>
    <cfRule type="expression" priority="37" dxfId="16">
      <formula>=Z4="_"</formula>
    </cfRule>
    <cfRule type="expression" priority="38" dxfId="14">
      <formula>=AND(Z4="",E4="ACTIVE")</formula>
    </cfRule>
  </conditionalFormatting>
  <conditionalFormatting sqref="B4:B29">
    <cfRule type="expression" priority="39" dxfId="21">
      <formula>=B4&lt;&gt;""</formula>
    </cfRule>
  </conditionalFormatting>
  <conditionalFormatting sqref="C4:C29">
    <cfRule type="expression" priority="40" dxfId="21">
      <formula>=AND(C4&lt;&gt;"",C4&lt;&gt;"DEFAULT")</formula>
    </cfRule>
  </conditionalFormatting>
  <conditionalFormatting sqref="J4:J29">
    <cfRule type="expression" priority="41" dxfId="19">
      <formula>=AND(AB4="MANUAL",J4="")</formula>
    </cfRule>
  </conditionalFormatting>
  <conditionalFormatting sqref="R4:R29">
    <cfRule type="expression" priority="42" dxfId="19">
      <formula>=AND(AO4="MANUAL",R4="")</formula>
    </cfRule>
  </conditionalFormatting>
  <dataValidations count="4">
    <dataValidation sqref="B4:B28" showDropDown="0" showInputMessage="0" showErrorMessage="0" allowBlank="0" type="list">
      <formula1>=ACCOUNTS!$A$2:$A$30</formula1>
    </dataValidation>
    <dataValidation sqref="C4:C28" showDropDown="0" showInputMessage="0" showErrorMessage="0" allowBlank="0" type="list">
      <formula1>=RULES!$A$2:$A$50</formula1>
    </dataValidation>
    <dataValidation sqref="F4:F28" showDropDown="0" showInputMessage="0" showErrorMessage="0" allowBlank="0" type="list">
      <formula1>"NORMAL,MANUAL,DISABLED,FLAT,STEP"</formula1>
    </dataValidation>
    <dataValidation sqref="N4:N28" showDropDown="0" showInputMessage="0" showErrorMessage="0" allowBlank="0" type="list">
      <formula1>"NORMAL,MANUAL,DISABLED,FLAT,STEP"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46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1" customWidth="1" min="12" max="12"/>
    <col width="11" customWidth="1" min="13" max="13"/>
    <col width="10" customWidth="1" min="14" max="14"/>
    <col width="8" customWidth="1" min="15" max="15"/>
    <col width="8" customWidth="1" min="16" max="16"/>
    <col width="8" customWidth="1" min="17" max="17"/>
    <col width="10" customWidth="1" min="18" max="18"/>
    <col width="10" customWidth="1" min="19" max="19"/>
    <col width="11" customWidth="1" min="20" max="20"/>
    <col width="11" customWidth="1" min="21" max="21"/>
    <col width="9" customWidth="1" min="22" max="22"/>
    <col width="9" customWidth="1" min="23" max="23"/>
    <col width="11" customWidth="1" min="24" max="24"/>
    <col width="16" customWidth="1" min="25" max="25"/>
    <col width="22" customWidth="1" min="26" max="26"/>
    <col hidden="1" width="0.5" customWidth="1" min="27" max="27"/>
    <col hidden="1" width="0.5" customWidth="1" min="28" max="28"/>
    <col hidden="1" width="0.5" customWidth="1" min="29" max="29"/>
    <col hidden="1" width="0.5" customWidth="1" min="30" max="30"/>
    <col hidden="1" width="0.5" customWidth="1" min="31" max="31"/>
    <col hidden="1" width="0.5" customWidth="1" min="32" max="32"/>
    <col hidden="1" width="0.5" customWidth="1" min="33" max="33"/>
    <col hidden="1" width="0.5" customWidth="1" min="34" max="34"/>
    <col hidden="1" width="0.5" customWidth="1" min="35" max="35"/>
    <col hidden="1" width="0.5" customWidth="1" min="36" max="36"/>
    <col hidden="1" width="0.5" customWidth="1" min="37" max="37"/>
    <col hidden="1" width="0.5" customWidth="1" min="38" max="38"/>
    <col hidden="1" width="0.5" customWidth="1" min="39" max="39"/>
    <col hidden="1" width="0.5" customWidth="1" min="40" max="40"/>
    <col hidden="1" width="0.5" customWidth="1" min="41" max="41"/>
    <col hidden="1" width="0.5" customWidth="1" min="42" max="42"/>
    <col hidden="1" width="0.5" customWidth="1" min="43" max="43"/>
    <col hidden="1" width="0.5" customWidth="1" min="44" max="44"/>
    <col hidden="1" width="0.5" customWidth="1" min="45" max="45"/>
    <col hidden="1" width="0.5" customWidth="1" min="46" max="46"/>
    <col hidden="1" width="0.5" customWidth="1" min="47" max="47"/>
    <col hidden="1" width="0.5" customWidth="1" min="48" max="48"/>
    <col hidden="1" width="0.5" customWidth="1" min="49" max="49"/>
    <col hidden="1" width="0.5" customWidth="1" min="50" max="50"/>
    <col hidden="1" width="0.5" customWidth="1" min="51" max="51"/>
    <col hidden="1" width="0.5" customWidth="1" min="52" max="52"/>
    <col hidden="1" width="0.5" customWidth="1" min="53" max="53"/>
  </cols>
  <sheetData>
    <row r="1" ht="28" customHeight="1">
      <c r="A1" s="1" t="inlineStr">
        <is>
          <t>ข้อมูลบิล ชั้น 2</t>
        </is>
      </c>
    </row>
    <row r="2" ht="20" customHeight="1">
      <c r="A2" s="9" t="inlineStr">
        <is>
          <t>room</t>
        </is>
      </c>
      <c r="B2" s="9" t="inlineStr">
        <is>
          <t>account_id</t>
        </is>
      </c>
      <c r="C2" s="9" t="inlineStr">
        <is>
          <t>rule_code</t>
        </is>
      </c>
      <c r="D2" s="9" t="inlineStr">
        <is>
          <t>rent_amount</t>
        </is>
      </c>
      <c r="E2" s="9" t="inlineStr">
        <is>
          <t>room_status</t>
        </is>
      </c>
      <c r="F2" s="9" t="inlineStr">
        <is>
          <t>water_mode</t>
        </is>
      </c>
      <c r="G2" s="9" t="inlineStr">
        <is>
          <t>water_prev</t>
        </is>
      </c>
      <c r="H2" s="9" t="inlineStr">
        <is>
          <t>water_curr</t>
        </is>
      </c>
      <c r="I2" s="9" t="inlineStr">
        <is>
          <t>water_units</t>
        </is>
      </c>
      <c r="J2" s="9" t="inlineStr">
        <is>
          <t>water_units_manual</t>
        </is>
      </c>
      <c r="K2" s="9" t="inlineStr">
        <is>
          <t>water_charge</t>
        </is>
      </c>
      <c r="L2" s="9" t="inlineStr">
        <is>
          <t>water_fee</t>
        </is>
      </c>
      <c r="M2" s="9" t="inlineStr">
        <is>
          <t>water_fee_manual</t>
        </is>
      </c>
      <c r="N2" s="9" t="inlineStr">
        <is>
          <t>electric_mode</t>
        </is>
      </c>
      <c r="O2" s="9" t="inlineStr">
        <is>
          <t>electric_prev</t>
        </is>
      </c>
      <c r="P2" s="9" t="inlineStr">
        <is>
          <t>electric_curr</t>
        </is>
      </c>
      <c r="Q2" s="9" t="inlineStr">
        <is>
          <t>electric_units</t>
        </is>
      </c>
      <c r="R2" s="9" t="inlineStr">
        <is>
          <t>electric_units_manual</t>
        </is>
      </c>
      <c r="S2" s="9" t="inlineStr">
        <is>
          <t>electric_charge</t>
        </is>
      </c>
      <c r="T2" s="9" t="inlineStr">
        <is>
          <t>electric_fee</t>
        </is>
      </c>
      <c r="U2" s="9" t="inlineStr">
        <is>
          <t>electric_fee_manual</t>
        </is>
      </c>
      <c r="V2" s="9" t="inlineStr">
        <is>
          <t>furniture_fee</t>
        </is>
      </c>
      <c r="W2" s="9" t="inlineStr">
        <is>
          <t>other_fee</t>
        </is>
      </c>
      <c r="X2" s="9" t="inlineStr">
        <is>
          <t>total_due</t>
        </is>
      </c>
      <c r="Y2" s="9" t="inlineStr">
        <is>
          <t>note</t>
        </is>
      </c>
      <c r="Z2" s="9" t="inlineStr">
        <is>
          <t>check_notes</t>
        </is>
      </c>
      <c r="AA2" s="21" t="inlineStr">
        <is>
          <t>_helpers (hidden)</t>
        </is>
      </c>
    </row>
    <row r="3" ht="22" customHeight="1">
      <c r="A3" s="10" t="inlineStr">
        <is>
          <t>เลขห้อง</t>
        </is>
      </c>
      <c r="B3" s="10" t="inlineStr">
        <is>
          <t>บัญชีรับเงิน</t>
        </is>
      </c>
      <c r="C3" s="10" t="inlineStr">
        <is>
          <t>กฎ billing</t>
        </is>
      </c>
      <c r="D3" s="10" t="inlineStr">
        <is>
          <t>ค่าเช่า (กรอกเอง)</t>
        </is>
      </c>
      <c r="E3" s="10" t="inlineStr">
        <is>
          <t>สถานะ</t>
        </is>
      </c>
      <c r="F3" s="10" t="inlineStr">
        <is>
          <t>โหมดน้ำ</t>
        </is>
      </c>
      <c r="G3" s="10" t="inlineStr">
        <is>
          <t>น้ำก่อน</t>
        </is>
      </c>
      <c r="H3" s="10" t="inlineStr">
        <is>
          <t>น้ำหลัง</t>
        </is>
      </c>
      <c r="I3" s="10" t="inlineStr">
        <is>
          <t>ใช้น้ำ</t>
        </is>
      </c>
      <c r="J3" s="10" t="inlineStr">
        <is>
          <t>units น้ำ(manual)</t>
        </is>
      </c>
      <c r="K3" s="10" t="inlineStr">
        <is>
          <t>ค่าน้ำ</t>
        </is>
      </c>
      <c r="L3" s="10" t="inlineStr">
        <is>
          <t>ค่าบริการน้ำ</t>
        </is>
      </c>
      <c r="M3" s="10" t="inlineStr">
        <is>
          <t>ค่าบริการน้ำ(M)</t>
        </is>
      </c>
      <c r="N3" s="10" t="inlineStr">
        <is>
          <t>โหมดไฟ</t>
        </is>
      </c>
      <c r="O3" s="10" t="inlineStr">
        <is>
          <t>ไฟก่อน</t>
        </is>
      </c>
      <c r="P3" s="10" t="inlineStr">
        <is>
          <t>ไฟหลัง</t>
        </is>
      </c>
      <c r="Q3" s="10" t="inlineStr">
        <is>
          <t>ใช้ไฟ</t>
        </is>
      </c>
      <c r="R3" s="10" t="inlineStr">
        <is>
          <t>units ไฟ(manual)</t>
        </is>
      </c>
      <c r="S3" s="10" t="inlineStr">
        <is>
          <t>ค่าไฟ</t>
        </is>
      </c>
      <c r="T3" s="10" t="inlineStr">
        <is>
          <t>ค่าบริการไฟ</t>
        </is>
      </c>
      <c r="U3" s="10" t="inlineStr">
        <is>
          <t>ค่าบริการไฟ(M)</t>
        </is>
      </c>
      <c r="V3" s="10" t="inlineStr">
        <is>
          <t>ค่าเฟอร์</t>
        </is>
      </c>
      <c r="W3" s="10" t="inlineStr">
        <is>
          <t>อื่นๆ</t>
        </is>
      </c>
      <c r="X3" s="10" t="inlineStr">
        <is>
          <t>รวมเงิน</t>
        </is>
      </c>
      <c r="Y3" s="10" t="inlineStr">
        <is>
          <t>หมายเหตุ</t>
        </is>
      </c>
      <c r="Z3" s="10" t="inlineStr">
        <is>
          <t>ตรวจสอบ</t>
        </is>
      </c>
    </row>
    <row r="4" ht="17" customHeight="1">
      <c r="A4" s="22" t="inlineStr">
        <is>
          <t>3201</t>
        </is>
      </c>
      <c r="B4" s="48" t="inlineStr">
        <is>
          <t>ACC002</t>
        </is>
      </c>
      <c r="C4" s="48" t="inlineStr">
        <is>
          <t>DEFAULT</t>
        </is>
      </c>
      <c r="D4" s="47" t="n"/>
      <c r="E4" s="22">
        <f>IF(OR(D4="",D4=0),"INACTIVE","ACTIVE")</f>
        <v/>
      </c>
      <c r="F4" s="48" t="inlineStr">
        <is>
          <t>NORMAL</t>
        </is>
      </c>
      <c r="G4" s="25" t="n"/>
      <c r="H4" s="25" t="n"/>
      <c r="I4" s="26">
        <f>IF(OR(E4="INACTIVE",H4=""),0,MAX(0,H4-G4))</f>
        <v/>
      </c>
      <c r="J4" s="23" t="n"/>
      <c r="K4" s="26">
        <f>IF(OR(E4="INACTIVE",H4=""),0,IF(AB4="DISABLED",0,IF(AB4="FLAT",AE4,IF(AB4="MANUAL",IF(J4="",0,J4*AC4),IF(AB4="STEP",IF(I4&lt;=AF4,I4*AG4,IF(I4&lt;=AH4,AF4*AG4+(I4-AF4)*AI4,AF4*AG4+(AH4-AF4)*AI4+(I4-AH4)*AK4)),MAX(I4*AC4,AD4))))))</f>
        <v/>
      </c>
      <c r="L4" s="26">
        <f>IF(OR(E4="INACTIVE",H4=""),0,IF(AL4="NONE",0,IF(AL4="FLAT",AM4,IF(AL4="PER_UNIT",I4*AN4,IF(AL4="MANUAL",IF(M4="",0,M4),0)))))</f>
        <v/>
      </c>
      <c r="M4" s="23" t="n"/>
      <c r="N4" s="48" t="inlineStr">
        <is>
          <t>NORMAL</t>
        </is>
      </c>
      <c r="O4" s="25" t="n"/>
      <c r="P4" s="25" t="n"/>
      <c r="Q4" s="26">
        <f>IF(OR(E4="INACTIVE",P4=""),0,MAX(0,P4-O4))</f>
        <v/>
      </c>
      <c r="R4" s="23" t="n"/>
      <c r="S4" s="26">
        <f>IF(OR(E4="INACTIVE",P4=""),0,IF(AO4="DISABLED",0,IF(AO4="FLAT",AR4,IF(AO4="MANUAL",IF(R4="",0,R4*AP4),IF(AO4="STEP",IF(Q4&lt;=AS4,Q4*AT4,IF(Q4&lt;=AU4,AS4*AT4+(Q4-AS4)*AV4,AS4*AT4+(AU4-AS4)*AV4+(Q4-AU4)*AX4)),MAX(Q4*AP4,AQ4))))))</f>
        <v/>
      </c>
      <c r="T4" s="26">
        <f>IF(OR(E4="INACTIVE",P4=""),0,IF(AY4="NONE",0,IF(AY4="FLAT",AZ4,IF(AY4="PER_UNIT",Q4*BA4,IF(AY4="MANUAL",IF(U4="",0,U4),0)))))</f>
        <v/>
      </c>
      <c r="U4" s="23" t="n"/>
      <c r="V4" s="25" t="n"/>
      <c r="W4" s="25" t="n"/>
      <c r="X4" s="26">
        <f>IF(E4="INACTIVE",0,D4+K4+L4+S4+T4+IF(V4="",0,V4)+IF(W4="",0,W4))</f>
        <v/>
      </c>
      <c r="Y4" s="27" t="n"/>
      <c r="Z4" s="28">
        <f>IF(E4="INACTIVE","_",IF(AND(G4&gt;0,H4&gt;0,H4&lt;G4),"[!]น้ำ reset ","")&amp;IF(AND(O4&gt;0,P4&gt;0,P4&lt;O4),"[!]ไฟ reset ","")&amp;IF(AND(F4="MANUAL",J4=""),"[X]units น้ำ ","")&amp;IF(AND(N4="MANUAL",R4=""),"[X]units ไฟ ","")&amp;IF(D4=0,"[!]ค่าเช่า=0",""))</f>
        <v/>
      </c>
      <c r="AA4" s="29">
        <f>IF(C4&lt;&gt;"",C4,CONFIG!$B$6)</f>
        <v/>
      </c>
      <c r="AB4" s="29">
        <f>IF(F4&lt;&gt;"",F4,IFERROR(VLOOKUP(AA4,RULES!$A:$C,3,0),CONFIG!$B$7))</f>
        <v/>
      </c>
      <c r="AC4" s="29">
        <f>IF(IFERROR(VLOOKUP(AA4,RULES!$A:$D,4,0),"")="",CONFIG!$B$10,VLOOKUP(AA4,RULES!$A:$D,4,0))</f>
        <v/>
      </c>
      <c r="AD4" s="29">
        <f>IF(IFERROR(VLOOKUP(AA4,RULES!$A:$E,5,0),"")="",CONFIG!$B$11,VLOOKUP(AA4,RULES!$A:$E,5,0))</f>
        <v/>
      </c>
      <c r="AE4" s="29">
        <f>IFERROR(VLOOKUP(AA4,RULES!$A:$F,6,0)*1,0)</f>
        <v/>
      </c>
      <c r="AF4" s="29">
        <f>IFERROR(VLOOKUP(AA4,RULES!$A:$G,7,0)*1,0)</f>
        <v/>
      </c>
      <c r="AG4" s="29">
        <f>IFERROR(VLOOKUP(AA4,RULES!$A:$H,8,0)*1,0)</f>
        <v/>
      </c>
      <c r="AH4" s="29">
        <f>IFERROR(VLOOKUP(AA4,RULES!$A:$I,9,0)*1,0)</f>
        <v/>
      </c>
      <c r="AI4" s="29">
        <f>IFERROR(VLOOKUP(AA4,RULES!$A:$J,10,0)*1,0)</f>
        <v/>
      </c>
      <c r="AJ4" s="29">
        <f>IFERROR(IF(VLOOKUP(AA4,RULES!$A:$K,11,0)="",999999,VLOOKUP(AA4,RULES!$A:$K,11,0)*1),999999)</f>
        <v/>
      </c>
      <c r="AK4" s="29">
        <f>IFERROR(VLOOKUP(AA4,RULES!$A:$L,12,0)*1,0)</f>
        <v/>
      </c>
      <c r="AL4" s="29">
        <f>IFERROR(VLOOKUP(AA4,RULES!$A:$M,13,0),"NONE")</f>
        <v/>
      </c>
      <c r="AM4" s="29">
        <f>IFERROR(VLOOKUP(AA4,RULES!$A:$N,14,0)*1,0)</f>
        <v/>
      </c>
      <c r="AN4" s="29">
        <f>IFERROR(VLOOKUP(AA4,RULES!$A:$O,15,0)*1,0)</f>
        <v/>
      </c>
      <c r="AO4" s="29">
        <f>IF(N4&lt;&gt;"",N4,IFERROR(VLOOKUP(AA4,RULES!$A:$P,16,0),CONFIG!$B$8))</f>
        <v/>
      </c>
      <c r="AP4" s="29">
        <f>IF(IFERROR(VLOOKUP(AA4,RULES!$A:$Q,17,0),"")="",CONFIG!$B$13,VLOOKUP(AA4,RULES!$A:$Q,17,0))</f>
        <v/>
      </c>
      <c r="AQ4" s="29">
        <f>IF(IFERROR(VLOOKUP(AA4,RULES!$A:$R,18,0),"")="",CONFIG!$B$14,VLOOKUP(AA4,RULES!$A:$R,18,0))</f>
        <v/>
      </c>
      <c r="AR4" s="29">
        <f>IFERROR(VLOOKUP(AA4,RULES!$A:$S,19,0)*1,0)</f>
        <v/>
      </c>
      <c r="AS4" s="29">
        <f>IFERROR(VLOOKUP(AA4,RULES!$A:$T,20,0)*1,0)</f>
        <v/>
      </c>
      <c r="AT4" s="29">
        <f>IFERROR(VLOOKUP(AA4,RULES!$A:$U,21,0)*1,0)</f>
        <v/>
      </c>
      <c r="AU4" s="29">
        <f>IFERROR(VLOOKUP(AA4,RULES!$A:$V,22,0)*1,0)</f>
        <v/>
      </c>
      <c r="AV4" s="29">
        <f>IFERROR(VLOOKUP(AA4,RULES!$A:$W,23,0)*1,0)</f>
        <v/>
      </c>
      <c r="AW4" s="29">
        <f>IFERROR(IF(VLOOKUP(AA4,RULES!$A:$X,24,0)="",999999,VLOOKUP(AA4,RULES!$A:$X,24,0)*1),999999)</f>
        <v/>
      </c>
      <c r="AX4" s="29">
        <f>IFERROR(VLOOKUP(AA4,RULES!$A:$Y,25,0)*1,0)</f>
        <v/>
      </c>
      <c r="AY4" s="29">
        <f>IFERROR(VLOOKUP(AA4,RULES!$A:$Z,26,0),"NONE")</f>
        <v/>
      </c>
      <c r="AZ4" s="29">
        <f>IFERROR(VLOOKUP(AA4,RULES!$A:$AA,27,0)*1,0)</f>
        <v/>
      </c>
      <c r="BA4" s="29">
        <f>IFERROR(VLOOKUP(AA4,RULES!$A:$AB,28,0)*1,0)</f>
        <v/>
      </c>
    </row>
    <row r="5" ht="17" customHeight="1">
      <c r="A5" s="22" t="inlineStr">
        <is>
          <t>3202</t>
        </is>
      </c>
      <c r="B5" s="48" t="inlineStr">
        <is>
          <t>ACC002</t>
        </is>
      </c>
      <c r="C5" s="48" t="inlineStr">
        <is>
          <t>DEFAULT</t>
        </is>
      </c>
      <c r="D5" s="47" t="n"/>
      <c r="E5" s="22">
        <f>IF(OR(D5="",D5=0),"INACTIVE","ACTIVE")</f>
        <v/>
      </c>
      <c r="F5" s="48" t="inlineStr">
        <is>
          <t>NORMAL</t>
        </is>
      </c>
      <c r="G5" s="25" t="n"/>
      <c r="H5" s="25" t="n"/>
      <c r="I5" s="26">
        <f>IF(OR(E5="INACTIVE",H5=""),0,MAX(0,H5-G5))</f>
        <v/>
      </c>
      <c r="J5" s="23" t="n"/>
      <c r="K5" s="26">
        <f>IF(OR(E5="INACTIVE",H5=""),0,IF(AB5="DISABLED",0,IF(AB5="FLAT",AE5,IF(AB5="MANUAL",IF(J5="",0,J5*AC5),IF(AB5="STEP",IF(I5&lt;=AF5,I5*AG5,IF(I5&lt;=AH5,AF5*AG5+(I5-AF5)*AI5,AF5*AG5+(AH5-AF5)*AI5+(I5-AH5)*AK5)),MAX(I5*AC5,AD5))))))</f>
        <v/>
      </c>
      <c r="L5" s="26">
        <f>IF(OR(E5="INACTIVE",H5=""),0,IF(AL5="NONE",0,IF(AL5="FLAT",AM5,IF(AL5="PER_UNIT",I5*AN5,IF(AL5="MANUAL",IF(M5="",0,M5),0)))))</f>
        <v/>
      </c>
      <c r="M5" s="23" t="n"/>
      <c r="N5" s="48" t="inlineStr">
        <is>
          <t>NORMAL</t>
        </is>
      </c>
      <c r="O5" s="25" t="n"/>
      <c r="P5" s="25" t="n"/>
      <c r="Q5" s="26">
        <f>IF(OR(E5="INACTIVE",P5=""),0,MAX(0,P5-O5))</f>
        <v/>
      </c>
      <c r="R5" s="23" t="n"/>
      <c r="S5" s="26">
        <f>IF(OR(E5="INACTIVE",P5=""),0,IF(AO5="DISABLED",0,IF(AO5="FLAT",AR5,IF(AO5="MANUAL",IF(R5="",0,R5*AP5),IF(AO5="STEP",IF(Q5&lt;=AS5,Q5*AT5,IF(Q5&lt;=AU5,AS5*AT5+(Q5-AS5)*AV5,AS5*AT5+(AU5-AS5)*AV5+(Q5-AU5)*AX5)),MAX(Q5*AP5,AQ5))))))</f>
        <v/>
      </c>
      <c r="T5" s="26">
        <f>IF(OR(E5="INACTIVE",P5=""),0,IF(AY5="NONE",0,IF(AY5="FLAT",AZ5,IF(AY5="PER_UNIT",Q5*BA5,IF(AY5="MANUAL",IF(U5="",0,U5),0)))))</f>
        <v/>
      </c>
      <c r="U5" s="23" t="n"/>
      <c r="V5" s="25" t="n"/>
      <c r="W5" s="25" t="n"/>
      <c r="X5" s="26">
        <f>IF(E5="INACTIVE",0,D5+K5+L5+S5+T5+IF(V5="",0,V5)+IF(W5="",0,W5))</f>
        <v/>
      </c>
      <c r="Y5" s="27" t="n"/>
      <c r="Z5" s="28">
        <f>IF(E5="INACTIVE","_",IF(AND(G5&gt;0,H5&gt;0,H5&lt;G5),"[!]น้ำ reset ","")&amp;IF(AND(O5&gt;0,P5&gt;0,P5&lt;O5),"[!]ไฟ reset ","")&amp;IF(AND(F5="MANUAL",J5=""),"[X]units น้ำ ","")&amp;IF(AND(N5="MANUAL",R5=""),"[X]units ไฟ ","")&amp;IF(D5=0,"[!]ค่าเช่า=0",""))</f>
        <v/>
      </c>
      <c r="AA5" s="29">
        <f>IF(C5&lt;&gt;"",C5,CONFIG!$B$6)</f>
        <v/>
      </c>
      <c r="AB5" s="29">
        <f>IF(F5&lt;&gt;"",F5,IFERROR(VLOOKUP(AA5,RULES!$A:$C,3,0),CONFIG!$B$7))</f>
        <v/>
      </c>
      <c r="AC5" s="29">
        <f>IF(IFERROR(VLOOKUP(AA5,RULES!$A:$D,4,0),"")="",CONFIG!$B$10,VLOOKUP(AA5,RULES!$A:$D,4,0))</f>
        <v/>
      </c>
      <c r="AD5" s="29">
        <f>IF(IFERROR(VLOOKUP(AA5,RULES!$A:$E,5,0),"")="",CONFIG!$B$11,VLOOKUP(AA5,RULES!$A:$E,5,0))</f>
        <v/>
      </c>
      <c r="AE5" s="29">
        <f>IFERROR(VLOOKUP(AA5,RULES!$A:$F,6,0)*1,0)</f>
        <v/>
      </c>
      <c r="AF5" s="29">
        <f>IFERROR(VLOOKUP(AA5,RULES!$A:$G,7,0)*1,0)</f>
        <v/>
      </c>
      <c r="AG5" s="29">
        <f>IFERROR(VLOOKUP(AA5,RULES!$A:$H,8,0)*1,0)</f>
        <v/>
      </c>
      <c r="AH5" s="29">
        <f>IFERROR(VLOOKUP(AA5,RULES!$A:$I,9,0)*1,0)</f>
        <v/>
      </c>
      <c r="AI5" s="29">
        <f>IFERROR(VLOOKUP(AA5,RULES!$A:$J,10,0)*1,0)</f>
        <v/>
      </c>
      <c r="AJ5" s="29">
        <f>IFERROR(IF(VLOOKUP(AA5,RULES!$A:$K,11,0)="",999999,VLOOKUP(AA5,RULES!$A:$K,11,0)*1),999999)</f>
        <v/>
      </c>
      <c r="AK5" s="29">
        <f>IFERROR(VLOOKUP(AA5,RULES!$A:$L,12,0)*1,0)</f>
        <v/>
      </c>
      <c r="AL5" s="29">
        <f>IFERROR(VLOOKUP(AA5,RULES!$A:$M,13,0),"NONE")</f>
        <v/>
      </c>
      <c r="AM5" s="29">
        <f>IFERROR(VLOOKUP(AA5,RULES!$A:$N,14,0)*1,0)</f>
        <v/>
      </c>
      <c r="AN5" s="29">
        <f>IFERROR(VLOOKUP(AA5,RULES!$A:$O,15,0)*1,0)</f>
        <v/>
      </c>
      <c r="AO5" s="29">
        <f>IF(N5&lt;&gt;"",N5,IFERROR(VLOOKUP(AA5,RULES!$A:$P,16,0),CONFIG!$B$8))</f>
        <v/>
      </c>
      <c r="AP5" s="29">
        <f>IF(IFERROR(VLOOKUP(AA5,RULES!$A:$Q,17,0),"")="",CONFIG!$B$13,VLOOKUP(AA5,RULES!$A:$Q,17,0))</f>
        <v/>
      </c>
      <c r="AQ5" s="29">
        <f>IF(IFERROR(VLOOKUP(AA5,RULES!$A:$R,18,0),"")="",CONFIG!$B$14,VLOOKUP(AA5,RULES!$A:$R,18,0))</f>
        <v/>
      </c>
      <c r="AR5" s="29">
        <f>IFERROR(VLOOKUP(AA5,RULES!$A:$S,19,0)*1,0)</f>
        <v/>
      </c>
      <c r="AS5" s="29">
        <f>IFERROR(VLOOKUP(AA5,RULES!$A:$T,20,0)*1,0)</f>
        <v/>
      </c>
      <c r="AT5" s="29">
        <f>IFERROR(VLOOKUP(AA5,RULES!$A:$U,21,0)*1,0)</f>
        <v/>
      </c>
      <c r="AU5" s="29">
        <f>IFERROR(VLOOKUP(AA5,RULES!$A:$V,22,0)*1,0)</f>
        <v/>
      </c>
      <c r="AV5" s="29">
        <f>IFERROR(VLOOKUP(AA5,RULES!$A:$W,23,0)*1,0)</f>
        <v/>
      </c>
      <c r="AW5" s="29">
        <f>IFERROR(IF(VLOOKUP(AA5,RULES!$A:$X,24,0)="",999999,VLOOKUP(AA5,RULES!$A:$X,24,0)*1),999999)</f>
        <v/>
      </c>
      <c r="AX5" s="29">
        <f>IFERROR(VLOOKUP(AA5,RULES!$A:$Y,25,0)*1,0)</f>
        <v/>
      </c>
      <c r="AY5" s="29">
        <f>IFERROR(VLOOKUP(AA5,RULES!$A:$Z,26,0),"NONE")</f>
        <v/>
      </c>
      <c r="AZ5" s="29">
        <f>IFERROR(VLOOKUP(AA5,RULES!$A:$AA,27,0)*1,0)</f>
        <v/>
      </c>
      <c r="BA5" s="29">
        <f>IFERROR(VLOOKUP(AA5,RULES!$A:$AB,28,0)*1,0)</f>
        <v/>
      </c>
    </row>
    <row r="6" ht="17" customHeight="1">
      <c r="A6" s="22" t="inlineStr">
        <is>
          <t>3203</t>
        </is>
      </c>
      <c r="B6" s="48" t="inlineStr">
        <is>
          <t>ACC002</t>
        </is>
      </c>
      <c r="C6" s="48" t="inlineStr">
        <is>
          <t>DEFAULT</t>
        </is>
      </c>
      <c r="D6" s="47" t="n"/>
      <c r="E6" s="22">
        <f>IF(OR(D6="",D6=0),"INACTIVE","ACTIVE")</f>
        <v/>
      </c>
      <c r="F6" s="48" t="inlineStr">
        <is>
          <t>NORMAL</t>
        </is>
      </c>
      <c r="G6" s="25" t="n"/>
      <c r="H6" s="25" t="n"/>
      <c r="I6" s="26">
        <f>IF(OR(E6="INACTIVE",H6=""),0,MAX(0,H6-G6))</f>
        <v/>
      </c>
      <c r="J6" s="23" t="n"/>
      <c r="K6" s="26">
        <f>IF(OR(E6="INACTIVE",H6=""),0,IF(AB6="DISABLED",0,IF(AB6="FLAT",AE6,IF(AB6="MANUAL",IF(J6="",0,J6*AC6),IF(AB6="STEP",IF(I6&lt;=AF6,I6*AG6,IF(I6&lt;=AH6,AF6*AG6+(I6-AF6)*AI6,AF6*AG6+(AH6-AF6)*AI6+(I6-AH6)*AK6)),MAX(I6*AC6,AD6))))))</f>
        <v/>
      </c>
      <c r="L6" s="26">
        <f>IF(OR(E6="INACTIVE",H6=""),0,IF(AL6="NONE",0,IF(AL6="FLAT",AM6,IF(AL6="PER_UNIT",I6*AN6,IF(AL6="MANUAL",IF(M6="",0,M6),0)))))</f>
        <v/>
      </c>
      <c r="M6" s="23" t="n"/>
      <c r="N6" s="48" t="inlineStr">
        <is>
          <t>NORMAL</t>
        </is>
      </c>
      <c r="O6" s="25" t="n"/>
      <c r="P6" s="25" t="n"/>
      <c r="Q6" s="26">
        <f>IF(OR(E6="INACTIVE",P6=""),0,MAX(0,P6-O6))</f>
        <v/>
      </c>
      <c r="R6" s="23" t="n"/>
      <c r="S6" s="26">
        <f>IF(OR(E6="INACTIVE",P6=""),0,IF(AO6="DISABLED",0,IF(AO6="FLAT",AR6,IF(AO6="MANUAL",IF(R6="",0,R6*AP6),IF(AO6="STEP",IF(Q6&lt;=AS6,Q6*AT6,IF(Q6&lt;=AU6,AS6*AT6+(Q6-AS6)*AV6,AS6*AT6+(AU6-AS6)*AV6+(Q6-AU6)*AX6)),MAX(Q6*AP6,AQ6))))))</f>
        <v/>
      </c>
      <c r="T6" s="26">
        <f>IF(OR(E6="INACTIVE",P6=""),0,IF(AY6="NONE",0,IF(AY6="FLAT",AZ6,IF(AY6="PER_UNIT",Q6*BA6,IF(AY6="MANUAL",IF(U6="",0,U6),0)))))</f>
        <v/>
      </c>
      <c r="U6" s="23" t="n"/>
      <c r="V6" s="25" t="n"/>
      <c r="W6" s="25" t="n"/>
      <c r="X6" s="26">
        <f>IF(E6="INACTIVE",0,D6+K6+L6+S6+T6+IF(V6="",0,V6)+IF(W6="",0,W6))</f>
        <v/>
      </c>
      <c r="Y6" s="27" t="n"/>
      <c r="Z6" s="28">
        <f>IF(E6="INACTIVE","_",IF(AND(G6&gt;0,H6&gt;0,H6&lt;G6),"[!]น้ำ reset ","")&amp;IF(AND(O6&gt;0,P6&gt;0,P6&lt;O6),"[!]ไฟ reset ","")&amp;IF(AND(F6="MANUAL",J6=""),"[X]units น้ำ ","")&amp;IF(AND(N6="MANUAL",R6=""),"[X]units ไฟ ","")&amp;IF(D6=0,"[!]ค่าเช่า=0",""))</f>
        <v/>
      </c>
      <c r="AA6" s="29">
        <f>IF(C6&lt;&gt;"",C6,CONFIG!$B$6)</f>
        <v/>
      </c>
      <c r="AB6" s="29">
        <f>IF(F6&lt;&gt;"",F6,IFERROR(VLOOKUP(AA6,RULES!$A:$C,3,0),CONFIG!$B$7))</f>
        <v/>
      </c>
      <c r="AC6" s="29">
        <f>IF(IFERROR(VLOOKUP(AA6,RULES!$A:$D,4,0),"")="",CONFIG!$B$10,VLOOKUP(AA6,RULES!$A:$D,4,0))</f>
        <v/>
      </c>
      <c r="AD6" s="29">
        <f>IF(IFERROR(VLOOKUP(AA6,RULES!$A:$E,5,0),"")="",CONFIG!$B$11,VLOOKUP(AA6,RULES!$A:$E,5,0))</f>
        <v/>
      </c>
      <c r="AE6" s="29">
        <f>IFERROR(VLOOKUP(AA6,RULES!$A:$F,6,0)*1,0)</f>
        <v/>
      </c>
      <c r="AF6" s="29">
        <f>IFERROR(VLOOKUP(AA6,RULES!$A:$G,7,0)*1,0)</f>
        <v/>
      </c>
      <c r="AG6" s="29">
        <f>IFERROR(VLOOKUP(AA6,RULES!$A:$H,8,0)*1,0)</f>
        <v/>
      </c>
      <c r="AH6" s="29">
        <f>IFERROR(VLOOKUP(AA6,RULES!$A:$I,9,0)*1,0)</f>
        <v/>
      </c>
      <c r="AI6" s="29">
        <f>IFERROR(VLOOKUP(AA6,RULES!$A:$J,10,0)*1,0)</f>
        <v/>
      </c>
      <c r="AJ6" s="29">
        <f>IFERROR(IF(VLOOKUP(AA6,RULES!$A:$K,11,0)="",999999,VLOOKUP(AA6,RULES!$A:$K,11,0)*1),999999)</f>
        <v/>
      </c>
      <c r="AK6" s="29">
        <f>IFERROR(VLOOKUP(AA6,RULES!$A:$L,12,0)*1,0)</f>
        <v/>
      </c>
      <c r="AL6" s="29">
        <f>IFERROR(VLOOKUP(AA6,RULES!$A:$M,13,0),"NONE")</f>
        <v/>
      </c>
      <c r="AM6" s="29">
        <f>IFERROR(VLOOKUP(AA6,RULES!$A:$N,14,0)*1,0)</f>
        <v/>
      </c>
      <c r="AN6" s="29">
        <f>IFERROR(VLOOKUP(AA6,RULES!$A:$O,15,0)*1,0)</f>
        <v/>
      </c>
      <c r="AO6" s="29">
        <f>IF(N6&lt;&gt;"",N6,IFERROR(VLOOKUP(AA6,RULES!$A:$P,16,0),CONFIG!$B$8))</f>
        <v/>
      </c>
      <c r="AP6" s="29">
        <f>IF(IFERROR(VLOOKUP(AA6,RULES!$A:$Q,17,0),"")="",CONFIG!$B$13,VLOOKUP(AA6,RULES!$A:$Q,17,0))</f>
        <v/>
      </c>
      <c r="AQ6" s="29">
        <f>IF(IFERROR(VLOOKUP(AA6,RULES!$A:$R,18,0),"")="",CONFIG!$B$14,VLOOKUP(AA6,RULES!$A:$R,18,0))</f>
        <v/>
      </c>
      <c r="AR6" s="29">
        <f>IFERROR(VLOOKUP(AA6,RULES!$A:$S,19,0)*1,0)</f>
        <v/>
      </c>
      <c r="AS6" s="29">
        <f>IFERROR(VLOOKUP(AA6,RULES!$A:$T,20,0)*1,0)</f>
        <v/>
      </c>
      <c r="AT6" s="29">
        <f>IFERROR(VLOOKUP(AA6,RULES!$A:$U,21,0)*1,0)</f>
        <v/>
      </c>
      <c r="AU6" s="29">
        <f>IFERROR(VLOOKUP(AA6,RULES!$A:$V,22,0)*1,0)</f>
        <v/>
      </c>
      <c r="AV6" s="29">
        <f>IFERROR(VLOOKUP(AA6,RULES!$A:$W,23,0)*1,0)</f>
        <v/>
      </c>
      <c r="AW6" s="29">
        <f>IFERROR(IF(VLOOKUP(AA6,RULES!$A:$X,24,0)="",999999,VLOOKUP(AA6,RULES!$A:$X,24,0)*1),999999)</f>
        <v/>
      </c>
      <c r="AX6" s="29">
        <f>IFERROR(VLOOKUP(AA6,RULES!$A:$Y,25,0)*1,0)</f>
        <v/>
      </c>
      <c r="AY6" s="29">
        <f>IFERROR(VLOOKUP(AA6,RULES!$A:$Z,26,0),"NONE")</f>
        <v/>
      </c>
      <c r="AZ6" s="29">
        <f>IFERROR(VLOOKUP(AA6,RULES!$A:$AA,27,0)*1,0)</f>
        <v/>
      </c>
      <c r="BA6" s="29">
        <f>IFERROR(VLOOKUP(AA6,RULES!$A:$AB,28,0)*1,0)</f>
        <v/>
      </c>
    </row>
    <row r="7" ht="17" customHeight="1">
      <c r="A7" s="22" t="inlineStr">
        <is>
          <t>3204</t>
        </is>
      </c>
      <c r="B7" s="48" t="inlineStr">
        <is>
          <t>ACC002</t>
        </is>
      </c>
      <c r="C7" s="48" t="inlineStr">
        <is>
          <t>DEFAULT</t>
        </is>
      </c>
      <c r="D7" s="47" t="n"/>
      <c r="E7" s="22">
        <f>IF(OR(D7="",D7=0),"INACTIVE","ACTIVE")</f>
        <v/>
      </c>
      <c r="F7" s="48" t="inlineStr">
        <is>
          <t>NORMAL</t>
        </is>
      </c>
      <c r="G7" s="25" t="n"/>
      <c r="H7" s="25" t="n"/>
      <c r="I7" s="26">
        <f>IF(OR(E7="INACTIVE",H7=""),0,MAX(0,H7-G7))</f>
        <v/>
      </c>
      <c r="J7" s="23" t="n"/>
      <c r="K7" s="26">
        <f>IF(OR(E7="INACTIVE",H7=""),0,IF(AB7="DISABLED",0,IF(AB7="FLAT",AE7,IF(AB7="MANUAL",IF(J7="",0,J7*AC7),IF(AB7="STEP",IF(I7&lt;=AF7,I7*AG7,IF(I7&lt;=AH7,AF7*AG7+(I7-AF7)*AI7,AF7*AG7+(AH7-AF7)*AI7+(I7-AH7)*AK7)),MAX(I7*AC7,AD7))))))</f>
        <v/>
      </c>
      <c r="L7" s="26">
        <f>IF(OR(E7="INACTIVE",H7=""),0,IF(AL7="NONE",0,IF(AL7="FLAT",AM7,IF(AL7="PER_UNIT",I7*AN7,IF(AL7="MANUAL",IF(M7="",0,M7),0)))))</f>
        <v/>
      </c>
      <c r="M7" s="23" t="n"/>
      <c r="N7" s="48" t="inlineStr">
        <is>
          <t>NORMAL</t>
        </is>
      </c>
      <c r="O7" s="25" t="n"/>
      <c r="P7" s="25" t="n"/>
      <c r="Q7" s="26">
        <f>IF(OR(E7="INACTIVE",P7=""),0,MAX(0,P7-O7))</f>
        <v/>
      </c>
      <c r="R7" s="23" t="n"/>
      <c r="S7" s="26">
        <f>IF(OR(E7="INACTIVE",P7=""),0,IF(AO7="DISABLED",0,IF(AO7="FLAT",AR7,IF(AO7="MANUAL",IF(R7="",0,R7*AP7),IF(AO7="STEP",IF(Q7&lt;=AS7,Q7*AT7,IF(Q7&lt;=AU7,AS7*AT7+(Q7-AS7)*AV7,AS7*AT7+(AU7-AS7)*AV7+(Q7-AU7)*AX7)),MAX(Q7*AP7,AQ7))))))</f>
        <v/>
      </c>
      <c r="T7" s="26">
        <f>IF(OR(E7="INACTIVE",P7=""),0,IF(AY7="NONE",0,IF(AY7="FLAT",AZ7,IF(AY7="PER_UNIT",Q7*BA7,IF(AY7="MANUAL",IF(U7="",0,U7),0)))))</f>
        <v/>
      </c>
      <c r="U7" s="23" t="n"/>
      <c r="V7" s="25" t="n"/>
      <c r="W7" s="25" t="n"/>
      <c r="X7" s="26">
        <f>IF(E7="INACTIVE",0,D7+K7+L7+S7+T7+IF(V7="",0,V7)+IF(W7="",0,W7))</f>
        <v/>
      </c>
      <c r="Y7" s="27" t="n"/>
      <c r="Z7" s="28">
        <f>IF(E7="INACTIVE","_",IF(AND(G7&gt;0,H7&gt;0,H7&lt;G7),"[!]น้ำ reset ","")&amp;IF(AND(O7&gt;0,P7&gt;0,P7&lt;O7),"[!]ไฟ reset ","")&amp;IF(AND(F7="MANUAL",J7=""),"[X]units น้ำ ","")&amp;IF(AND(N7="MANUAL",R7=""),"[X]units ไฟ ","")&amp;IF(D7=0,"[!]ค่าเช่า=0",""))</f>
        <v/>
      </c>
      <c r="AA7" s="29">
        <f>IF(C7&lt;&gt;"",C7,CONFIG!$B$6)</f>
        <v/>
      </c>
      <c r="AB7" s="29">
        <f>IF(F7&lt;&gt;"",F7,IFERROR(VLOOKUP(AA7,RULES!$A:$C,3,0),CONFIG!$B$7))</f>
        <v/>
      </c>
      <c r="AC7" s="29">
        <f>IF(IFERROR(VLOOKUP(AA7,RULES!$A:$D,4,0),"")="",CONFIG!$B$10,VLOOKUP(AA7,RULES!$A:$D,4,0))</f>
        <v/>
      </c>
      <c r="AD7" s="29">
        <f>IF(IFERROR(VLOOKUP(AA7,RULES!$A:$E,5,0),"")="",CONFIG!$B$11,VLOOKUP(AA7,RULES!$A:$E,5,0))</f>
        <v/>
      </c>
      <c r="AE7" s="29">
        <f>IFERROR(VLOOKUP(AA7,RULES!$A:$F,6,0)*1,0)</f>
        <v/>
      </c>
      <c r="AF7" s="29">
        <f>IFERROR(VLOOKUP(AA7,RULES!$A:$G,7,0)*1,0)</f>
        <v/>
      </c>
      <c r="AG7" s="29">
        <f>IFERROR(VLOOKUP(AA7,RULES!$A:$H,8,0)*1,0)</f>
        <v/>
      </c>
      <c r="AH7" s="29">
        <f>IFERROR(VLOOKUP(AA7,RULES!$A:$I,9,0)*1,0)</f>
        <v/>
      </c>
      <c r="AI7" s="29">
        <f>IFERROR(VLOOKUP(AA7,RULES!$A:$J,10,0)*1,0)</f>
        <v/>
      </c>
      <c r="AJ7" s="29">
        <f>IFERROR(IF(VLOOKUP(AA7,RULES!$A:$K,11,0)="",999999,VLOOKUP(AA7,RULES!$A:$K,11,0)*1),999999)</f>
        <v/>
      </c>
      <c r="AK7" s="29">
        <f>IFERROR(VLOOKUP(AA7,RULES!$A:$L,12,0)*1,0)</f>
        <v/>
      </c>
      <c r="AL7" s="29">
        <f>IFERROR(VLOOKUP(AA7,RULES!$A:$M,13,0),"NONE")</f>
        <v/>
      </c>
      <c r="AM7" s="29">
        <f>IFERROR(VLOOKUP(AA7,RULES!$A:$N,14,0)*1,0)</f>
        <v/>
      </c>
      <c r="AN7" s="29">
        <f>IFERROR(VLOOKUP(AA7,RULES!$A:$O,15,0)*1,0)</f>
        <v/>
      </c>
      <c r="AO7" s="29">
        <f>IF(N7&lt;&gt;"",N7,IFERROR(VLOOKUP(AA7,RULES!$A:$P,16,0),CONFIG!$B$8))</f>
        <v/>
      </c>
      <c r="AP7" s="29">
        <f>IF(IFERROR(VLOOKUP(AA7,RULES!$A:$Q,17,0),"")="",CONFIG!$B$13,VLOOKUP(AA7,RULES!$A:$Q,17,0))</f>
        <v/>
      </c>
      <c r="AQ7" s="29">
        <f>IF(IFERROR(VLOOKUP(AA7,RULES!$A:$R,18,0),"")="",CONFIG!$B$14,VLOOKUP(AA7,RULES!$A:$R,18,0))</f>
        <v/>
      </c>
      <c r="AR7" s="29">
        <f>IFERROR(VLOOKUP(AA7,RULES!$A:$S,19,0)*1,0)</f>
        <v/>
      </c>
      <c r="AS7" s="29">
        <f>IFERROR(VLOOKUP(AA7,RULES!$A:$T,20,0)*1,0)</f>
        <v/>
      </c>
      <c r="AT7" s="29">
        <f>IFERROR(VLOOKUP(AA7,RULES!$A:$U,21,0)*1,0)</f>
        <v/>
      </c>
      <c r="AU7" s="29">
        <f>IFERROR(VLOOKUP(AA7,RULES!$A:$V,22,0)*1,0)</f>
        <v/>
      </c>
      <c r="AV7" s="29">
        <f>IFERROR(VLOOKUP(AA7,RULES!$A:$W,23,0)*1,0)</f>
        <v/>
      </c>
      <c r="AW7" s="29">
        <f>IFERROR(IF(VLOOKUP(AA7,RULES!$A:$X,24,0)="",999999,VLOOKUP(AA7,RULES!$A:$X,24,0)*1),999999)</f>
        <v/>
      </c>
      <c r="AX7" s="29">
        <f>IFERROR(VLOOKUP(AA7,RULES!$A:$Y,25,0)*1,0)</f>
        <v/>
      </c>
      <c r="AY7" s="29">
        <f>IFERROR(VLOOKUP(AA7,RULES!$A:$Z,26,0),"NONE")</f>
        <v/>
      </c>
      <c r="AZ7" s="29">
        <f>IFERROR(VLOOKUP(AA7,RULES!$A:$AA,27,0)*1,0)</f>
        <v/>
      </c>
      <c r="BA7" s="29">
        <f>IFERROR(VLOOKUP(AA7,RULES!$A:$AB,28,0)*1,0)</f>
        <v/>
      </c>
    </row>
    <row r="8" ht="17" customHeight="1">
      <c r="A8" s="22" t="inlineStr">
        <is>
          <t>3205</t>
        </is>
      </c>
      <c r="B8" s="48" t="inlineStr">
        <is>
          <t>ACC002</t>
        </is>
      </c>
      <c r="C8" s="48" t="inlineStr">
        <is>
          <t>DEFAULT</t>
        </is>
      </c>
      <c r="D8" s="47" t="n"/>
      <c r="E8" s="22">
        <f>IF(OR(D8="",D8=0),"INACTIVE","ACTIVE")</f>
        <v/>
      </c>
      <c r="F8" s="48" t="inlineStr">
        <is>
          <t>NORMAL</t>
        </is>
      </c>
      <c r="G8" s="25" t="n"/>
      <c r="H8" s="25" t="n"/>
      <c r="I8" s="26">
        <f>IF(OR(E8="INACTIVE",H8=""),0,MAX(0,H8-G8))</f>
        <v/>
      </c>
      <c r="J8" s="23" t="n"/>
      <c r="K8" s="26">
        <f>IF(OR(E8="INACTIVE",H8=""),0,IF(AB8="DISABLED",0,IF(AB8="FLAT",AE8,IF(AB8="MANUAL",IF(J8="",0,J8*AC8),IF(AB8="STEP",IF(I8&lt;=AF8,I8*AG8,IF(I8&lt;=AH8,AF8*AG8+(I8-AF8)*AI8,AF8*AG8+(AH8-AF8)*AI8+(I8-AH8)*AK8)),MAX(I8*AC8,AD8))))))</f>
        <v/>
      </c>
      <c r="L8" s="26">
        <f>IF(OR(E8="INACTIVE",H8=""),0,IF(AL8="NONE",0,IF(AL8="FLAT",AM8,IF(AL8="PER_UNIT",I8*AN8,IF(AL8="MANUAL",IF(M8="",0,M8),0)))))</f>
        <v/>
      </c>
      <c r="M8" s="23" t="n"/>
      <c r="N8" s="48" t="inlineStr">
        <is>
          <t>NORMAL</t>
        </is>
      </c>
      <c r="O8" s="25" t="n"/>
      <c r="P8" s="25" t="n"/>
      <c r="Q8" s="26">
        <f>IF(OR(E8="INACTIVE",P8=""),0,MAX(0,P8-O8))</f>
        <v/>
      </c>
      <c r="R8" s="23" t="n"/>
      <c r="S8" s="26">
        <f>IF(OR(E8="INACTIVE",P8=""),0,IF(AO8="DISABLED",0,IF(AO8="FLAT",AR8,IF(AO8="MANUAL",IF(R8="",0,R8*AP8),IF(AO8="STEP",IF(Q8&lt;=AS8,Q8*AT8,IF(Q8&lt;=AU8,AS8*AT8+(Q8-AS8)*AV8,AS8*AT8+(AU8-AS8)*AV8+(Q8-AU8)*AX8)),MAX(Q8*AP8,AQ8))))))</f>
        <v/>
      </c>
      <c r="T8" s="26">
        <f>IF(OR(E8="INACTIVE",P8=""),0,IF(AY8="NONE",0,IF(AY8="FLAT",AZ8,IF(AY8="PER_UNIT",Q8*BA8,IF(AY8="MANUAL",IF(U8="",0,U8),0)))))</f>
        <v/>
      </c>
      <c r="U8" s="23" t="n"/>
      <c r="V8" s="25" t="n"/>
      <c r="W8" s="25" t="n"/>
      <c r="X8" s="26">
        <f>IF(E8="INACTIVE",0,D8+K8+L8+S8+T8+IF(V8="",0,V8)+IF(W8="",0,W8))</f>
        <v/>
      </c>
      <c r="Y8" s="27" t="n"/>
      <c r="Z8" s="28">
        <f>IF(E8="INACTIVE","_",IF(AND(G8&gt;0,H8&gt;0,H8&lt;G8),"[!]น้ำ reset ","")&amp;IF(AND(O8&gt;0,P8&gt;0,P8&lt;O8),"[!]ไฟ reset ","")&amp;IF(AND(F8="MANUAL",J8=""),"[X]units น้ำ ","")&amp;IF(AND(N8="MANUAL",R8=""),"[X]units ไฟ ","")&amp;IF(D8=0,"[!]ค่าเช่า=0",""))</f>
        <v/>
      </c>
      <c r="AA8" s="29">
        <f>IF(C8&lt;&gt;"",C8,CONFIG!$B$6)</f>
        <v/>
      </c>
      <c r="AB8" s="29">
        <f>IF(F8&lt;&gt;"",F8,IFERROR(VLOOKUP(AA8,RULES!$A:$C,3,0),CONFIG!$B$7))</f>
        <v/>
      </c>
      <c r="AC8" s="29">
        <f>IF(IFERROR(VLOOKUP(AA8,RULES!$A:$D,4,0),"")="",CONFIG!$B$10,VLOOKUP(AA8,RULES!$A:$D,4,0))</f>
        <v/>
      </c>
      <c r="AD8" s="29">
        <f>IF(IFERROR(VLOOKUP(AA8,RULES!$A:$E,5,0),"")="",CONFIG!$B$11,VLOOKUP(AA8,RULES!$A:$E,5,0))</f>
        <v/>
      </c>
      <c r="AE8" s="29">
        <f>IFERROR(VLOOKUP(AA8,RULES!$A:$F,6,0)*1,0)</f>
        <v/>
      </c>
      <c r="AF8" s="29">
        <f>IFERROR(VLOOKUP(AA8,RULES!$A:$G,7,0)*1,0)</f>
        <v/>
      </c>
      <c r="AG8" s="29">
        <f>IFERROR(VLOOKUP(AA8,RULES!$A:$H,8,0)*1,0)</f>
        <v/>
      </c>
      <c r="AH8" s="29">
        <f>IFERROR(VLOOKUP(AA8,RULES!$A:$I,9,0)*1,0)</f>
        <v/>
      </c>
      <c r="AI8" s="29">
        <f>IFERROR(VLOOKUP(AA8,RULES!$A:$J,10,0)*1,0)</f>
        <v/>
      </c>
      <c r="AJ8" s="29">
        <f>IFERROR(IF(VLOOKUP(AA8,RULES!$A:$K,11,0)="",999999,VLOOKUP(AA8,RULES!$A:$K,11,0)*1),999999)</f>
        <v/>
      </c>
      <c r="AK8" s="29">
        <f>IFERROR(VLOOKUP(AA8,RULES!$A:$L,12,0)*1,0)</f>
        <v/>
      </c>
      <c r="AL8" s="29">
        <f>IFERROR(VLOOKUP(AA8,RULES!$A:$M,13,0),"NONE")</f>
        <v/>
      </c>
      <c r="AM8" s="29">
        <f>IFERROR(VLOOKUP(AA8,RULES!$A:$N,14,0)*1,0)</f>
        <v/>
      </c>
      <c r="AN8" s="29">
        <f>IFERROR(VLOOKUP(AA8,RULES!$A:$O,15,0)*1,0)</f>
        <v/>
      </c>
      <c r="AO8" s="29">
        <f>IF(N8&lt;&gt;"",N8,IFERROR(VLOOKUP(AA8,RULES!$A:$P,16,0),CONFIG!$B$8))</f>
        <v/>
      </c>
      <c r="AP8" s="29">
        <f>IF(IFERROR(VLOOKUP(AA8,RULES!$A:$Q,17,0),"")="",CONFIG!$B$13,VLOOKUP(AA8,RULES!$A:$Q,17,0))</f>
        <v/>
      </c>
      <c r="AQ8" s="29">
        <f>IF(IFERROR(VLOOKUP(AA8,RULES!$A:$R,18,0),"")="",CONFIG!$B$14,VLOOKUP(AA8,RULES!$A:$R,18,0))</f>
        <v/>
      </c>
      <c r="AR8" s="29">
        <f>IFERROR(VLOOKUP(AA8,RULES!$A:$S,19,0)*1,0)</f>
        <v/>
      </c>
      <c r="AS8" s="29">
        <f>IFERROR(VLOOKUP(AA8,RULES!$A:$T,20,0)*1,0)</f>
        <v/>
      </c>
      <c r="AT8" s="29">
        <f>IFERROR(VLOOKUP(AA8,RULES!$A:$U,21,0)*1,0)</f>
        <v/>
      </c>
      <c r="AU8" s="29">
        <f>IFERROR(VLOOKUP(AA8,RULES!$A:$V,22,0)*1,0)</f>
        <v/>
      </c>
      <c r="AV8" s="29">
        <f>IFERROR(VLOOKUP(AA8,RULES!$A:$W,23,0)*1,0)</f>
        <v/>
      </c>
      <c r="AW8" s="29">
        <f>IFERROR(IF(VLOOKUP(AA8,RULES!$A:$X,24,0)="",999999,VLOOKUP(AA8,RULES!$A:$X,24,0)*1),999999)</f>
        <v/>
      </c>
      <c r="AX8" s="29">
        <f>IFERROR(VLOOKUP(AA8,RULES!$A:$Y,25,0)*1,0)</f>
        <v/>
      </c>
      <c r="AY8" s="29">
        <f>IFERROR(VLOOKUP(AA8,RULES!$A:$Z,26,0),"NONE")</f>
        <v/>
      </c>
      <c r="AZ8" s="29">
        <f>IFERROR(VLOOKUP(AA8,RULES!$A:$AA,27,0)*1,0)</f>
        <v/>
      </c>
      <c r="BA8" s="29">
        <f>IFERROR(VLOOKUP(AA8,RULES!$A:$AB,28,0)*1,0)</f>
        <v/>
      </c>
    </row>
    <row r="9" ht="17" customHeight="1">
      <c r="A9" s="22" t="inlineStr">
        <is>
          <t>3206</t>
        </is>
      </c>
      <c r="B9" s="48" t="inlineStr">
        <is>
          <t>ACC002</t>
        </is>
      </c>
      <c r="C9" s="48" t="inlineStr">
        <is>
          <t>DEFAULT</t>
        </is>
      </c>
      <c r="D9" s="47" t="n"/>
      <c r="E9" s="22">
        <f>IF(OR(D9="",D9=0),"INACTIVE","ACTIVE")</f>
        <v/>
      </c>
      <c r="F9" s="48" t="inlineStr">
        <is>
          <t>NORMAL</t>
        </is>
      </c>
      <c r="G9" s="25" t="n"/>
      <c r="H9" s="25" t="n"/>
      <c r="I9" s="26">
        <f>IF(OR(E9="INACTIVE",H9=""),0,MAX(0,H9-G9))</f>
        <v/>
      </c>
      <c r="J9" s="23" t="n"/>
      <c r="K9" s="26">
        <f>IF(OR(E9="INACTIVE",H9=""),0,IF(AB9="DISABLED",0,IF(AB9="FLAT",AE9,IF(AB9="MANUAL",IF(J9="",0,J9*AC9),IF(AB9="STEP",IF(I9&lt;=AF9,I9*AG9,IF(I9&lt;=AH9,AF9*AG9+(I9-AF9)*AI9,AF9*AG9+(AH9-AF9)*AI9+(I9-AH9)*AK9)),MAX(I9*AC9,AD9))))))</f>
        <v/>
      </c>
      <c r="L9" s="26">
        <f>IF(OR(E9="INACTIVE",H9=""),0,IF(AL9="NONE",0,IF(AL9="FLAT",AM9,IF(AL9="PER_UNIT",I9*AN9,IF(AL9="MANUAL",IF(M9="",0,M9),0)))))</f>
        <v/>
      </c>
      <c r="M9" s="23" t="n"/>
      <c r="N9" s="48" t="inlineStr">
        <is>
          <t>NORMAL</t>
        </is>
      </c>
      <c r="O9" s="25" t="n"/>
      <c r="P9" s="25" t="n"/>
      <c r="Q9" s="26">
        <f>IF(OR(E9="INACTIVE",P9=""),0,MAX(0,P9-O9))</f>
        <v/>
      </c>
      <c r="R9" s="23" t="n"/>
      <c r="S9" s="26">
        <f>IF(OR(E9="INACTIVE",P9=""),0,IF(AO9="DISABLED",0,IF(AO9="FLAT",AR9,IF(AO9="MANUAL",IF(R9="",0,R9*AP9),IF(AO9="STEP",IF(Q9&lt;=AS9,Q9*AT9,IF(Q9&lt;=AU9,AS9*AT9+(Q9-AS9)*AV9,AS9*AT9+(AU9-AS9)*AV9+(Q9-AU9)*AX9)),MAX(Q9*AP9,AQ9))))))</f>
        <v/>
      </c>
      <c r="T9" s="26">
        <f>IF(OR(E9="INACTIVE",P9=""),0,IF(AY9="NONE",0,IF(AY9="FLAT",AZ9,IF(AY9="PER_UNIT",Q9*BA9,IF(AY9="MANUAL",IF(U9="",0,U9),0)))))</f>
        <v/>
      </c>
      <c r="U9" s="23" t="n"/>
      <c r="V9" s="25" t="n"/>
      <c r="W9" s="25" t="n"/>
      <c r="X9" s="26">
        <f>IF(E9="INACTIVE",0,D9+K9+L9+S9+T9+IF(V9="",0,V9)+IF(W9="",0,W9))</f>
        <v/>
      </c>
      <c r="Y9" s="27" t="n"/>
      <c r="Z9" s="28">
        <f>IF(E9="INACTIVE","_",IF(AND(G9&gt;0,H9&gt;0,H9&lt;G9),"[!]น้ำ reset ","")&amp;IF(AND(O9&gt;0,P9&gt;0,P9&lt;O9),"[!]ไฟ reset ","")&amp;IF(AND(F9="MANUAL",J9=""),"[X]units น้ำ ","")&amp;IF(AND(N9="MANUAL",R9=""),"[X]units ไฟ ","")&amp;IF(D9=0,"[!]ค่าเช่า=0",""))</f>
        <v/>
      </c>
      <c r="AA9" s="29">
        <f>IF(C9&lt;&gt;"",C9,CONFIG!$B$6)</f>
        <v/>
      </c>
      <c r="AB9" s="29">
        <f>IF(F9&lt;&gt;"",F9,IFERROR(VLOOKUP(AA9,RULES!$A:$C,3,0),CONFIG!$B$7))</f>
        <v/>
      </c>
      <c r="AC9" s="29">
        <f>IF(IFERROR(VLOOKUP(AA9,RULES!$A:$D,4,0),"")="",CONFIG!$B$10,VLOOKUP(AA9,RULES!$A:$D,4,0))</f>
        <v/>
      </c>
      <c r="AD9" s="29">
        <f>IF(IFERROR(VLOOKUP(AA9,RULES!$A:$E,5,0),"")="",CONFIG!$B$11,VLOOKUP(AA9,RULES!$A:$E,5,0))</f>
        <v/>
      </c>
      <c r="AE9" s="29">
        <f>IFERROR(VLOOKUP(AA9,RULES!$A:$F,6,0)*1,0)</f>
        <v/>
      </c>
      <c r="AF9" s="29">
        <f>IFERROR(VLOOKUP(AA9,RULES!$A:$G,7,0)*1,0)</f>
        <v/>
      </c>
      <c r="AG9" s="29">
        <f>IFERROR(VLOOKUP(AA9,RULES!$A:$H,8,0)*1,0)</f>
        <v/>
      </c>
      <c r="AH9" s="29">
        <f>IFERROR(VLOOKUP(AA9,RULES!$A:$I,9,0)*1,0)</f>
        <v/>
      </c>
      <c r="AI9" s="29">
        <f>IFERROR(VLOOKUP(AA9,RULES!$A:$J,10,0)*1,0)</f>
        <v/>
      </c>
      <c r="AJ9" s="29">
        <f>IFERROR(IF(VLOOKUP(AA9,RULES!$A:$K,11,0)="",999999,VLOOKUP(AA9,RULES!$A:$K,11,0)*1),999999)</f>
        <v/>
      </c>
      <c r="AK9" s="29">
        <f>IFERROR(VLOOKUP(AA9,RULES!$A:$L,12,0)*1,0)</f>
        <v/>
      </c>
      <c r="AL9" s="29">
        <f>IFERROR(VLOOKUP(AA9,RULES!$A:$M,13,0),"NONE")</f>
        <v/>
      </c>
      <c r="AM9" s="29">
        <f>IFERROR(VLOOKUP(AA9,RULES!$A:$N,14,0)*1,0)</f>
        <v/>
      </c>
      <c r="AN9" s="29">
        <f>IFERROR(VLOOKUP(AA9,RULES!$A:$O,15,0)*1,0)</f>
        <v/>
      </c>
      <c r="AO9" s="29">
        <f>IF(N9&lt;&gt;"",N9,IFERROR(VLOOKUP(AA9,RULES!$A:$P,16,0),CONFIG!$B$8))</f>
        <v/>
      </c>
      <c r="AP9" s="29">
        <f>IF(IFERROR(VLOOKUP(AA9,RULES!$A:$Q,17,0),"")="",CONFIG!$B$13,VLOOKUP(AA9,RULES!$A:$Q,17,0))</f>
        <v/>
      </c>
      <c r="AQ9" s="29">
        <f>IF(IFERROR(VLOOKUP(AA9,RULES!$A:$R,18,0),"")="",CONFIG!$B$14,VLOOKUP(AA9,RULES!$A:$R,18,0))</f>
        <v/>
      </c>
      <c r="AR9" s="29">
        <f>IFERROR(VLOOKUP(AA9,RULES!$A:$S,19,0)*1,0)</f>
        <v/>
      </c>
      <c r="AS9" s="29">
        <f>IFERROR(VLOOKUP(AA9,RULES!$A:$T,20,0)*1,0)</f>
        <v/>
      </c>
      <c r="AT9" s="29">
        <f>IFERROR(VLOOKUP(AA9,RULES!$A:$U,21,0)*1,0)</f>
        <v/>
      </c>
      <c r="AU9" s="29">
        <f>IFERROR(VLOOKUP(AA9,RULES!$A:$V,22,0)*1,0)</f>
        <v/>
      </c>
      <c r="AV9" s="29">
        <f>IFERROR(VLOOKUP(AA9,RULES!$A:$W,23,0)*1,0)</f>
        <v/>
      </c>
      <c r="AW9" s="29">
        <f>IFERROR(IF(VLOOKUP(AA9,RULES!$A:$X,24,0)="",999999,VLOOKUP(AA9,RULES!$A:$X,24,0)*1),999999)</f>
        <v/>
      </c>
      <c r="AX9" s="29">
        <f>IFERROR(VLOOKUP(AA9,RULES!$A:$Y,25,0)*1,0)</f>
        <v/>
      </c>
      <c r="AY9" s="29">
        <f>IFERROR(VLOOKUP(AA9,RULES!$A:$Z,26,0),"NONE")</f>
        <v/>
      </c>
      <c r="AZ9" s="29">
        <f>IFERROR(VLOOKUP(AA9,RULES!$A:$AA,27,0)*1,0)</f>
        <v/>
      </c>
      <c r="BA9" s="29">
        <f>IFERROR(VLOOKUP(AA9,RULES!$A:$AB,28,0)*1,0)</f>
        <v/>
      </c>
    </row>
    <row r="10" ht="17" customHeight="1">
      <c r="A10" s="22" t="inlineStr">
        <is>
          <t>3207</t>
        </is>
      </c>
      <c r="B10" s="48" t="inlineStr">
        <is>
          <t>ACC002</t>
        </is>
      </c>
      <c r="C10" s="48" t="inlineStr">
        <is>
          <t>DEFAULT</t>
        </is>
      </c>
      <c r="D10" s="47" t="n"/>
      <c r="E10" s="22">
        <f>IF(OR(D10="",D10=0),"INACTIVE","ACTIVE")</f>
        <v/>
      </c>
      <c r="F10" s="48" t="inlineStr">
        <is>
          <t>NORMAL</t>
        </is>
      </c>
      <c r="G10" s="25" t="n"/>
      <c r="H10" s="25" t="n"/>
      <c r="I10" s="26">
        <f>IF(OR(E10="INACTIVE",H10=""),0,MAX(0,H10-G10))</f>
        <v/>
      </c>
      <c r="J10" s="23" t="n"/>
      <c r="K10" s="26">
        <f>IF(OR(E10="INACTIVE",H10=""),0,IF(AB10="DISABLED",0,IF(AB10="FLAT",AE10,IF(AB10="MANUAL",IF(J10="",0,J10*AC10),IF(AB10="STEP",IF(I10&lt;=AF10,I10*AG10,IF(I10&lt;=AH10,AF10*AG10+(I10-AF10)*AI10,AF10*AG10+(AH10-AF10)*AI10+(I10-AH10)*AK10)),MAX(I10*AC10,AD10))))))</f>
        <v/>
      </c>
      <c r="L10" s="26">
        <f>IF(OR(E10="INACTIVE",H10=""),0,IF(AL10="NONE",0,IF(AL10="FLAT",AM10,IF(AL10="PER_UNIT",I10*AN10,IF(AL10="MANUAL",IF(M10="",0,M10),0)))))</f>
        <v/>
      </c>
      <c r="M10" s="23" t="n"/>
      <c r="N10" s="48" t="inlineStr">
        <is>
          <t>NORMAL</t>
        </is>
      </c>
      <c r="O10" s="25" t="n"/>
      <c r="P10" s="25" t="n"/>
      <c r="Q10" s="26">
        <f>IF(OR(E10="INACTIVE",P10=""),0,MAX(0,P10-O10))</f>
        <v/>
      </c>
      <c r="R10" s="23" t="n"/>
      <c r="S10" s="26">
        <f>IF(OR(E10="INACTIVE",P10=""),0,IF(AO10="DISABLED",0,IF(AO10="FLAT",AR10,IF(AO10="MANUAL",IF(R10="",0,R10*AP10),IF(AO10="STEP",IF(Q10&lt;=AS10,Q10*AT10,IF(Q10&lt;=AU10,AS10*AT10+(Q10-AS10)*AV10,AS10*AT10+(AU10-AS10)*AV10+(Q10-AU10)*AX10)),MAX(Q10*AP10,AQ10))))))</f>
        <v/>
      </c>
      <c r="T10" s="26">
        <f>IF(OR(E10="INACTIVE",P10=""),0,IF(AY10="NONE",0,IF(AY10="FLAT",AZ10,IF(AY10="PER_UNIT",Q10*BA10,IF(AY10="MANUAL",IF(U10="",0,U10),0)))))</f>
        <v/>
      </c>
      <c r="U10" s="23" t="n"/>
      <c r="V10" s="25" t="n"/>
      <c r="W10" s="25" t="n"/>
      <c r="X10" s="26">
        <f>IF(E10="INACTIVE",0,D10+K10+L10+S10+T10+IF(V10="",0,V10)+IF(W10="",0,W10))</f>
        <v/>
      </c>
      <c r="Y10" s="27" t="n"/>
      <c r="Z10" s="28">
        <f>IF(E10="INACTIVE","_",IF(AND(G10&gt;0,H10&gt;0,H10&lt;G10),"[!]น้ำ reset ","")&amp;IF(AND(O10&gt;0,P10&gt;0,P10&lt;O10),"[!]ไฟ reset ","")&amp;IF(AND(F10="MANUAL",J10=""),"[X]units น้ำ ","")&amp;IF(AND(N10="MANUAL",R10=""),"[X]units ไฟ ","")&amp;IF(D10=0,"[!]ค่าเช่า=0",""))</f>
        <v/>
      </c>
      <c r="AA10" s="29">
        <f>IF(C10&lt;&gt;"",C10,CONFIG!$B$6)</f>
        <v/>
      </c>
      <c r="AB10" s="29">
        <f>IF(F10&lt;&gt;"",F10,IFERROR(VLOOKUP(AA10,RULES!$A:$C,3,0),CONFIG!$B$7))</f>
        <v/>
      </c>
      <c r="AC10" s="29">
        <f>IF(IFERROR(VLOOKUP(AA10,RULES!$A:$D,4,0),"")="",CONFIG!$B$10,VLOOKUP(AA10,RULES!$A:$D,4,0))</f>
        <v/>
      </c>
      <c r="AD10" s="29">
        <f>IF(IFERROR(VLOOKUP(AA10,RULES!$A:$E,5,0),"")="",CONFIG!$B$11,VLOOKUP(AA10,RULES!$A:$E,5,0))</f>
        <v/>
      </c>
      <c r="AE10" s="29">
        <f>IFERROR(VLOOKUP(AA10,RULES!$A:$F,6,0)*1,0)</f>
        <v/>
      </c>
      <c r="AF10" s="29">
        <f>IFERROR(VLOOKUP(AA10,RULES!$A:$G,7,0)*1,0)</f>
        <v/>
      </c>
      <c r="AG10" s="29">
        <f>IFERROR(VLOOKUP(AA10,RULES!$A:$H,8,0)*1,0)</f>
        <v/>
      </c>
      <c r="AH10" s="29">
        <f>IFERROR(VLOOKUP(AA10,RULES!$A:$I,9,0)*1,0)</f>
        <v/>
      </c>
      <c r="AI10" s="29">
        <f>IFERROR(VLOOKUP(AA10,RULES!$A:$J,10,0)*1,0)</f>
        <v/>
      </c>
      <c r="AJ10" s="29">
        <f>IFERROR(IF(VLOOKUP(AA10,RULES!$A:$K,11,0)="",999999,VLOOKUP(AA10,RULES!$A:$K,11,0)*1),999999)</f>
        <v/>
      </c>
      <c r="AK10" s="29">
        <f>IFERROR(VLOOKUP(AA10,RULES!$A:$L,12,0)*1,0)</f>
        <v/>
      </c>
      <c r="AL10" s="29">
        <f>IFERROR(VLOOKUP(AA10,RULES!$A:$M,13,0),"NONE")</f>
        <v/>
      </c>
      <c r="AM10" s="29">
        <f>IFERROR(VLOOKUP(AA10,RULES!$A:$N,14,0)*1,0)</f>
        <v/>
      </c>
      <c r="AN10" s="29">
        <f>IFERROR(VLOOKUP(AA10,RULES!$A:$O,15,0)*1,0)</f>
        <v/>
      </c>
      <c r="AO10" s="29">
        <f>IF(N10&lt;&gt;"",N10,IFERROR(VLOOKUP(AA10,RULES!$A:$P,16,0),CONFIG!$B$8))</f>
        <v/>
      </c>
      <c r="AP10" s="29">
        <f>IF(IFERROR(VLOOKUP(AA10,RULES!$A:$Q,17,0),"")="",CONFIG!$B$13,VLOOKUP(AA10,RULES!$A:$Q,17,0))</f>
        <v/>
      </c>
      <c r="AQ10" s="29">
        <f>IF(IFERROR(VLOOKUP(AA10,RULES!$A:$R,18,0),"")="",CONFIG!$B$14,VLOOKUP(AA10,RULES!$A:$R,18,0))</f>
        <v/>
      </c>
      <c r="AR10" s="29">
        <f>IFERROR(VLOOKUP(AA10,RULES!$A:$S,19,0)*1,0)</f>
        <v/>
      </c>
      <c r="AS10" s="29">
        <f>IFERROR(VLOOKUP(AA10,RULES!$A:$T,20,0)*1,0)</f>
        <v/>
      </c>
      <c r="AT10" s="29">
        <f>IFERROR(VLOOKUP(AA10,RULES!$A:$U,21,0)*1,0)</f>
        <v/>
      </c>
      <c r="AU10" s="29">
        <f>IFERROR(VLOOKUP(AA10,RULES!$A:$V,22,0)*1,0)</f>
        <v/>
      </c>
      <c r="AV10" s="29">
        <f>IFERROR(VLOOKUP(AA10,RULES!$A:$W,23,0)*1,0)</f>
        <v/>
      </c>
      <c r="AW10" s="29">
        <f>IFERROR(IF(VLOOKUP(AA10,RULES!$A:$X,24,0)="",999999,VLOOKUP(AA10,RULES!$A:$X,24,0)*1),999999)</f>
        <v/>
      </c>
      <c r="AX10" s="29">
        <f>IFERROR(VLOOKUP(AA10,RULES!$A:$Y,25,0)*1,0)</f>
        <v/>
      </c>
      <c r="AY10" s="29">
        <f>IFERROR(VLOOKUP(AA10,RULES!$A:$Z,26,0),"NONE")</f>
        <v/>
      </c>
      <c r="AZ10" s="29">
        <f>IFERROR(VLOOKUP(AA10,RULES!$A:$AA,27,0)*1,0)</f>
        <v/>
      </c>
      <c r="BA10" s="29">
        <f>IFERROR(VLOOKUP(AA10,RULES!$A:$AB,28,0)*1,0)</f>
        <v/>
      </c>
    </row>
    <row r="11" ht="17" customHeight="1">
      <c r="A11" s="22" t="inlineStr">
        <is>
          <t>3208</t>
        </is>
      </c>
      <c r="B11" s="48" t="inlineStr">
        <is>
          <t>ACC002</t>
        </is>
      </c>
      <c r="C11" s="48" t="inlineStr">
        <is>
          <t>DEFAULT</t>
        </is>
      </c>
      <c r="D11" s="47" t="n"/>
      <c r="E11" s="22">
        <f>IF(OR(D11="",D11=0),"INACTIVE","ACTIVE")</f>
        <v/>
      </c>
      <c r="F11" s="48" t="inlineStr">
        <is>
          <t>NORMAL</t>
        </is>
      </c>
      <c r="G11" s="25" t="n"/>
      <c r="H11" s="25" t="n"/>
      <c r="I11" s="26">
        <f>IF(OR(E11="INACTIVE",H11=""),0,MAX(0,H11-G11))</f>
        <v/>
      </c>
      <c r="J11" s="23" t="n"/>
      <c r="K11" s="26">
        <f>IF(OR(E11="INACTIVE",H11=""),0,IF(AB11="DISABLED",0,IF(AB11="FLAT",AE11,IF(AB11="MANUAL",IF(J11="",0,J11*AC11),IF(AB11="STEP",IF(I11&lt;=AF11,I11*AG11,IF(I11&lt;=AH11,AF11*AG11+(I11-AF11)*AI11,AF11*AG11+(AH11-AF11)*AI11+(I11-AH11)*AK11)),MAX(I11*AC11,AD11))))))</f>
        <v/>
      </c>
      <c r="L11" s="26">
        <f>IF(OR(E11="INACTIVE",H11=""),0,IF(AL11="NONE",0,IF(AL11="FLAT",AM11,IF(AL11="PER_UNIT",I11*AN11,IF(AL11="MANUAL",IF(M11="",0,M11),0)))))</f>
        <v/>
      </c>
      <c r="M11" s="23" t="n"/>
      <c r="N11" s="48" t="inlineStr">
        <is>
          <t>NORMAL</t>
        </is>
      </c>
      <c r="O11" s="25" t="n"/>
      <c r="P11" s="25" t="n"/>
      <c r="Q11" s="26">
        <f>IF(OR(E11="INACTIVE",P11=""),0,MAX(0,P11-O11))</f>
        <v/>
      </c>
      <c r="R11" s="23" t="n"/>
      <c r="S11" s="26">
        <f>IF(OR(E11="INACTIVE",P11=""),0,IF(AO11="DISABLED",0,IF(AO11="FLAT",AR11,IF(AO11="MANUAL",IF(R11="",0,R11*AP11),IF(AO11="STEP",IF(Q11&lt;=AS11,Q11*AT11,IF(Q11&lt;=AU11,AS11*AT11+(Q11-AS11)*AV11,AS11*AT11+(AU11-AS11)*AV11+(Q11-AU11)*AX11)),MAX(Q11*AP11,AQ11))))))</f>
        <v/>
      </c>
      <c r="T11" s="26">
        <f>IF(OR(E11="INACTIVE",P11=""),0,IF(AY11="NONE",0,IF(AY11="FLAT",AZ11,IF(AY11="PER_UNIT",Q11*BA11,IF(AY11="MANUAL",IF(U11="",0,U11),0)))))</f>
        <v/>
      </c>
      <c r="U11" s="23" t="n"/>
      <c r="V11" s="25" t="n"/>
      <c r="W11" s="25" t="n"/>
      <c r="X11" s="26">
        <f>IF(E11="INACTIVE",0,D11+K11+L11+S11+T11+IF(V11="",0,V11)+IF(W11="",0,W11))</f>
        <v/>
      </c>
      <c r="Y11" s="27" t="n"/>
      <c r="Z11" s="28">
        <f>IF(E11="INACTIVE","_",IF(AND(G11&gt;0,H11&gt;0,H11&lt;G11),"[!]น้ำ reset ","")&amp;IF(AND(O11&gt;0,P11&gt;0,P11&lt;O11),"[!]ไฟ reset ","")&amp;IF(AND(F11="MANUAL",J11=""),"[X]units น้ำ ","")&amp;IF(AND(N11="MANUAL",R11=""),"[X]units ไฟ ","")&amp;IF(D11=0,"[!]ค่าเช่า=0",""))</f>
        <v/>
      </c>
      <c r="AA11" s="29">
        <f>IF(C11&lt;&gt;"",C11,CONFIG!$B$6)</f>
        <v/>
      </c>
      <c r="AB11" s="29">
        <f>IF(F11&lt;&gt;"",F11,IFERROR(VLOOKUP(AA11,RULES!$A:$C,3,0),CONFIG!$B$7))</f>
        <v/>
      </c>
      <c r="AC11" s="29">
        <f>IF(IFERROR(VLOOKUP(AA11,RULES!$A:$D,4,0),"")="",CONFIG!$B$10,VLOOKUP(AA11,RULES!$A:$D,4,0))</f>
        <v/>
      </c>
      <c r="AD11" s="29">
        <f>IF(IFERROR(VLOOKUP(AA11,RULES!$A:$E,5,0),"")="",CONFIG!$B$11,VLOOKUP(AA11,RULES!$A:$E,5,0))</f>
        <v/>
      </c>
      <c r="AE11" s="29">
        <f>IFERROR(VLOOKUP(AA11,RULES!$A:$F,6,0)*1,0)</f>
        <v/>
      </c>
      <c r="AF11" s="29">
        <f>IFERROR(VLOOKUP(AA11,RULES!$A:$G,7,0)*1,0)</f>
        <v/>
      </c>
      <c r="AG11" s="29">
        <f>IFERROR(VLOOKUP(AA11,RULES!$A:$H,8,0)*1,0)</f>
        <v/>
      </c>
      <c r="AH11" s="29">
        <f>IFERROR(VLOOKUP(AA11,RULES!$A:$I,9,0)*1,0)</f>
        <v/>
      </c>
      <c r="AI11" s="29">
        <f>IFERROR(VLOOKUP(AA11,RULES!$A:$J,10,0)*1,0)</f>
        <v/>
      </c>
      <c r="AJ11" s="29">
        <f>IFERROR(IF(VLOOKUP(AA11,RULES!$A:$K,11,0)="",999999,VLOOKUP(AA11,RULES!$A:$K,11,0)*1),999999)</f>
        <v/>
      </c>
      <c r="AK11" s="29">
        <f>IFERROR(VLOOKUP(AA11,RULES!$A:$L,12,0)*1,0)</f>
        <v/>
      </c>
      <c r="AL11" s="29">
        <f>IFERROR(VLOOKUP(AA11,RULES!$A:$M,13,0),"NONE")</f>
        <v/>
      </c>
      <c r="AM11" s="29">
        <f>IFERROR(VLOOKUP(AA11,RULES!$A:$N,14,0)*1,0)</f>
        <v/>
      </c>
      <c r="AN11" s="29">
        <f>IFERROR(VLOOKUP(AA11,RULES!$A:$O,15,0)*1,0)</f>
        <v/>
      </c>
      <c r="AO11" s="29">
        <f>IF(N11&lt;&gt;"",N11,IFERROR(VLOOKUP(AA11,RULES!$A:$P,16,0),CONFIG!$B$8))</f>
        <v/>
      </c>
      <c r="AP11" s="29">
        <f>IF(IFERROR(VLOOKUP(AA11,RULES!$A:$Q,17,0),"")="",CONFIG!$B$13,VLOOKUP(AA11,RULES!$A:$Q,17,0))</f>
        <v/>
      </c>
      <c r="AQ11" s="29">
        <f>IF(IFERROR(VLOOKUP(AA11,RULES!$A:$R,18,0),"")="",CONFIG!$B$14,VLOOKUP(AA11,RULES!$A:$R,18,0))</f>
        <v/>
      </c>
      <c r="AR11" s="29">
        <f>IFERROR(VLOOKUP(AA11,RULES!$A:$S,19,0)*1,0)</f>
        <v/>
      </c>
      <c r="AS11" s="29">
        <f>IFERROR(VLOOKUP(AA11,RULES!$A:$T,20,0)*1,0)</f>
        <v/>
      </c>
      <c r="AT11" s="29">
        <f>IFERROR(VLOOKUP(AA11,RULES!$A:$U,21,0)*1,0)</f>
        <v/>
      </c>
      <c r="AU11" s="29">
        <f>IFERROR(VLOOKUP(AA11,RULES!$A:$V,22,0)*1,0)</f>
        <v/>
      </c>
      <c r="AV11" s="29">
        <f>IFERROR(VLOOKUP(AA11,RULES!$A:$W,23,0)*1,0)</f>
        <v/>
      </c>
      <c r="AW11" s="29">
        <f>IFERROR(IF(VLOOKUP(AA11,RULES!$A:$X,24,0)="",999999,VLOOKUP(AA11,RULES!$A:$X,24,0)*1),999999)</f>
        <v/>
      </c>
      <c r="AX11" s="29">
        <f>IFERROR(VLOOKUP(AA11,RULES!$A:$Y,25,0)*1,0)</f>
        <v/>
      </c>
      <c r="AY11" s="29">
        <f>IFERROR(VLOOKUP(AA11,RULES!$A:$Z,26,0),"NONE")</f>
        <v/>
      </c>
      <c r="AZ11" s="29">
        <f>IFERROR(VLOOKUP(AA11,RULES!$A:$AA,27,0)*1,0)</f>
        <v/>
      </c>
      <c r="BA11" s="29">
        <f>IFERROR(VLOOKUP(AA11,RULES!$A:$AB,28,0)*1,0)</f>
        <v/>
      </c>
    </row>
    <row r="12" ht="17" customHeight="1">
      <c r="A12" s="22" t="inlineStr">
        <is>
          <t>3209</t>
        </is>
      </c>
      <c r="B12" s="48" t="inlineStr">
        <is>
          <t>ACC002</t>
        </is>
      </c>
      <c r="C12" s="48" t="inlineStr">
        <is>
          <t>DEFAULT</t>
        </is>
      </c>
      <c r="D12" s="47" t="n"/>
      <c r="E12" s="22">
        <f>IF(OR(D12="",D12=0),"INACTIVE","ACTIVE")</f>
        <v/>
      </c>
      <c r="F12" s="48" t="inlineStr">
        <is>
          <t>NORMAL</t>
        </is>
      </c>
      <c r="G12" s="25" t="n"/>
      <c r="H12" s="25" t="n"/>
      <c r="I12" s="26">
        <f>IF(OR(E12="INACTIVE",H12=""),0,MAX(0,H12-G12))</f>
        <v/>
      </c>
      <c r="J12" s="23" t="n"/>
      <c r="K12" s="26">
        <f>IF(OR(E12="INACTIVE",H12=""),0,IF(AB12="DISABLED",0,IF(AB12="FLAT",AE12,IF(AB12="MANUAL",IF(J12="",0,J12*AC12),IF(AB12="STEP",IF(I12&lt;=AF12,I12*AG12,IF(I12&lt;=AH12,AF12*AG12+(I12-AF12)*AI12,AF12*AG12+(AH12-AF12)*AI12+(I12-AH12)*AK12)),MAX(I12*AC12,AD12))))))</f>
        <v/>
      </c>
      <c r="L12" s="26">
        <f>IF(OR(E12="INACTIVE",H12=""),0,IF(AL12="NONE",0,IF(AL12="FLAT",AM12,IF(AL12="PER_UNIT",I12*AN12,IF(AL12="MANUAL",IF(M12="",0,M12),0)))))</f>
        <v/>
      </c>
      <c r="M12" s="23" t="n"/>
      <c r="N12" s="48" t="inlineStr">
        <is>
          <t>NORMAL</t>
        </is>
      </c>
      <c r="O12" s="25" t="n"/>
      <c r="P12" s="25" t="n"/>
      <c r="Q12" s="26">
        <f>IF(OR(E12="INACTIVE",P12=""),0,MAX(0,P12-O12))</f>
        <v/>
      </c>
      <c r="R12" s="23" t="n"/>
      <c r="S12" s="26">
        <f>IF(OR(E12="INACTIVE",P12=""),0,IF(AO12="DISABLED",0,IF(AO12="FLAT",AR12,IF(AO12="MANUAL",IF(R12="",0,R12*AP12),IF(AO12="STEP",IF(Q12&lt;=AS12,Q12*AT12,IF(Q12&lt;=AU12,AS12*AT12+(Q12-AS12)*AV12,AS12*AT12+(AU12-AS12)*AV12+(Q12-AU12)*AX12)),MAX(Q12*AP12,AQ12))))))</f>
        <v/>
      </c>
      <c r="T12" s="26">
        <f>IF(OR(E12="INACTIVE",P12=""),0,IF(AY12="NONE",0,IF(AY12="FLAT",AZ12,IF(AY12="PER_UNIT",Q12*BA12,IF(AY12="MANUAL",IF(U12="",0,U12),0)))))</f>
        <v/>
      </c>
      <c r="U12" s="23" t="n"/>
      <c r="V12" s="25" t="n"/>
      <c r="W12" s="25" t="n"/>
      <c r="X12" s="26">
        <f>IF(E12="INACTIVE",0,D12+K12+L12+S12+T12+IF(V12="",0,V12)+IF(W12="",0,W12))</f>
        <v/>
      </c>
      <c r="Y12" s="27" t="n"/>
      <c r="Z12" s="28">
        <f>IF(E12="INACTIVE","_",IF(AND(G12&gt;0,H12&gt;0,H12&lt;G12),"[!]น้ำ reset ","")&amp;IF(AND(O12&gt;0,P12&gt;0,P12&lt;O12),"[!]ไฟ reset ","")&amp;IF(AND(F12="MANUAL",J12=""),"[X]units น้ำ ","")&amp;IF(AND(N12="MANUAL",R12=""),"[X]units ไฟ ","")&amp;IF(D12=0,"[!]ค่าเช่า=0",""))</f>
        <v/>
      </c>
      <c r="AA12" s="29">
        <f>IF(C12&lt;&gt;"",C12,CONFIG!$B$6)</f>
        <v/>
      </c>
      <c r="AB12" s="29">
        <f>IF(F12&lt;&gt;"",F12,IFERROR(VLOOKUP(AA12,RULES!$A:$C,3,0),CONFIG!$B$7))</f>
        <v/>
      </c>
      <c r="AC12" s="29">
        <f>IF(IFERROR(VLOOKUP(AA12,RULES!$A:$D,4,0),"")="",CONFIG!$B$10,VLOOKUP(AA12,RULES!$A:$D,4,0))</f>
        <v/>
      </c>
      <c r="AD12" s="29">
        <f>IF(IFERROR(VLOOKUP(AA12,RULES!$A:$E,5,0),"")="",CONFIG!$B$11,VLOOKUP(AA12,RULES!$A:$E,5,0))</f>
        <v/>
      </c>
      <c r="AE12" s="29">
        <f>IFERROR(VLOOKUP(AA12,RULES!$A:$F,6,0)*1,0)</f>
        <v/>
      </c>
      <c r="AF12" s="29">
        <f>IFERROR(VLOOKUP(AA12,RULES!$A:$G,7,0)*1,0)</f>
        <v/>
      </c>
      <c r="AG12" s="29">
        <f>IFERROR(VLOOKUP(AA12,RULES!$A:$H,8,0)*1,0)</f>
        <v/>
      </c>
      <c r="AH12" s="29">
        <f>IFERROR(VLOOKUP(AA12,RULES!$A:$I,9,0)*1,0)</f>
        <v/>
      </c>
      <c r="AI12" s="29">
        <f>IFERROR(VLOOKUP(AA12,RULES!$A:$J,10,0)*1,0)</f>
        <v/>
      </c>
      <c r="AJ12" s="29">
        <f>IFERROR(IF(VLOOKUP(AA12,RULES!$A:$K,11,0)="",999999,VLOOKUP(AA12,RULES!$A:$K,11,0)*1),999999)</f>
        <v/>
      </c>
      <c r="AK12" s="29">
        <f>IFERROR(VLOOKUP(AA12,RULES!$A:$L,12,0)*1,0)</f>
        <v/>
      </c>
      <c r="AL12" s="29">
        <f>IFERROR(VLOOKUP(AA12,RULES!$A:$M,13,0),"NONE")</f>
        <v/>
      </c>
      <c r="AM12" s="29">
        <f>IFERROR(VLOOKUP(AA12,RULES!$A:$N,14,0)*1,0)</f>
        <v/>
      </c>
      <c r="AN12" s="29">
        <f>IFERROR(VLOOKUP(AA12,RULES!$A:$O,15,0)*1,0)</f>
        <v/>
      </c>
      <c r="AO12" s="29">
        <f>IF(N12&lt;&gt;"",N12,IFERROR(VLOOKUP(AA12,RULES!$A:$P,16,0),CONFIG!$B$8))</f>
        <v/>
      </c>
      <c r="AP12" s="29">
        <f>IF(IFERROR(VLOOKUP(AA12,RULES!$A:$Q,17,0),"")="",CONFIG!$B$13,VLOOKUP(AA12,RULES!$A:$Q,17,0))</f>
        <v/>
      </c>
      <c r="AQ12" s="29">
        <f>IF(IFERROR(VLOOKUP(AA12,RULES!$A:$R,18,0),"")="",CONFIG!$B$14,VLOOKUP(AA12,RULES!$A:$R,18,0))</f>
        <v/>
      </c>
      <c r="AR12" s="29">
        <f>IFERROR(VLOOKUP(AA12,RULES!$A:$S,19,0)*1,0)</f>
        <v/>
      </c>
      <c r="AS12" s="29">
        <f>IFERROR(VLOOKUP(AA12,RULES!$A:$T,20,0)*1,0)</f>
        <v/>
      </c>
      <c r="AT12" s="29">
        <f>IFERROR(VLOOKUP(AA12,RULES!$A:$U,21,0)*1,0)</f>
        <v/>
      </c>
      <c r="AU12" s="29">
        <f>IFERROR(VLOOKUP(AA12,RULES!$A:$V,22,0)*1,0)</f>
        <v/>
      </c>
      <c r="AV12" s="29">
        <f>IFERROR(VLOOKUP(AA12,RULES!$A:$W,23,0)*1,0)</f>
        <v/>
      </c>
      <c r="AW12" s="29">
        <f>IFERROR(IF(VLOOKUP(AA12,RULES!$A:$X,24,0)="",999999,VLOOKUP(AA12,RULES!$A:$X,24,0)*1),999999)</f>
        <v/>
      </c>
      <c r="AX12" s="29">
        <f>IFERROR(VLOOKUP(AA12,RULES!$A:$Y,25,0)*1,0)</f>
        <v/>
      </c>
      <c r="AY12" s="29">
        <f>IFERROR(VLOOKUP(AA12,RULES!$A:$Z,26,0),"NONE")</f>
        <v/>
      </c>
      <c r="AZ12" s="29">
        <f>IFERROR(VLOOKUP(AA12,RULES!$A:$AA,27,0)*1,0)</f>
        <v/>
      </c>
      <c r="BA12" s="29">
        <f>IFERROR(VLOOKUP(AA12,RULES!$A:$AB,28,0)*1,0)</f>
        <v/>
      </c>
    </row>
    <row r="13" ht="17" customHeight="1">
      <c r="A13" s="22" t="inlineStr">
        <is>
          <t>3210</t>
        </is>
      </c>
      <c r="B13" s="48" t="inlineStr">
        <is>
          <t>ACC002</t>
        </is>
      </c>
      <c r="C13" s="48" t="inlineStr">
        <is>
          <t>DEFAULT</t>
        </is>
      </c>
      <c r="D13" s="47" t="n"/>
      <c r="E13" s="22">
        <f>IF(OR(D13="",D13=0),"INACTIVE","ACTIVE")</f>
        <v/>
      </c>
      <c r="F13" s="48" t="inlineStr">
        <is>
          <t>NORMAL</t>
        </is>
      </c>
      <c r="G13" s="25" t="n"/>
      <c r="H13" s="25" t="n"/>
      <c r="I13" s="26">
        <f>IF(OR(E13="INACTIVE",H13=""),0,MAX(0,H13-G13))</f>
        <v/>
      </c>
      <c r="J13" s="23" t="n"/>
      <c r="K13" s="26">
        <f>IF(OR(E13="INACTIVE",H13=""),0,IF(AB13="DISABLED",0,IF(AB13="FLAT",AE13,IF(AB13="MANUAL",IF(J13="",0,J13*AC13),IF(AB13="STEP",IF(I13&lt;=AF13,I13*AG13,IF(I13&lt;=AH13,AF13*AG13+(I13-AF13)*AI13,AF13*AG13+(AH13-AF13)*AI13+(I13-AH13)*AK13)),MAX(I13*AC13,AD13))))))</f>
        <v/>
      </c>
      <c r="L13" s="26">
        <f>IF(OR(E13="INACTIVE",H13=""),0,IF(AL13="NONE",0,IF(AL13="FLAT",AM13,IF(AL13="PER_UNIT",I13*AN13,IF(AL13="MANUAL",IF(M13="",0,M13),0)))))</f>
        <v/>
      </c>
      <c r="M13" s="23" t="n"/>
      <c r="N13" s="48" t="inlineStr">
        <is>
          <t>NORMAL</t>
        </is>
      </c>
      <c r="O13" s="25" t="n"/>
      <c r="P13" s="25" t="n"/>
      <c r="Q13" s="26">
        <f>IF(OR(E13="INACTIVE",P13=""),0,MAX(0,P13-O13))</f>
        <v/>
      </c>
      <c r="R13" s="23" t="n"/>
      <c r="S13" s="26">
        <f>IF(OR(E13="INACTIVE",P13=""),0,IF(AO13="DISABLED",0,IF(AO13="FLAT",AR13,IF(AO13="MANUAL",IF(R13="",0,R13*AP13),IF(AO13="STEP",IF(Q13&lt;=AS13,Q13*AT13,IF(Q13&lt;=AU13,AS13*AT13+(Q13-AS13)*AV13,AS13*AT13+(AU13-AS13)*AV13+(Q13-AU13)*AX13)),MAX(Q13*AP13,AQ13))))))</f>
        <v/>
      </c>
      <c r="T13" s="26">
        <f>IF(OR(E13="INACTIVE",P13=""),0,IF(AY13="NONE",0,IF(AY13="FLAT",AZ13,IF(AY13="PER_UNIT",Q13*BA13,IF(AY13="MANUAL",IF(U13="",0,U13),0)))))</f>
        <v/>
      </c>
      <c r="U13" s="23" t="n"/>
      <c r="V13" s="25" t="n"/>
      <c r="W13" s="25" t="n"/>
      <c r="X13" s="26">
        <f>IF(E13="INACTIVE",0,D13+K13+L13+S13+T13+IF(V13="",0,V13)+IF(W13="",0,W13))</f>
        <v/>
      </c>
      <c r="Y13" s="27" t="n"/>
      <c r="Z13" s="28">
        <f>IF(E13="INACTIVE","_",IF(AND(G13&gt;0,H13&gt;0,H13&lt;G13),"[!]น้ำ reset ","")&amp;IF(AND(O13&gt;0,P13&gt;0,P13&lt;O13),"[!]ไฟ reset ","")&amp;IF(AND(F13="MANUAL",J13=""),"[X]units น้ำ ","")&amp;IF(AND(N13="MANUAL",R13=""),"[X]units ไฟ ","")&amp;IF(D13=0,"[!]ค่าเช่า=0",""))</f>
        <v/>
      </c>
      <c r="AA13" s="29">
        <f>IF(C13&lt;&gt;"",C13,CONFIG!$B$6)</f>
        <v/>
      </c>
      <c r="AB13" s="29">
        <f>IF(F13&lt;&gt;"",F13,IFERROR(VLOOKUP(AA13,RULES!$A:$C,3,0),CONFIG!$B$7))</f>
        <v/>
      </c>
      <c r="AC13" s="29">
        <f>IF(IFERROR(VLOOKUP(AA13,RULES!$A:$D,4,0),"")="",CONFIG!$B$10,VLOOKUP(AA13,RULES!$A:$D,4,0))</f>
        <v/>
      </c>
      <c r="AD13" s="29">
        <f>IF(IFERROR(VLOOKUP(AA13,RULES!$A:$E,5,0),"")="",CONFIG!$B$11,VLOOKUP(AA13,RULES!$A:$E,5,0))</f>
        <v/>
      </c>
      <c r="AE13" s="29">
        <f>IFERROR(VLOOKUP(AA13,RULES!$A:$F,6,0)*1,0)</f>
        <v/>
      </c>
      <c r="AF13" s="29">
        <f>IFERROR(VLOOKUP(AA13,RULES!$A:$G,7,0)*1,0)</f>
        <v/>
      </c>
      <c r="AG13" s="29">
        <f>IFERROR(VLOOKUP(AA13,RULES!$A:$H,8,0)*1,0)</f>
        <v/>
      </c>
      <c r="AH13" s="29">
        <f>IFERROR(VLOOKUP(AA13,RULES!$A:$I,9,0)*1,0)</f>
        <v/>
      </c>
      <c r="AI13" s="29">
        <f>IFERROR(VLOOKUP(AA13,RULES!$A:$J,10,0)*1,0)</f>
        <v/>
      </c>
      <c r="AJ13" s="29">
        <f>IFERROR(IF(VLOOKUP(AA13,RULES!$A:$K,11,0)="",999999,VLOOKUP(AA13,RULES!$A:$K,11,0)*1),999999)</f>
        <v/>
      </c>
      <c r="AK13" s="29">
        <f>IFERROR(VLOOKUP(AA13,RULES!$A:$L,12,0)*1,0)</f>
        <v/>
      </c>
      <c r="AL13" s="29">
        <f>IFERROR(VLOOKUP(AA13,RULES!$A:$M,13,0),"NONE")</f>
        <v/>
      </c>
      <c r="AM13" s="29">
        <f>IFERROR(VLOOKUP(AA13,RULES!$A:$N,14,0)*1,0)</f>
        <v/>
      </c>
      <c r="AN13" s="29">
        <f>IFERROR(VLOOKUP(AA13,RULES!$A:$O,15,0)*1,0)</f>
        <v/>
      </c>
      <c r="AO13" s="29">
        <f>IF(N13&lt;&gt;"",N13,IFERROR(VLOOKUP(AA13,RULES!$A:$P,16,0),CONFIG!$B$8))</f>
        <v/>
      </c>
      <c r="AP13" s="29">
        <f>IF(IFERROR(VLOOKUP(AA13,RULES!$A:$Q,17,0),"")="",CONFIG!$B$13,VLOOKUP(AA13,RULES!$A:$Q,17,0))</f>
        <v/>
      </c>
      <c r="AQ13" s="29">
        <f>IF(IFERROR(VLOOKUP(AA13,RULES!$A:$R,18,0),"")="",CONFIG!$B$14,VLOOKUP(AA13,RULES!$A:$R,18,0))</f>
        <v/>
      </c>
      <c r="AR13" s="29">
        <f>IFERROR(VLOOKUP(AA13,RULES!$A:$S,19,0)*1,0)</f>
        <v/>
      </c>
      <c r="AS13" s="29">
        <f>IFERROR(VLOOKUP(AA13,RULES!$A:$T,20,0)*1,0)</f>
        <v/>
      </c>
      <c r="AT13" s="29">
        <f>IFERROR(VLOOKUP(AA13,RULES!$A:$U,21,0)*1,0)</f>
        <v/>
      </c>
      <c r="AU13" s="29">
        <f>IFERROR(VLOOKUP(AA13,RULES!$A:$V,22,0)*1,0)</f>
        <v/>
      </c>
      <c r="AV13" s="29">
        <f>IFERROR(VLOOKUP(AA13,RULES!$A:$W,23,0)*1,0)</f>
        <v/>
      </c>
      <c r="AW13" s="29">
        <f>IFERROR(IF(VLOOKUP(AA13,RULES!$A:$X,24,0)="",999999,VLOOKUP(AA13,RULES!$A:$X,24,0)*1),999999)</f>
        <v/>
      </c>
      <c r="AX13" s="29">
        <f>IFERROR(VLOOKUP(AA13,RULES!$A:$Y,25,0)*1,0)</f>
        <v/>
      </c>
      <c r="AY13" s="29">
        <f>IFERROR(VLOOKUP(AA13,RULES!$A:$Z,26,0),"NONE")</f>
        <v/>
      </c>
      <c r="AZ13" s="29">
        <f>IFERROR(VLOOKUP(AA13,RULES!$A:$AA,27,0)*1,0)</f>
        <v/>
      </c>
      <c r="BA13" s="29">
        <f>IFERROR(VLOOKUP(AA13,RULES!$A:$AB,28,0)*1,0)</f>
        <v/>
      </c>
    </row>
    <row r="14" ht="17" customHeight="1">
      <c r="A14" s="22" t="inlineStr">
        <is>
          <t>3211</t>
        </is>
      </c>
      <c r="B14" s="48" t="inlineStr">
        <is>
          <t>ACC002</t>
        </is>
      </c>
      <c r="C14" s="48" t="inlineStr">
        <is>
          <t>DEFAULT</t>
        </is>
      </c>
      <c r="D14" s="47" t="n"/>
      <c r="E14" s="22">
        <f>IF(OR(D14="",D14=0),"INACTIVE","ACTIVE")</f>
        <v/>
      </c>
      <c r="F14" s="48" t="inlineStr">
        <is>
          <t>NORMAL</t>
        </is>
      </c>
      <c r="G14" s="25" t="n"/>
      <c r="H14" s="25" t="n"/>
      <c r="I14" s="26">
        <f>IF(OR(E14="INACTIVE",H14=""),0,MAX(0,H14-G14))</f>
        <v/>
      </c>
      <c r="J14" s="23" t="n"/>
      <c r="K14" s="26">
        <f>IF(OR(E14="INACTIVE",H14=""),0,IF(AB14="DISABLED",0,IF(AB14="FLAT",AE14,IF(AB14="MANUAL",IF(J14="",0,J14*AC14),IF(AB14="STEP",IF(I14&lt;=AF14,I14*AG14,IF(I14&lt;=AH14,AF14*AG14+(I14-AF14)*AI14,AF14*AG14+(AH14-AF14)*AI14+(I14-AH14)*AK14)),MAX(I14*AC14,AD14))))))</f>
        <v/>
      </c>
      <c r="L14" s="26">
        <f>IF(OR(E14="INACTIVE",H14=""),0,IF(AL14="NONE",0,IF(AL14="FLAT",AM14,IF(AL14="PER_UNIT",I14*AN14,IF(AL14="MANUAL",IF(M14="",0,M14),0)))))</f>
        <v/>
      </c>
      <c r="M14" s="23" t="n"/>
      <c r="N14" s="48" t="inlineStr">
        <is>
          <t>NORMAL</t>
        </is>
      </c>
      <c r="O14" s="25" t="n"/>
      <c r="P14" s="25" t="n"/>
      <c r="Q14" s="26">
        <f>IF(OR(E14="INACTIVE",P14=""),0,MAX(0,P14-O14))</f>
        <v/>
      </c>
      <c r="R14" s="23" t="n"/>
      <c r="S14" s="26">
        <f>IF(OR(E14="INACTIVE",P14=""),0,IF(AO14="DISABLED",0,IF(AO14="FLAT",AR14,IF(AO14="MANUAL",IF(R14="",0,R14*AP14),IF(AO14="STEP",IF(Q14&lt;=AS14,Q14*AT14,IF(Q14&lt;=AU14,AS14*AT14+(Q14-AS14)*AV14,AS14*AT14+(AU14-AS14)*AV14+(Q14-AU14)*AX14)),MAX(Q14*AP14,AQ14))))))</f>
        <v/>
      </c>
      <c r="T14" s="26">
        <f>IF(OR(E14="INACTIVE",P14=""),0,IF(AY14="NONE",0,IF(AY14="FLAT",AZ14,IF(AY14="PER_UNIT",Q14*BA14,IF(AY14="MANUAL",IF(U14="",0,U14),0)))))</f>
        <v/>
      </c>
      <c r="U14" s="23" t="n"/>
      <c r="V14" s="25" t="n"/>
      <c r="W14" s="25" t="n"/>
      <c r="X14" s="26">
        <f>IF(E14="INACTIVE",0,D14+K14+L14+S14+T14+IF(V14="",0,V14)+IF(W14="",0,W14))</f>
        <v/>
      </c>
      <c r="Y14" s="27" t="n"/>
      <c r="Z14" s="28">
        <f>IF(E14="INACTIVE","_",IF(AND(G14&gt;0,H14&gt;0,H14&lt;G14),"[!]น้ำ reset ","")&amp;IF(AND(O14&gt;0,P14&gt;0,P14&lt;O14),"[!]ไฟ reset ","")&amp;IF(AND(F14="MANUAL",J14=""),"[X]units น้ำ ","")&amp;IF(AND(N14="MANUAL",R14=""),"[X]units ไฟ ","")&amp;IF(D14=0,"[!]ค่าเช่า=0",""))</f>
        <v/>
      </c>
      <c r="AA14" s="29">
        <f>IF(C14&lt;&gt;"",C14,CONFIG!$B$6)</f>
        <v/>
      </c>
      <c r="AB14" s="29">
        <f>IF(F14&lt;&gt;"",F14,IFERROR(VLOOKUP(AA14,RULES!$A:$C,3,0),CONFIG!$B$7))</f>
        <v/>
      </c>
      <c r="AC14" s="29">
        <f>IF(IFERROR(VLOOKUP(AA14,RULES!$A:$D,4,0),"")="",CONFIG!$B$10,VLOOKUP(AA14,RULES!$A:$D,4,0))</f>
        <v/>
      </c>
      <c r="AD14" s="29">
        <f>IF(IFERROR(VLOOKUP(AA14,RULES!$A:$E,5,0),"")="",CONFIG!$B$11,VLOOKUP(AA14,RULES!$A:$E,5,0))</f>
        <v/>
      </c>
      <c r="AE14" s="29">
        <f>IFERROR(VLOOKUP(AA14,RULES!$A:$F,6,0)*1,0)</f>
        <v/>
      </c>
      <c r="AF14" s="29">
        <f>IFERROR(VLOOKUP(AA14,RULES!$A:$G,7,0)*1,0)</f>
        <v/>
      </c>
      <c r="AG14" s="29">
        <f>IFERROR(VLOOKUP(AA14,RULES!$A:$H,8,0)*1,0)</f>
        <v/>
      </c>
      <c r="AH14" s="29">
        <f>IFERROR(VLOOKUP(AA14,RULES!$A:$I,9,0)*1,0)</f>
        <v/>
      </c>
      <c r="AI14" s="29">
        <f>IFERROR(VLOOKUP(AA14,RULES!$A:$J,10,0)*1,0)</f>
        <v/>
      </c>
      <c r="AJ14" s="29">
        <f>IFERROR(IF(VLOOKUP(AA14,RULES!$A:$K,11,0)="",999999,VLOOKUP(AA14,RULES!$A:$K,11,0)*1),999999)</f>
        <v/>
      </c>
      <c r="AK14" s="29">
        <f>IFERROR(VLOOKUP(AA14,RULES!$A:$L,12,0)*1,0)</f>
        <v/>
      </c>
      <c r="AL14" s="29">
        <f>IFERROR(VLOOKUP(AA14,RULES!$A:$M,13,0),"NONE")</f>
        <v/>
      </c>
      <c r="AM14" s="29">
        <f>IFERROR(VLOOKUP(AA14,RULES!$A:$N,14,0)*1,0)</f>
        <v/>
      </c>
      <c r="AN14" s="29">
        <f>IFERROR(VLOOKUP(AA14,RULES!$A:$O,15,0)*1,0)</f>
        <v/>
      </c>
      <c r="AO14" s="29">
        <f>IF(N14&lt;&gt;"",N14,IFERROR(VLOOKUP(AA14,RULES!$A:$P,16,0),CONFIG!$B$8))</f>
        <v/>
      </c>
      <c r="AP14" s="29">
        <f>IF(IFERROR(VLOOKUP(AA14,RULES!$A:$Q,17,0),"")="",CONFIG!$B$13,VLOOKUP(AA14,RULES!$A:$Q,17,0))</f>
        <v/>
      </c>
      <c r="AQ14" s="29">
        <f>IF(IFERROR(VLOOKUP(AA14,RULES!$A:$R,18,0),"")="",CONFIG!$B$14,VLOOKUP(AA14,RULES!$A:$R,18,0))</f>
        <v/>
      </c>
      <c r="AR14" s="29">
        <f>IFERROR(VLOOKUP(AA14,RULES!$A:$S,19,0)*1,0)</f>
        <v/>
      </c>
      <c r="AS14" s="29">
        <f>IFERROR(VLOOKUP(AA14,RULES!$A:$T,20,0)*1,0)</f>
        <v/>
      </c>
      <c r="AT14" s="29">
        <f>IFERROR(VLOOKUP(AA14,RULES!$A:$U,21,0)*1,0)</f>
        <v/>
      </c>
      <c r="AU14" s="29">
        <f>IFERROR(VLOOKUP(AA14,RULES!$A:$V,22,0)*1,0)</f>
        <v/>
      </c>
      <c r="AV14" s="29">
        <f>IFERROR(VLOOKUP(AA14,RULES!$A:$W,23,0)*1,0)</f>
        <v/>
      </c>
      <c r="AW14" s="29">
        <f>IFERROR(IF(VLOOKUP(AA14,RULES!$A:$X,24,0)="",999999,VLOOKUP(AA14,RULES!$A:$X,24,0)*1),999999)</f>
        <v/>
      </c>
      <c r="AX14" s="29">
        <f>IFERROR(VLOOKUP(AA14,RULES!$A:$Y,25,0)*1,0)</f>
        <v/>
      </c>
      <c r="AY14" s="29">
        <f>IFERROR(VLOOKUP(AA14,RULES!$A:$Z,26,0),"NONE")</f>
        <v/>
      </c>
      <c r="AZ14" s="29">
        <f>IFERROR(VLOOKUP(AA14,RULES!$A:$AA,27,0)*1,0)</f>
        <v/>
      </c>
      <c r="BA14" s="29">
        <f>IFERROR(VLOOKUP(AA14,RULES!$A:$AB,28,0)*1,0)</f>
        <v/>
      </c>
    </row>
    <row r="15" ht="17" customHeight="1">
      <c r="A15" s="22" t="inlineStr">
        <is>
          <t>3212</t>
        </is>
      </c>
      <c r="B15" s="48" t="inlineStr">
        <is>
          <t>ACC002</t>
        </is>
      </c>
      <c r="C15" s="48" t="inlineStr">
        <is>
          <t>DEFAULT</t>
        </is>
      </c>
      <c r="D15" s="47" t="n"/>
      <c r="E15" s="22">
        <f>IF(OR(D15="",D15=0),"INACTIVE","ACTIVE")</f>
        <v/>
      </c>
      <c r="F15" s="48" t="inlineStr">
        <is>
          <t>NORMAL</t>
        </is>
      </c>
      <c r="G15" s="25" t="n"/>
      <c r="H15" s="25" t="n"/>
      <c r="I15" s="26">
        <f>IF(OR(E15="INACTIVE",H15=""),0,MAX(0,H15-G15))</f>
        <v/>
      </c>
      <c r="J15" s="23" t="n"/>
      <c r="K15" s="26">
        <f>IF(OR(E15="INACTIVE",H15=""),0,IF(AB15="DISABLED",0,IF(AB15="FLAT",AE15,IF(AB15="MANUAL",IF(J15="",0,J15*AC15),IF(AB15="STEP",IF(I15&lt;=AF15,I15*AG15,IF(I15&lt;=AH15,AF15*AG15+(I15-AF15)*AI15,AF15*AG15+(AH15-AF15)*AI15+(I15-AH15)*AK15)),MAX(I15*AC15,AD15))))))</f>
        <v/>
      </c>
      <c r="L15" s="26">
        <f>IF(OR(E15="INACTIVE",H15=""),0,IF(AL15="NONE",0,IF(AL15="FLAT",AM15,IF(AL15="PER_UNIT",I15*AN15,IF(AL15="MANUAL",IF(M15="",0,M15),0)))))</f>
        <v/>
      </c>
      <c r="M15" s="23" t="n"/>
      <c r="N15" s="48" t="inlineStr">
        <is>
          <t>NORMAL</t>
        </is>
      </c>
      <c r="O15" s="25" t="n"/>
      <c r="P15" s="25" t="n"/>
      <c r="Q15" s="26">
        <f>IF(OR(E15="INACTIVE",P15=""),0,MAX(0,P15-O15))</f>
        <v/>
      </c>
      <c r="R15" s="23" t="n"/>
      <c r="S15" s="26">
        <f>IF(OR(E15="INACTIVE",P15=""),0,IF(AO15="DISABLED",0,IF(AO15="FLAT",AR15,IF(AO15="MANUAL",IF(R15="",0,R15*AP15),IF(AO15="STEP",IF(Q15&lt;=AS15,Q15*AT15,IF(Q15&lt;=AU15,AS15*AT15+(Q15-AS15)*AV15,AS15*AT15+(AU15-AS15)*AV15+(Q15-AU15)*AX15)),MAX(Q15*AP15,AQ15))))))</f>
        <v/>
      </c>
      <c r="T15" s="26">
        <f>IF(OR(E15="INACTIVE",P15=""),0,IF(AY15="NONE",0,IF(AY15="FLAT",AZ15,IF(AY15="PER_UNIT",Q15*BA15,IF(AY15="MANUAL",IF(U15="",0,U15),0)))))</f>
        <v/>
      </c>
      <c r="U15" s="23" t="n"/>
      <c r="V15" s="25" t="n"/>
      <c r="W15" s="25" t="n"/>
      <c r="X15" s="26">
        <f>IF(E15="INACTIVE",0,D15+K15+L15+S15+T15+IF(V15="",0,V15)+IF(W15="",0,W15))</f>
        <v/>
      </c>
      <c r="Y15" s="27" t="n"/>
      <c r="Z15" s="28">
        <f>IF(E15="INACTIVE","_",IF(AND(G15&gt;0,H15&gt;0,H15&lt;G15),"[!]น้ำ reset ","")&amp;IF(AND(O15&gt;0,P15&gt;0,P15&lt;O15),"[!]ไฟ reset ","")&amp;IF(AND(F15="MANUAL",J15=""),"[X]units น้ำ ","")&amp;IF(AND(N15="MANUAL",R15=""),"[X]units ไฟ ","")&amp;IF(D15=0,"[!]ค่าเช่า=0",""))</f>
        <v/>
      </c>
      <c r="AA15" s="29">
        <f>IF(C15&lt;&gt;"",C15,CONFIG!$B$6)</f>
        <v/>
      </c>
      <c r="AB15" s="29">
        <f>IF(F15&lt;&gt;"",F15,IFERROR(VLOOKUP(AA15,RULES!$A:$C,3,0),CONFIG!$B$7))</f>
        <v/>
      </c>
      <c r="AC15" s="29">
        <f>IF(IFERROR(VLOOKUP(AA15,RULES!$A:$D,4,0),"")="",CONFIG!$B$10,VLOOKUP(AA15,RULES!$A:$D,4,0))</f>
        <v/>
      </c>
      <c r="AD15" s="29">
        <f>IF(IFERROR(VLOOKUP(AA15,RULES!$A:$E,5,0),"")="",CONFIG!$B$11,VLOOKUP(AA15,RULES!$A:$E,5,0))</f>
        <v/>
      </c>
      <c r="AE15" s="29">
        <f>IFERROR(VLOOKUP(AA15,RULES!$A:$F,6,0)*1,0)</f>
        <v/>
      </c>
      <c r="AF15" s="29">
        <f>IFERROR(VLOOKUP(AA15,RULES!$A:$G,7,0)*1,0)</f>
        <v/>
      </c>
      <c r="AG15" s="29">
        <f>IFERROR(VLOOKUP(AA15,RULES!$A:$H,8,0)*1,0)</f>
        <v/>
      </c>
      <c r="AH15" s="29">
        <f>IFERROR(VLOOKUP(AA15,RULES!$A:$I,9,0)*1,0)</f>
        <v/>
      </c>
      <c r="AI15" s="29">
        <f>IFERROR(VLOOKUP(AA15,RULES!$A:$J,10,0)*1,0)</f>
        <v/>
      </c>
      <c r="AJ15" s="29">
        <f>IFERROR(IF(VLOOKUP(AA15,RULES!$A:$K,11,0)="",999999,VLOOKUP(AA15,RULES!$A:$K,11,0)*1),999999)</f>
        <v/>
      </c>
      <c r="AK15" s="29">
        <f>IFERROR(VLOOKUP(AA15,RULES!$A:$L,12,0)*1,0)</f>
        <v/>
      </c>
      <c r="AL15" s="29">
        <f>IFERROR(VLOOKUP(AA15,RULES!$A:$M,13,0),"NONE")</f>
        <v/>
      </c>
      <c r="AM15" s="29">
        <f>IFERROR(VLOOKUP(AA15,RULES!$A:$N,14,0)*1,0)</f>
        <v/>
      </c>
      <c r="AN15" s="29">
        <f>IFERROR(VLOOKUP(AA15,RULES!$A:$O,15,0)*1,0)</f>
        <v/>
      </c>
      <c r="AO15" s="29">
        <f>IF(N15&lt;&gt;"",N15,IFERROR(VLOOKUP(AA15,RULES!$A:$P,16,0),CONFIG!$B$8))</f>
        <v/>
      </c>
      <c r="AP15" s="29">
        <f>IF(IFERROR(VLOOKUP(AA15,RULES!$A:$Q,17,0),"")="",CONFIG!$B$13,VLOOKUP(AA15,RULES!$A:$Q,17,0))</f>
        <v/>
      </c>
      <c r="AQ15" s="29">
        <f>IF(IFERROR(VLOOKUP(AA15,RULES!$A:$R,18,0),"")="",CONFIG!$B$14,VLOOKUP(AA15,RULES!$A:$R,18,0))</f>
        <v/>
      </c>
      <c r="AR15" s="29">
        <f>IFERROR(VLOOKUP(AA15,RULES!$A:$S,19,0)*1,0)</f>
        <v/>
      </c>
      <c r="AS15" s="29">
        <f>IFERROR(VLOOKUP(AA15,RULES!$A:$T,20,0)*1,0)</f>
        <v/>
      </c>
      <c r="AT15" s="29">
        <f>IFERROR(VLOOKUP(AA15,RULES!$A:$U,21,0)*1,0)</f>
        <v/>
      </c>
      <c r="AU15" s="29">
        <f>IFERROR(VLOOKUP(AA15,RULES!$A:$V,22,0)*1,0)</f>
        <v/>
      </c>
      <c r="AV15" s="29">
        <f>IFERROR(VLOOKUP(AA15,RULES!$A:$W,23,0)*1,0)</f>
        <v/>
      </c>
      <c r="AW15" s="29">
        <f>IFERROR(IF(VLOOKUP(AA15,RULES!$A:$X,24,0)="",999999,VLOOKUP(AA15,RULES!$A:$X,24,0)*1),999999)</f>
        <v/>
      </c>
      <c r="AX15" s="29">
        <f>IFERROR(VLOOKUP(AA15,RULES!$A:$Y,25,0)*1,0)</f>
        <v/>
      </c>
      <c r="AY15" s="29">
        <f>IFERROR(VLOOKUP(AA15,RULES!$A:$Z,26,0),"NONE")</f>
        <v/>
      </c>
      <c r="AZ15" s="29">
        <f>IFERROR(VLOOKUP(AA15,RULES!$A:$AA,27,0)*1,0)</f>
        <v/>
      </c>
      <c r="BA15" s="29">
        <f>IFERROR(VLOOKUP(AA15,RULES!$A:$AB,28,0)*1,0)</f>
        <v/>
      </c>
    </row>
    <row r="16" ht="17" customHeight="1">
      <c r="A16" s="22" t="inlineStr">
        <is>
          <t>3213</t>
        </is>
      </c>
      <c r="B16" s="48" t="inlineStr">
        <is>
          <t>ACC002</t>
        </is>
      </c>
      <c r="C16" s="48" t="inlineStr">
        <is>
          <t>DEFAULT</t>
        </is>
      </c>
      <c r="D16" s="47" t="n"/>
      <c r="E16" s="22">
        <f>IF(OR(D16="",D16=0),"INACTIVE","ACTIVE")</f>
        <v/>
      </c>
      <c r="F16" s="48" t="inlineStr">
        <is>
          <t>NORMAL</t>
        </is>
      </c>
      <c r="G16" s="25" t="n"/>
      <c r="H16" s="25" t="n"/>
      <c r="I16" s="26">
        <f>IF(OR(E16="INACTIVE",H16=""),0,MAX(0,H16-G16))</f>
        <v/>
      </c>
      <c r="J16" s="23" t="n"/>
      <c r="K16" s="26">
        <f>IF(OR(E16="INACTIVE",H16=""),0,IF(AB16="DISABLED",0,IF(AB16="FLAT",AE16,IF(AB16="MANUAL",IF(J16="",0,J16*AC16),IF(AB16="STEP",IF(I16&lt;=AF16,I16*AG16,IF(I16&lt;=AH16,AF16*AG16+(I16-AF16)*AI16,AF16*AG16+(AH16-AF16)*AI16+(I16-AH16)*AK16)),MAX(I16*AC16,AD16))))))</f>
        <v/>
      </c>
      <c r="L16" s="26">
        <f>IF(OR(E16="INACTIVE",H16=""),0,IF(AL16="NONE",0,IF(AL16="FLAT",AM16,IF(AL16="PER_UNIT",I16*AN16,IF(AL16="MANUAL",IF(M16="",0,M16),0)))))</f>
        <v/>
      </c>
      <c r="M16" s="23" t="n"/>
      <c r="N16" s="48" t="inlineStr">
        <is>
          <t>NORMAL</t>
        </is>
      </c>
      <c r="O16" s="25" t="n"/>
      <c r="P16" s="25" t="n"/>
      <c r="Q16" s="26">
        <f>IF(OR(E16="INACTIVE",P16=""),0,MAX(0,P16-O16))</f>
        <v/>
      </c>
      <c r="R16" s="23" t="n"/>
      <c r="S16" s="26">
        <f>IF(OR(E16="INACTIVE",P16=""),0,IF(AO16="DISABLED",0,IF(AO16="FLAT",AR16,IF(AO16="MANUAL",IF(R16="",0,R16*AP16),IF(AO16="STEP",IF(Q16&lt;=AS16,Q16*AT16,IF(Q16&lt;=AU16,AS16*AT16+(Q16-AS16)*AV16,AS16*AT16+(AU16-AS16)*AV16+(Q16-AU16)*AX16)),MAX(Q16*AP16,AQ16))))))</f>
        <v/>
      </c>
      <c r="T16" s="26">
        <f>IF(OR(E16="INACTIVE",P16=""),0,IF(AY16="NONE",0,IF(AY16="FLAT",AZ16,IF(AY16="PER_UNIT",Q16*BA16,IF(AY16="MANUAL",IF(U16="",0,U16),0)))))</f>
        <v/>
      </c>
      <c r="U16" s="23" t="n"/>
      <c r="V16" s="25" t="n"/>
      <c r="W16" s="25" t="n"/>
      <c r="X16" s="26">
        <f>IF(E16="INACTIVE",0,D16+K16+L16+S16+T16+IF(V16="",0,V16)+IF(W16="",0,W16))</f>
        <v/>
      </c>
      <c r="Y16" s="27" t="n"/>
      <c r="Z16" s="28">
        <f>IF(E16="INACTIVE","_",IF(AND(G16&gt;0,H16&gt;0,H16&lt;G16),"[!]น้ำ reset ","")&amp;IF(AND(O16&gt;0,P16&gt;0,P16&lt;O16),"[!]ไฟ reset ","")&amp;IF(AND(F16="MANUAL",J16=""),"[X]units น้ำ ","")&amp;IF(AND(N16="MANUAL",R16=""),"[X]units ไฟ ","")&amp;IF(D16=0,"[!]ค่าเช่า=0",""))</f>
        <v/>
      </c>
      <c r="AA16" s="29">
        <f>IF(C16&lt;&gt;"",C16,CONFIG!$B$6)</f>
        <v/>
      </c>
      <c r="AB16" s="29">
        <f>IF(F16&lt;&gt;"",F16,IFERROR(VLOOKUP(AA16,RULES!$A:$C,3,0),CONFIG!$B$7))</f>
        <v/>
      </c>
      <c r="AC16" s="29">
        <f>IF(IFERROR(VLOOKUP(AA16,RULES!$A:$D,4,0),"")="",CONFIG!$B$10,VLOOKUP(AA16,RULES!$A:$D,4,0))</f>
        <v/>
      </c>
      <c r="AD16" s="29">
        <f>IF(IFERROR(VLOOKUP(AA16,RULES!$A:$E,5,0),"")="",CONFIG!$B$11,VLOOKUP(AA16,RULES!$A:$E,5,0))</f>
        <v/>
      </c>
      <c r="AE16" s="29">
        <f>IFERROR(VLOOKUP(AA16,RULES!$A:$F,6,0)*1,0)</f>
        <v/>
      </c>
      <c r="AF16" s="29">
        <f>IFERROR(VLOOKUP(AA16,RULES!$A:$G,7,0)*1,0)</f>
        <v/>
      </c>
      <c r="AG16" s="29">
        <f>IFERROR(VLOOKUP(AA16,RULES!$A:$H,8,0)*1,0)</f>
        <v/>
      </c>
      <c r="AH16" s="29">
        <f>IFERROR(VLOOKUP(AA16,RULES!$A:$I,9,0)*1,0)</f>
        <v/>
      </c>
      <c r="AI16" s="29">
        <f>IFERROR(VLOOKUP(AA16,RULES!$A:$J,10,0)*1,0)</f>
        <v/>
      </c>
      <c r="AJ16" s="29">
        <f>IFERROR(IF(VLOOKUP(AA16,RULES!$A:$K,11,0)="",999999,VLOOKUP(AA16,RULES!$A:$K,11,0)*1),999999)</f>
        <v/>
      </c>
      <c r="AK16" s="29">
        <f>IFERROR(VLOOKUP(AA16,RULES!$A:$L,12,0)*1,0)</f>
        <v/>
      </c>
      <c r="AL16" s="29">
        <f>IFERROR(VLOOKUP(AA16,RULES!$A:$M,13,0),"NONE")</f>
        <v/>
      </c>
      <c r="AM16" s="29">
        <f>IFERROR(VLOOKUP(AA16,RULES!$A:$N,14,0)*1,0)</f>
        <v/>
      </c>
      <c r="AN16" s="29">
        <f>IFERROR(VLOOKUP(AA16,RULES!$A:$O,15,0)*1,0)</f>
        <v/>
      </c>
      <c r="AO16" s="29">
        <f>IF(N16&lt;&gt;"",N16,IFERROR(VLOOKUP(AA16,RULES!$A:$P,16,0),CONFIG!$B$8))</f>
        <v/>
      </c>
      <c r="AP16" s="29">
        <f>IF(IFERROR(VLOOKUP(AA16,RULES!$A:$Q,17,0),"")="",CONFIG!$B$13,VLOOKUP(AA16,RULES!$A:$Q,17,0))</f>
        <v/>
      </c>
      <c r="AQ16" s="29">
        <f>IF(IFERROR(VLOOKUP(AA16,RULES!$A:$R,18,0),"")="",CONFIG!$B$14,VLOOKUP(AA16,RULES!$A:$R,18,0))</f>
        <v/>
      </c>
      <c r="AR16" s="29">
        <f>IFERROR(VLOOKUP(AA16,RULES!$A:$S,19,0)*1,0)</f>
        <v/>
      </c>
      <c r="AS16" s="29">
        <f>IFERROR(VLOOKUP(AA16,RULES!$A:$T,20,0)*1,0)</f>
        <v/>
      </c>
      <c r="AT16" s="29">
        <f>IFERROR(VLOOKUP(AA16,RULES!$A:$U,21,0)*1,0)</f>
        <v/>
      </c>
      <c r="AU16" s="29">
        <f>IFERROR(VLOOKUP(AA16,RULES!$A:$V,22,0)*1,0)</f>
        <v/>
      </c>
      <c r="AV16" s="29">
        <f>IFERROR(VLOOKUP(AA16,RULES!$A:$W,23,0)*1,0)</f>
        <v/>
      </c>
      <c r="AW16" s="29">
        <f>IFERROR(IF(VLOOKUP(AA16,RULES!$A:$X,24,0)="",999999,VLOOKUP(AA16,RULES!$A:$X,24,0)*1),999999)</f>
        <v/>
      </c>
      <c r="AX16" s="29">
        <f>IFERROR(VLOOKUP(AA16,RULES!$A:$Y,25,0)*1,0)</f>
        <v/>
      </c>
      <c r="AY16" s="29">
        <f>IFERROR(VLOOKUP(AA16,RULES!$A:$Z,26,0),"NONE")</f>
        <v/>
      </c>
      <c r="AZ16" s="29">
        <f>IFERROR(VLOOKUP(AA16,RULES!$A:$AA,27,0)*1,0)</f>
        <v/>
      </c>
      <c r="BA16" s="29">
        <f>IFERROR(VLOOKUP(AA16,RULES!$A:$AB,28,0)*1,0)</f>
        <v/>
      </c>
    </row>
    <row r="17" ht="17" customHeight="1">
      <c r="A17" s="22" t="inlineStr">
        <is>
          <t>3214</t>
        </is>
      </c>
      <c r="B17" s="48" t="inlineStr">
        <is>
          <t>ACC002</t>
        </is>
      </c>
      <c r="C17" s="48" t="inlineStr">
        <is>
          <t>DEFAULT</t>
        </is>
      </c>
      <c r="D17" s="47" t="n"/>
      <c r="E17" s="22">
        <f>IF(OR(D17="",D17=0),"INACTIVE","ACTIVE")</f>
        <v/>
      </c>
      <c r="F17" s="48" t="inlineStr">
        <is>
          <t>NORMAL</t>
        </is>
      </c>
      <c r="G17" s="25" t="n"/>
      <c r="H17" s="25" t="n"/>
      <c r="I17" s="26">
        <f>IF(OR(E17="INACTIVE",H17=""),0,MAX(0,H17-G17))</f>
        <v/>
      </c>
      <c r="J17" s="23" t="n"/>
      <c r="K17" s="26">
        <f>IF(OR(E17="INACTIVE",H17=""),0,IF(AB17="DISABLED",0,IF(AB17="FLAT",AE17,IF(AB17="MANUAL",IF(J17="",0,J17*AC17),IF(AB17="STEP",IF(I17&lt;=AF17,I17*AG17,IF(I17&lt;=AH17,AF17*AG17+(I17-AF17)*AI17,AF17*AG17+(AH17-AF17)*AI17+(I17-AH17)*AK17)),MAX(I17*AC17,AD17))))))</f>
        <v/>
      </c>
      <c r="L17" s="26">
        <f>IF(OR(E17="INACTIVE",H17=""),0,IF(AL17="NONE",0,IF(AL17="FLAT",AM17,IF(AL17="PER_UNIT",I17*AN17,IF(AL17="MANUAL",IF(M17="",0,M17),0)))))</f>
        <v/>
      </c>
      <c r="M17" s="23" t="n"/>
      <c r="N17" s="48" t="inlineStr">
        <is>
          <t>NORMAL</t>
        </is>
      </c>
      <c r="O17" s="25" t="n"/>
      <c r="P17" s="25" t="n"/>
      <c r="Q17" s="26">
        <f>IF(OR(E17="INACTIVE",P17=""),0,MAX(0,P17-O17))</f>
        <v/>
      </c>
      <c r="R17" s="23" t="n"/>
      <c r="S17" s="26">
        <f>IF(OR(E17="INACTIVE",P17=""),0,IF(AO17="DISABLED",0,IF(AO17="FLAT",AR17,IF(AO17="MANUAL",IF(R17="",0,R17*AP17),IF(AO17="STEP",IF(Q17&lt;=AS17,Q17*AT17,IF(Q17&lt;=AU17,AS17*AT17+(Q17-AS17)*AV17,AS17*AT17+(AU17-AS17)*AV17+(Q17-AU17)*AX17)),MAX(Q17*AP17,AQ17))))))</f>
        <v/>
      </c>
      <c r="T17" s="26">
        <f>IF(OR(E17="INACTIVE",P17=""),0,IF(AY17="NONE",0,IF(AY17="FLAT",AZ17,IF(AY17="PER_UNIT",Q17*BA17,IF(AY17="MANUAL",IF(U17="",0,U17),0)))))</f>
        <v/>
      </c>
      <c r="U17" s="23" t="n"/>
      <c r="V17" s="25" t="n"/>
      <c r="W17" s="25" t="n"/>
      <c r="X17" s="26">
        <f>IF(E17="INACTIVE",0,D17+K17+L17+S17+T17+IF(V17="",0,V17)+IF(W17="",0,W17))</f>
        <v/>
      </c>
      <c r="Y17" s="27" t="n"/>
      <c r="Z17" s="28">
        <f>IF(E17="INACTIVE","_",IF(AND(G17&gt;0,H17&gt;0,H17&lt;G17),"[!]น้ำ reset ","")&amp;IF(AND(O17&gt;0,P17&gt;0,P17&lt;O17),"[!]ไฟ reset ","")&amp;IF(AND(F17="MANUAL",J17=""),"[X]units น้ำ ","")&amp;IF(AND(N17="MANUAL",R17=""),"[X]units ไฟ ","")&amp;IF(D17=0,"[!]ค่าเช่า=0",""))</f>
        <v/>
      </c>
      <c r="AA17" s="29">
        <f>IF(C17&lt;&gt;"",C17,CONFIG!$B$6)</f>
        <v/>
      </c>
      <c r="AB17" s="29">
        <f>IF(F17&lt;&gt;"",F17,IFERROR(VLOOKUP(AA17,RULES!$A:$C,3,0),CONFIG!$B$7))</f>
        <v/>
      </c>
      <c r="AC17" s="29">
        <f>IF(IFERROR(VLOOKUP(AA17,RULES!$A:$D,4,0),"")="",CONFIG!$B$10,VLOOKUP(AA17,RULES!$A:$D,4,0))</f>
        <v/>
      </c>
      <c r="AD17" s="29">
        <f>IF(IFERROR(VLOOKUP(AA17,RULES!$A:$E,5,0),"")="",CONFIG!$B$11,VLOOKUP(AA17,RULES!$A:$E,5,0))</f>
        <v/>
      </c>
      <c r="AE17" s="29">
        <f>IFERROR(VLOOKUP(AA17,RULES!$A:$F,6,0)*1,0)</f>
        <v/>
      </c>
      <c r="AF17" s="29">
        <f>IFERROR(VLOOKUP(AA17,RULES!$A:$G,7,0)*1,0)</f>
        <v/>
      </c>
      <c r="AG17" s="29">
        <f>IFERROR(VLOOKUP(AA17,RULES!$A:$H,8,0)*1,0)</f>
        <v/>
      </c>
      <c r="AH17" s="29">
        <f>IFERROR(VLOOKUP(AA17,RULES!$A:$I,9,0)*1,0)</f>
        <v/>
      </c>
      <c r="AI17" s="29">
        <f>IFERROR(VLOOKUP(AA17,RULES!$A:$J,10,0)*1,0)</f>
        <v/>
      </c>
      <c r="AJ17" s="29">
        <f>IFERROR(IF(VLOOKUP(AA17,RULES!$A:$K,11,0)="",999999,VLOOKUP(AA17,RULES!$A:$K,11,0)*1),999999)</f>
        <v/>
      </c>
      <c r="AK17" s="29">
        <f>IFERROR(VLOOKUP(AA17,RULES!$A:$L,12,0)*1,0)</f>
        <v/>
      </c>
      <c r="AL17" s="29">
        <f>IFERROR(VLOOKUP(AA17,RULES!$A:$M,13,0),"NONE")</f>
        <v/>
      </c>
      <c r="AM17" s="29">
        <f>IFERROR(VLOOKUP(AA17,RULES!$A:$N,14,0)*1,0)</f>
        <v/>
      </c>
      <c r="AN17" s="29">
        <f>IFERROR(VLOOKUP(AA17,RULES!$A:$O,15,0)*1,0)</f>
        <v/>
      </c>
      <c r="AO17" s="29">
        <f>IF(N17&lt;&gt;"",N17,IFERROR(VLOOKUP(AA17,RULES!$A:$P,16,0),CONFIG!$B$8))</f>
        <v/>
      </c>
      <c r="AP17" s="29">
        <f>IF(IFERROR(VLOOKUP(AA17,RULES!$A:$Q,17,0),"")="",CONFIG!$B$13,VLOOKUP(AA17,RULES!$A:$Q,17,0))</f>
        <v/>
      </c>
      <c r="AQ17" s="29">
        <f>IF(IFERROR(VLOOKUP(AA17,RULES!$A:$R,18,0),"")="",CONFIG!$B$14,VLOOKUP(AA17,RULES!$A:$R,18,0))</f>
        <v/>
      </c>
      <c r="AR17" s="29">
        <f>IFERROR(VLOOKUP(AA17,RULES!$A:$S,19,0)*1,0)</f>
        <v/>
      </c>
      <c r="AS17" s="29">
        <f>IFERROR(VLOOKUP(AA17,RULES!$A:$T,20,0)*1,0)</f>
        <v/>
      </c>
      <c r="AT17" s="29">
        <f>IFERROR(VLOOKUP(AA17,RULES!$A:$U,21,0)*1,0)</f>
        <v/>
      </c>
      <c r="AU17" s="29">
        <f>IFERROR(VLOOKUP(AA17,RULES!$A:$V,22,0)*1,0)</f>
        <v/>
      </c>
      <c r="AV17" s="29">
        <f>IFERROR(VLOOKUP(AA17,RULES!$A:$W,23,0)*1,0)</f>
        <v/>
      </c>
      <c r="AW17" s="29">
        <f>IFERROR(IF(VLOOKUP(AA17,RULES!$A:$X,24,0)="",999999,VLOOKUP(AA17,RULES!$A:$X,24,0)*1),999999)</f>
        <v/>
      </c>
      <c r="AX17" s="29">
        <f>IFERROR(VLOOKUP(AA17,RULES!$A:$Y,25,0)*1,0)</f>
        <v/>
      </c>
      <c r="AY17" s="29">
        <f>IFERROR(VLOOKUP(AA17,RULES!$A:$Z,26,0),"NONE")</f>
        <v/>
      </c>
      <c r="AZ17" s="29">
        <f>IFERROR(VLOOKUP(AA17,RULES!$A:$AA,27,0)*1,0)</f>
        <v/>
      </c>
      <c r="BA17" s="29">
        <f>IFERROR(VLOOKUP(AA17,RULES!$A:$AB,28,0)*1,0)</f>
        <v/>
      </c>
    </row>
    <row r="18" ht="17" customHeight="1">
      <c r="A18" s="22" t="inlineStr">
        <is>
          <t>3215</t>
        </is>
      </c>
      <c r="B18" s="48" t="inlineStr">
        <is>
          <t>ACC002</t>
        </is>
      </c>
      <c r="C18" s="48" t="inlineStr">
        <is>
          <t>DEFAULT</t>
        </is>
      </c>
      <c r="D18" s="47" t="n"/>
      <c r="E18" s="22">
        <f>IF(OR(D18="",D18=0),"INACTIVE","ACTIVE")</f>
        <v/>
      </c>
      <c r="F18" s="48" t="inlineStr">
        <is>
          <t>NORMAL</t>
        </is>
      </c>
      <c r="G18" s="25" t="n"/>
      <c r="H18" s="25" t="n"/>
      <c r="I18" s="26">
        <f>IF(OR(E18="INACTIVE",H18=""),0,MAX(0,H18-G18))</f>
        <v/>
      </c>
      <c r="J18" s="23" t="n"/>
      <c r="K18" s="26">
        <f>IF(OR(E18="INACTIVE",H18=""),0,IF(AB18="DISABLED",0,IF(AB18="FLAT",AE18,IF(AB18="MANUAL",IF(J18="",0,J18*AC18),IF(AB18="STEP",IF(I18&lt;=AF18,I18*AG18,IF(I18&lt;=AH18,AF18*AG18+(I18-AF18)*AI18,AF18*AG18+(AH18-AF18)*AI18+(I18-AH18)*AK18)),MAX(I18*AC18,AD18))))))</f>
        <v/>
      </c>
      <c r="L18" s="26">
        <f>IF(OR(E18="INACTIVE",H18=""),0,IF(AL18="NONE",0,IF(AL18="FLAT",AM18,IF(AL18="PER_UNIT",I18*AN18,IF(AL18="MANUAL",IF(M18="",0,M18),0)))))</f>
        <v/>
      </c>
      <c r="M18" s="23" t="n"/>
      <c r="N18" s="48" t="inlineStr">
        <is>
          <t>NORMAL</t>
        </is>
      </c>
      <c r="O18" s="25" t="n"/>
      <c r="P18" s="25" t="n"/>
      <c r="Q18" s="26">
        <f>IF(OR(E18="INACTIVE",P18=""),0,MAX(0,P18-O18))</f>
        <v/>
      </c>
      <c r="R18" s="23" t="n"/>
      <c r="S18" s="26">
        <f>IF(OR(E18="INACTIVE",P18=""),0,IF(AO18="DISABLED",0,IF(AO18="FLAT",AR18,IF(AO18="MANUAL",IF(R18="",0,R18*AP18),IF(AO18="STEP",IF(Q18&lt;=AS18,Q18*AT18,IF(Q18&lt;=AU18,AS18*AT18+(Q18-AS18)*AV18,AS18*AT18+(AU18-AS18)*AV18+(Q18-AU18)*AX18)),MAX(Q18*AP18,AQ18))))))</f>
        <v/>
      </c>
      <c r="T18" s="26">
        <f>IF(OR(E18="INACTIVE",P18=""),0,IF(AY18="NONE",0,IF(AY18="FLAT",AZ18,IF(AY18="PER_UNIT",Q18*BA18,IF(AY18="MANUAL",IF(U18="",0,U18),0)))))</f>
        <v/>
      </c>
      <c r="U18" s="23" t="n"/>
      <c r="V18" s="25" t="n"/>
      <c r="W18" s="25" t="n"/>
      <c r="X18" s="26">
        <f>IF(E18="INACTIVE",0,D18+K18+L18+S18+T18+IF(V18="",0,V18)+IF(W18="",0,W18))</f>
        <v/>
      </c>
      <c r="Y18" s="27" t="n"/>
      <c r="Z18" s="28">
        <f>IF(E18="INACTIVE","_",IF(AND(G18&gt;0,H18&gt;0,H18&lt;G18),"[!]น้ำ reset ","")&amp;IF(AND(O18&gt;0,P18&gt;0,P18&lt;O18),"[!]ไฟ reset ","")&amp;IF(AND(F18="MANUAL",J18=""),"[X]units น้ำ ","")&amp;IF(AND(N18="MANUAL",R18=""),"[X]units ไฟ ","")&amp;IF(D18=0,"[!]ค่าเช่า=0",""))</f>
        <v/>
      </c>
      <c r="AA18" s="29">
        <f>IF(C18&lt;&gt;"",C18,CONFIG!$B$6)</f>
        <v/>
      </c>
      <c r="AB18" s="29">
        <f>IF(F18&lt;&gt;"",F18,IFERROR(VLOOKUP(AA18,RULES!$A:$C,3,0),CONFIG!$B$7))</f>
        <v/>
      </c>
      <c r="AC18" s="29">
        <f>IF(IFERROR(VLOOKUP(AA18,RULES!$A:$D,4,0),"")="",CONFIG!$B$10,VLOOKUP(AA18,RULES!$A:$D,4,0))</f>
        <v/>
      </c>
      <c r="AD18" s="29">
        <f>IF(IFERROR(VLOOKUP(AA18,RULES!$A:$E,5,0),"")="",CONFIG!$B$11,VLOOKUP(AA18,RULES!$A:$E,5,0))</f>
        <v/>
      </c>
      <c r="AE18" s="29">
        <f>IFERROR(VLOOKUP(AA18,RULES!$A:$F,6,0)*1,0)</f>
        <v/>
      </c>
      <c r="AF18" s="29">
        <f>IFERROR(VLOOKUP(AA18,RULES!$A:$G,7,0)*1,0)</f>
        <v/>
      </c>
      <c r="AG18" s="29">
        <f>IFERROR(VLOOKUP(AA18,RULES!$A:$H,8,0)*1,0)</f>
        <v/>
      </c>
      <c r="AH18" s="29">
        <f>IFERROR(VLOOKUP(AA18,RULES!$A:$I,9,0)*1,0)</f>
        <v/>
      </c>
      <c r="AI18" s="29">
        <f>IFERROR(VLOOKUP(AA18,RULES!$A:$J,10,0)*1,0)</f>
        <v/>
      </c>
      <c r="AJ18" s="29">
        <f>IFERROR(IF(VLOOKUP(AA18,RULES!$A:$K,11,0)="",999999,VLOOKUP(AA18,RULES!$A:$K,11,0)*1),999999)</f>
        <v/>
      </c>
      <c r="AK18" s="29">
        <f>IFERROR(VLOOKUP(AA18,RULES!$A:$L,12,0)*1,0)</f>
        <v/>
      </c>
      <c r="AL18" s="29">
        <f>IFERROR(VLOOKUP(AA18,RULES!$A:$M,13,0),"NONE")</f>
        <v/>
      </c>
      <c r="AM18" s="29">
        <f>IFERROR(VLOOKUP(AA18,RULES!$A:$N,14,0)*1,0)</f>
        <v/>
      </c>
      <c r="AN18" s="29">
        <f>IFERROR(VLOOKUP(AA18,RULES!$A:$O,15,0)*1,0)</f>
        <v/>
      </c>
      <c r="AO18" s="29">
        <f>IF(N18&lt;&gt;"",N18,IFERROR(VLOOKUP(AA18,RULES!$A:$P,16,0),CONFIG!$B$8))</f>
        <v/>
      </c>
      <c r="AP18" s="29">
        <f>IF(IFERROR(VLOOKUP(AA18,RULES!$A:$Q,17,0),"")="",CONFIG!$B$13,VLOOKUP(AA18,RULES!$A:$Q,17,0))</f>
        <v/>
      </c>
      <c r="AQ18" s="29">
        <f>IF(IFERROR(VLOOKUP(AA18,RULES!$A:$R,18,0),"")="",CONFIG!$B$14,VLOOKUP(AA18,RULES!$A:$R,18,0))</f>
        <v/>
      </c>
      <c r="AR18" s="29">
        <f>IFERROR(VLOOKUP(AA18,RULES!$A:$S,19,0)*1,0)</f>
        <v/>
      </c>
      <c r="AS18" s="29">
        <f>IFERROR(VLOOKUP(AA18,RULES!$A:$T,20,0)*1,0)</f>
        <v/>
      </c>
      <c r="AT18" s="29">
        <f>IFERROR(VLOOKUP(AA18,RULES!$A:$U,21,0)*1,0)</f>
        <v/>
      </c>
      <c r="AU18" s="29">
        <f>IFERROR(VLOOKUP(AA18,RULES!$A:$V,22,0)*1,0)</f>
        <v/>
      </c>
      <c r="AV18" s="29">
        <f>IFERROR(VLOOKUP(AA18,RULES!$A:$W,23,0)*1,0)</f>
        <v/>
      </c>
      <c r="AW18" s="29">
        <f>IFERROR(IF(VLOOKUP(AA18,RULES!$A:$X,24,0)="",999999,VLOOKUP(AA18,RULES!$A:$X,24,0)*1),999999)</f>
        <v/>
      </c>
      <c r="AX18" s="29">
        <f>IFERROR(VLOOKUP(AA18,RULES!$A:$Y,25,0)*1,0)</f>
        <v/>
      </c>
      <c r="AY18" s="29">
        <f>IFERROR(VLOOKUP(AA18,RULES!$A:$Z,26,0),"NONE")</f>
        <v/>
      </c>
      <c r="AZ18" s="29">
        <f>IFERROR(VLOOKUP(AA18,RULES!$A:$AA,27,0)*1,0)</f>
        <v/>
      </c>
      <c r="BA18" s="29">
        <f>IFERROR(VLOOKUP(AA18,RULES!$A:$AB,28,0)*1,0)</f>
        <v/>
      </c>
    </row>
    <row r="19" ht="17" customHeight="1">
      <c r="A19" s="22" t="inlineStr">
        <is>
          <t>3216</t>
        </is>
      </c>
      <c r="B19" s="48" t="inlineStr">
        <is>
          <t>ACC002</t>
        </is>
      </c>
      <c r="C19" s="48" t="inlineStr">
        <is>
          <t>DEFAULT</t>
        </is>
      </c>
      <c r="D19" s="47" t="n"/>
      <c r="E19" s="22">
        <f>IF(OR(D19="",D19=0),"INACTIVE","ACTIVE")</f>
        <v/>
      </c>
      <c r="F19" s="48" t="inlineStr">
        <is>
          <t>NORMAL</t>
        </is>
      </c>
      <c r="G19" s="25" t="n"/>
      <c r="H19" s="25" t="n"/>
      <c r="I19" s="26">
        <f>IF(OR(E19="INACTIVE",H19=""),0,MAX(0,H19-G19))</f>
        <v/>
      </c>
      <c r="J19" s="23" t="n"/>
      <c r="K19" s="26">
        <f>IF(OR(E19="INACTIVE",H19=""),0,IF(AB19="DISABLED",0,IF(AB19="FLAT",AE19,IF(AB19="MANUAL",IF(J19="",0,J19*AC19),IF(AB19="STEP",IF(I19&lt;=AF19,I19*AG19,IF(I19&lt;=AH19,AF19*AG19+(I19-AF19)*AI19,AF19*AG19+(AH19-AF19)*AI19+(I19-AH19)*AK19)),MAX(I19*AC19,AD19))))))</f>
        <v/>
      </c>
      <c r="L19" s="26">
        <f>IF(OR(E19="INACTIVE",H19=""),0,IF(AL19="NONE",0,IF(AL19="FLAT",AM19,IF(AL19="PER_UNIT",I19*AN19,IF(AL19="MANUAL",IF(M19="",0,M19),0)))))</f>
        <v/>
      </c>
      <c r="M19" s="23" t="n"/>
      <c r="N19" s="48" t="inlineStr">
        <is>
          <t>NORMAL</t>
        </is>
      </c>
      <c r="O19" s="25" t="n"/>
      <c r="P19" s="25" t="n"/>
      <c r="Q19" s="26">
        <f>IF(OR(E19="INACTIVE",P19=""),0,MAX(0,P19-O19))</f>
        <v/>
      </c>
      <c r="R19" s="23" t="n"/>
      <c r="S19" s="26">
        <f>IF(OR(E19="INACTIVE",P19=""),0,IF(AO19="DISABLED",0,IF(AO19="FLAT",AR19,IF(AO19="MANUAL",IF(R19="",0,R19*AP19),IF(AO19="STEP",IF(Q19&lt;=AS19,Q19*AT19,IF(Q19&lt;=AU19,AS19*AT19+(Q19-AS19)*AV19,AS19*AT19+(AU19-AS19)*AV19+(Q19-AU19)*AX19)),MAX(Q19*AP19,AQ19))))))</f>
        <v/>
      </c>
      <c r="T19" s="26">
        <f>IF(OR(E19="INACTIVE",P19=""),0,IF(AY19="NONE",0,IF(AY19="FLAT",AZ19,IF(AY19="PER_UNIT",Q19*BA19,IF(AY19="MANUAL",IF(U19="",0,U19),0)))))</f>
        <v/>
      </c>
      <c r="U19" s="23" t="n"/>
      <c r="V19" s="25" t="n"/>
      <c r="W19" s="25" t="n"/>
      <c r="X19" s="26">
        <f>IF(E19="INACTIVE",0,D19+K19+L19+S19+T19+IF(V19="",0,V19)+IF(W19="",0,W19))</f>
        <v/>
      </c>
      <c r="Y19" s="27" t="n"/>
      <c r="Z19" s="28">
        <f>IF(E19="INACTIVE","_",IF(AND(G19&gt;0,H19&gt;0,H19&lt;G19),"[!]น้ำ reset ","")&amp;IF(AND(O19&gt;0,P19&gt;0,P19&lt;O19),"[!]ไฟ reset ","")&amp;IF(AND(F19="MANUAL",J19=""),"[X]units น้ำ ","")&amp;IF(AND(N19="MANUAL",R19=""),"[X]units ไฟ ","")&amp;IF(D19=0,"[!]ค่าเช่า=0",""))</f>
        <v/>
      </c>
      <c r="AA19" s="29">
        <f>IF(C19&lt;&gt;"",C19,CONFIG!$B$6)</f>
        <v/>
      </c>
      <c r="AB19" s="29">
        <f>IF(F19&lt;&gt;"",F19,IFERROR(VLOOKUP(AA19,RULES!$A:$C,3,0),CONFIG!$B$7))</f>
        <v/>
      </c>
      <c r="AC19" s="29">
        <f>IF(IFERROR(VLOOKUP(AA19,RULES!$A:$D,4,0),"")="",CONFIG!$B$10,VLOOKUP(AA19,RULES!$A:$D,4,0))</f>
        <v/>
      </c>
      <c r="AD19" s="29">
        <f>IF(IFERROR(VLOOKUP(AA19,RULES!$A:$E,5,0),"")="",CONFIG!$B$11,VLOOKUP(AA19,RULES!$A:$E,5,0))</f>
        <v/>
      </c>
      <c r="AE19" s="29">
        <f>IFERROR(VLOOKUP(AA19,RULES!$A:$F,6,0)*1,0)</f>
        <v/>
      </c>
      <c r="AF19" s="29">
        <f>IFERROR(VLOOKUP(AA19,RULES!$A:$G,7,0)*1,0)</f>
        <v/>
      </c>
      <c r="AG19" s="29">
        <f>IFERROR(VLOOKUP(AA19,RULES!$A:$H,8,0)*1,0)</f>
        <v/>
      </c>
      <c r="AH19" s="29">
        <f>IFERROR(VLOOKUP(AA19,RULES!$A:$I,9,0)*1,0)</f>
        <v/>
      </c>
      <c r="AI19" s="29">
        <f>IFERROR(VLOOKUP(AA19,RULES!$A:$J,10,0)*1,0)</f>
        <v/>
      </c>
      <c r="AJ19" s="29">
        <f>IFERROR(IF(VLOOKUP(AA19,RULES!$A:$K,11,0)="",999999,VLOOKUP(AA19,RULES!$A:$K,11,0)*1),999999)</f>
        <v/>
      </c>
      <c r="AK19" s="29">
        <f>IFERROR(VLOOKUP(AA19,RULES!$A:$L,12,0)*1,0)</f>
        <v/>
      </c>
      <c r="AL19" s="29">
        <f>IFERROR(VLOOKUP(AA19,RULES!$A:$M,13,0),"NONE")</f>
        <v/>
      </c>
      <c r="AM19" s="29">
        <f>IFERROR(VLOOKUP(AA19,RULES!$A:$N,14,0)*1,0)</f>
        <v/>
      </c>
      <c r="AN19" s="29">
        <f>IFERROR(VLOOKUP(AA19,RULES!$A:$O,15,0)*1,0)</f>
        <v/>
      </c>
      <c r="AO19" s="29">
        <f>IF(N19&lt;&gt;"",N19,IFERROR(VLOOKUP(AA19,RULES!$A:$P,16,0),CONFIG!$B$8))</f>
        <v/>
      </c>
      <c r="AP19" s="29">
        <f>IF(IFERROR(VLOOKUP(AA19,RULES!$A:$Q,17,0),"")="",CONFIG!$B$13,VLOOKUP(AA19,RULES!$A:$Q,17,0))</f>
        <v/>
      </c>
      <c r="AQ19" s="29">
        <f>IF(IFERROR(VLOOKUP(AA19,RULES!$A:$R,18,0),"")="",CONFIG!$B$14,VLOOKUP(AA19,RULES!$A:$R,18,0))</f>
        <v/>
      </c>
      <c r="AR19" s="29">
        <f>IFERROR(VLOOKUP(AA19,RULES!$A:$S,19,0)*1,0)</f>
        <v/>
      </c>
      <c r="AS19" s="29">
        <f>IFERROR(VLOOKUP(AA19,RULES!$A:$T,20,0)*1,0)</f>
        <v/>
      </c>
      <c r="AT19" s="29">
        <f>IFERROR(VLOOKUP(AA19,RULES!$A:$U,21,0)*1,0)</f>
        <v/>
      </c>
      <c r="AU19" s="29">
        <f>IFERROR(VLOOKUP(AA19,RULES!$A:$V,22,0)*1,0)</f>
        <v/>
      </c>
      <c r="AV19" s="29">
        <f>IFERROR(VLOOKUP(AA19,RULES!$A:$W,23,0)*1,0)</f>
        <v/>
      </c>
      <c r="AW19" s="29">
        <f>IFERROR(IF(VLOOKUP(AA19,RULES!$A:$X,24,0)="",999999,VLOOKUP(AA19,RULES!$A:$X,24,0)*1),999999)</f>
        <v/>
      </c>
      <c r="AX19" s="29">
        <f>IFERROR(VLOOKUP(AA19,RULES!$A:$Y,25,0)*1,0)</f>
        <v/>
      </c>
      <c r="AY19" s="29">
        <f>IFERROR(VLOOKUP(AA19,RULES!$A:$Z,26,0),"NONE")</f>
        <v/>
      </c>
      <c r="AZ19" s="29">
        <f>IFERROR(VLOOKUP(AA19,RULES!$A:$AA,27,0)*1,0)</f>
        <v/>
      </c>
      <c r="BA19" s="29">
        <f>IFERROR(VLOOKUP(AA19,RULES!$A:$AB,28,0)*1,0)</f>
        <v/>
      </c>
    </row>
    <row r="20" ht="17" customHeight="1">
      <c r="A20" s="22" t="inlineStr">
        <is>
          <t>3217</t>
        </is>
      </c>
      <c r="B20" s="48" t="inlineStr">
        <is>
          <t>ACC002</t>
        </is>
      </c>
      <c r="C20" s="48" t="inlineStr">
        <is>
          <t>DEFAULT</t>
        </is>
      </c>
      <c r="D20" s="47" t="n"/>
      <c r="E20" s="22">
        <f>IF(OR(D20="",D20=0),"INACTIVE","ACTIVE")</f>
        <v/>
      </c>
      <c r="F20" s="48" t="inlineStr">
        <is>
          <t>NORMAL</t>
        </is>
      </c>
      <c r="G20" s="25" t="n"/>
      <c r="H20" s="25" t="n"/>
      <c r="I20" s="26">
        <f>IF(OR(E20="INACTIVE",H20=""),0,MAX(0,H20-G20))</f>
        <v/>
      </c>
      <c r="J20" s="23" t="n"/>
      <c r="K20" s="26">
        <f>IF(OR(E20="INACTIVE",H20=""),0,IF(AB20="DISABLED",0,IF(AB20="FLAT",AE20,IF(AB20="MANUAL",IF(J20="",0,J20*AC20),IF(AB20="STEP",IF(I20&lt;=AF20,I20*AG20,IF(I20&lt;=AH20,AF20*AG20+(I20-AF20)*AI20,AF20*AG20+(AH20-AF20)*AI20+(I20-AH20)*AK20)),MAX(I20*AC20,AD20))))))</f>
        <v/>
      </c>
      <c r="L20" s="26">
        <f>IF(OR(E20="INACTIVE",H20=""),0,IF(AL20="NONE",0,IF(AL20="FLAT",AM20,IF(AL20="PER_UNIT",I20*AN20,IF(AL20="MANUAL",IF(M20="",0,M20),0)))))</f>
        <v/>
      </c>
      <c r="M20" s="23" t="n"/>
      <c r="N20" s="48" t="inlineStr">
        <is>
          <t>NORMAL</t>
        </is>
      </c>
      <c r="O20" s="25" t="n"/>
      <c r="P20" s="25" t="n"/>
      <c r="Q20" s="26">
        <f>IF(OR(E20="INACTIVE",P20=""),0,MAX(0,P20-O20))</f>
        <v/>
      </c>
      <c r="R20" s="23" t="n"/>
      <c r="S20" s="26">
        <f>IF(OR(E20="INACTIVE",P20=""),0,IF(AO20="DISABLED",0,IF(AO20="FLAT",AR20,IF(AO20="MANUAL",IF(R20="",0,R20*AP20),IF(AO20="STEP",IF(Q20&lt;=AS20,Q20*AT20,IF(Q20&lt;=AU20,AS20*AT20+(Q20-AS20)*AV20,AS20*AT20+(AU20-AS20)*AV20+(Q20-AU20)*AX20)),MAX(Q20*AP20,AQ20))))))</f>
        <v/>
      </c>
      <c r="T20" s="26">
        <f>IF(OR(E20="INACTIVE",P20=""),0,IF(AY20="NONE",0,IF(AY20="FLAT",AZ20,IF(AY20="PER_UNIT",Q20*BA20,IF(AY20="MANUAL",IF(U20="",0,U20),0)))))</f>
        <v/>
      </c>
      <c r="U20" s="23" t="n"/>
      <c r="V20" s="25" t="n"/>
      <c r="W20" s="25" t="n"/>
      <c r="X20" s="26">
        <f>IF(E20="INACTIVE",0,D20+K20+L20+S20+T20+IF(V20="",0,V20)+IF(W20="",0,W20))</f>
        <v/>
      </c>
      <c r="Y20" s="27" t="n"/>
      <c r="Z20" s="28">
        <f>IF(E20="INACTIVE","_",IF(AND(G20&gt;0,H20&gt;0,H20&lt;G20),"[!]น้ำ reset ","")&amp;IF(AND(O20&gt;0,P20&gt;0,P20&lt;O20),"[!]ไฟ reset ","")&amp;IF(AND(F20="MANUAL",J20=""),"[X]units น้ำ ","")&amp;IF(AND(N20="MANUAL",R20=""),"[X]units ไฟ ","")&amp;IF(D20=0,"[!]ค่าเช่า=0",""))</f>
        <v/>
      </c>
      <c r="AA20" s="29">
        <f>IF(C20&lt;&gt;"",C20,CONFIG!$B$6)</f>
        <v/>
      </c>
      <c r="AB20" s="29">
        <f>IF(F20&lt;&gt;"",F20,IFERROR(VLOOKUP(AA20,RULES!$A:$C,3,0),CONFIG!$B$7))</f>
        <v/>
      </c>
      <c r="AC20" s="29">
        <f>IF(IFERROR(VLOOKUP(AA20,RULES!$A:$D,4,0),"")="",CONFIG!$B$10,VLOOKUP(AA20,RULES!$A:$D,4,0))</f>
        <v/>
      </c>
      <c r="AD20" s="29">
        <f>IF(IFERROR(VLOOKUP(AA20,RULES!$A:$E,5,0),"")="",CONFIG!$B$11,VLOOKUP(AA20,RULES!$A:$E,5,0))</f>
        <v/>
      </c>
      <c r="AE20" s="29">
        <f>IFERROR(VLOOKUP(AA20,RULES!$A:$F,6,0)*1,0)</f>
        <v/>
      </c>
      <c r="AF20" s="29">
        <f>IFERROR(VLOOKUP(AA20,RULES!$A:$G,7,0)*1,0)</f>
        <v/>
      </c>
      <c r="AG20" s="29">
        <f>IFERROR(VLOOKUP(AA20,RULES!$A:$H,8,0)*1,0)</f>
        <v/>
      </c>
      <c r="AH20" s="29">
        <f>IFERROR(VLOOKUP(AA20,RULES!$A:$I,9,0)*1,0)</f>
        <v/>
      </c>
      <c r="AI20" s="29">
        <f>IFERROR(VLOOKUP(AA20,RULES!$A:$J,10,0)*1,0)</f>
        <v/>
      </c>
      <c r="AJ20" s="29">
        <f>IFERROR(IF(VLOOKUP(AA20,RULES!$A:$K,11,0)="",999999,VLOOKUP(AA20,RULES!$A:$K,11,0)*1),999999)</f>
        <v/>
      </c>
      <c r="AK20" s="29">
        <f>IFERROR(VLOOKUP(AA20,RULES!$A:$L,12,0)*1,0)</f>
        <v/>
      </c>
      <c r="AL20" s="29">
        <f>IFERROR(VLOOKUP(AA20,RULES!$A:$M,13,0),"NONE")</f>
        <v/>
      </c>
      <c r="AM20" s="29">
        <f>IFERROR(VLOOKUP(AA20,RULES!$A:$N,14,0)*1,0)</f>
        <v/>
      </c>
      <c r="AN20" s="29">
        <f>IFERROR(VLOOKUP(AA20,RULES!$A:$O,15,0)*1,0)</f>
        <v/>
      </c>
      <c r="AO20" s="29">
        <f>IF(N20&lt;&gt;"",N20,IFERROR(VLOOKUP(AA20,RULES!$A:$P,16,0),CONFIG!$B$8))</f>
        <v/>
      </c>
      <c r="AP20" s="29">
        <f>IF(IFERROR(VLOOKUP(AA20,RULES!$A:$Q,17,0),"")="",CONFIG!$B$13,VLOOKUP(AA20,RULES!$A:$Q,17,0))</f>
        <v/>
      </c>
      <c r="AQ20" s="29">
        <f>IF(IFERROR(VLOOKUP(AA20,RULES!$A:$R,18,0),"")="",CONFIG!$B$14,VLOOKUP(AA20,RULES!$A:$R,18,0))</f>
        <v/>
      </c>
      <c r="AR20" s="29">
        <f>IFERROR(VLOOKUP(AA20,RULES!$A:$S,19,0)*1,0)</f>
        <v/>
      </c>
      <c r="AS20" s="29">
        <f>IFERROR(VLOOKUP(AA20,RULES!$A:$T,20,0)*1,0)</f>
        <v/>
      </c>
      <c r="AT20" s="29">
        <f>IFERROR(VLOOKUP(AA20,RULES!$A:$U,21,0)*1,0)</f>
        <v/>
      </c>
      <c r="AU20" s="29">
        <f>IFERROR(VLOOKUP(AA20,RULES!$A:$V,22,0)*1,0)</f>
        <v/>
      </c>
      <c r="AV20" s="29">
        <f>IFERROR(VLOOKUP(AA20,RULES!$A:$W,23,0)*1,0)</f>
        <v/>
      </c>
      <c r="AW20" s="29">
        <f>IFERROR(IF(VLOOKUP(AA20,RULES!$A:$X,24,0)="",999999,VLOOKUP(AA20,RULES!$A:$X,24,0)*1),999999)</f>
        <v/>
      </c>
      <c r="AX20" s="29">
        <f>IFERROR(VLOOKUP(AA20,RULES!$A:$Y,25,0)*1,0)</f>
        <v/>
      </c>
      <c r="AY20" s="29">
        <f>IFERROR(VLOOKUP(AA20,RULES!$A:$Z,26,0),"NONE")</f>
        <v/>
      </c>
      <c r="AZ20" s="29">
        <f>IFERROR(VLOOKUP(AA20,RULES!$A:$AA,27,0)*1,0)</f>
        <v/>
      </c>
      <c r="BA20" s="29">
        <f>IFERROR(VLOOKUP(AA20,RULES!$A:$AB,28,0)*1,0)</f>
        <v/>
      </c>
    </row>
    <row r="21" ht="17" customHeight="1">
      <c r="A21" s="22" t="inlineStr">
        <is>
          <t>3218</t>
        </is>
      </c>
      <c r="B21" s="48" t="inlineStr">
        <is>
          <t>ACC002</t>
        </is>
      </c>
      <c r="C21" s="48" t="inlineStr">
        <is>
          <t>DEFAULT</t>
        </is>
      </c>
      <c r="D21" s="47" t="n"/>
      <c r="E21" s="22">
        <f>IF(OR(D21="",D21=0),"INACTIVE","ACTIVE")</f>
        <v/>
      </c>
      <c r="F21" s="48" t="inlineStr">
        <is>
          <t>NORMAL</t>
        </is>
      </c>
      <c r="G21" s="25" t="n"/>
      <c r="H21" s="25" t="n"/>
      <c r="I21" s="26">
        <f>IF(OR(E21="INACTIVE",H21=""),0,MAX(0,H21-G21))</f>
        <v/>
      </c>
      <c r="J21" s="23" t="n"/>
      <c r="K21" s="26">
        <f>IF(OR(E21="INACTIVE",H21=""),0,IF(AB21="DISABLED",0,IF(AB21="FLAT",AE21,IF(AB21="MANUAL",IF(J21="",0,J21*AC21),IF(AB21="STEP",IF(I21&lt;=AF21,I21*AG21,IF(I21&lt;=AH21,AF21*AG21+(I21-AF21)*AI21,AF21*AG21+(AH21-AF21)*AI21+(I21-AH21)*AK21)),MAX(I21*AC21,AD21))))))</f>
        <v/>
      </c>
      <c r="L21" s="26">
        <f>IF(OR(E21="INACTIVE",H21=""),0,IF(AL21="NONE",0,IF(AL21="FLAT",AM21,IF(AL21="PER_UNIT",I21*AN21,IF(AL21="MANUAL",IF(M21="",0,M21),0)))))</f>
        <v/>
      </c>
      <c r="M21" s="23" t="n"/>
      <c r="N21" s="48" t="inlineStr">
        <is>
          <t>NORMAL</t>
        </is>
      </c>
      <c r="O21" s="25" t="n"/>
      <c r="P21" s="25" t="n"/>
      <c r="Q21" s="26">
        <f>IF(OR(E21="INACTIVE",P21=""),0,MAX(0,P21-O21))</f>
        <v/>
      </c>
      <c r="R21" s="23" t="n"/>
      <c r="S21" s="26">
        <f>IF(OR(E21="INACTIVE",P21=""),0,IF(AO21="DISABLED",0,IF(AO21="FLAT",AR21,IF(AO21="MANUAL",IF(R21="",0,R21*AP21),IF(AO21="STEP",IF(Q21&lt;=AS21,Q21*AT21,IF(Q21&lt;=AU21,AS21*AT21+(Q21-AS21)*AV21,AS21*AT21+(AU21-AS21)*AV21+(Q21-AU21)*AX21)),MAX(Q21*AP21,AQ21))))))</f>
        <v/>
      </c>
      <c r="T21" s="26">
        <f>IF(OR(E21="INACTIVE",P21=""),0,IF(AY21="NONE",0,IF(AY21="FLAT",AZ21,IF(AY21="PER_UNIT",Q21*BA21,IF(AY21="MANUAL",IF(U21="",0,U21),0)))))</f>
        <v/>
      </c>
      <c r="U21" s="23" t="n"/>
      <c r="V21" s="25" t="n"/>
      <c r="W21" s="25" t="n"/>
      <c r="X21" s="26">
        <f>IF(E21="INACTIVE",0,D21+K21+L21+S21+T21+IF(V21="",0,V21)+IF(W21="",0,W21))</f>
        <v/>
      </c>
      <c r="Y21" s="27" t="n"/>
      <c r="Z21" s="28">
        <f>IF(E21="INACTIVE","_",IF(AND(G21&gt;0,H21&gt;0,H21&lt;G21),"[!]น้ำ reset ","")&amp;IF(AND(O21&gt;0,P21&gt;0,P21&lt;O21),"[!]ไฟ reset ","")&amp;IF(AND(F21="MANUAL",J21=""),"[X]units น้ำ ","")&amp;IF(AND(N21="MANUAL",R21=""),"[X]units ไฟ ","")&amp;IF(D21=0,"[!]ค่าเช่า=0",""))</f>
        <v/>
      </c>
      <c r="AA21" s="29">
        <f>IF(C21&lt;&gt;"",C21,CONFIG!$B$6)</f>
        <v/>
      </c>
      <c r="AB21" s="29">
        <f>IF(F21&lt;&gt;"",F21,IFERROR(VLOOKUP(AA21,RULES!$A:$C,3,0),CONFIG!$B$7))</f>
        <v/>
      </c>
      <c r="AC21" s="29">
        <f>IF(IFERROR(VLOOKUP(AA21,RULES!$A:$D,4,0),"")="",CONFIG!$B$10,VLOOKUP(AA21,RULES!$A:$D,4,0))</f>
        <v/>
      </c>
      <c r="AD21" s="29">
        <f>IF(IFERROR(VLOOKUP(AA21,RULES!$A:$E,5,0),"")="",CONFIG!$B$11,VLOOKUP(AA21,RULES!$A:$E,5,0))</f>
        <v/>
      </c>
      <c r="AE21" s="29">
        <f>IFERROR(VLOOKUP(AA21,RULES!$A:$F,6,0)*1,0)</f>
        <v/>
      </c>
      <c r="AF21" s="29">
        <f>IFERROR(VLOOKUP(AA21,RULES!$A:$G,7,0)*1,0)</f>
        <v/>
      </c>
      <c r="AG21" s="29">
        <f>IFERROR(VLOOKUP(AA21,RULES!$A:$H,8,0)*1,0)</f>
        <v/>
      </c>
      <c r="AH21" s="29">
        <f>IFERROR(VLOOKUP(AA21,RULES!$A:$I,9,0)*1,0)</f>
        <v/>
      </c>
      <c r="AI21" s="29">
        <f>IFERROR(VLOOKUP(AA21,RULES!$A:$J,10,0)*1,0)</f>
        <v/>
      </c>
      <c r="AJ21" s="29">
        <f>IFERROR(IF(VLOOKUP(AA21,RULES!$A:$K,11,0)="",999999,VLOOKUP(AA21,RULES!$A:$K,11,0)*1),999999)</f>
        <v/>
      </c>
      <c r="AK21" s="29">
        <f>IFERROR(VLOOKUP(AA21,RULES!$A:$L,12,0)*1,0)</f>
        <v/>
      </c>
      <c r="AL21" s="29">
        <f>IFERROR(VLOOKUP(AA21,RULES!$A:$M,13,0),"NONE")</f>
        <v/>
      </c>
      <c r="AM21" s="29">
        <f>IFERROR(VLOOKUP(AA21,RULES!$A:$N,14,0)*1,0)</f>
        <v/>
      </c>
      <c r="AN21" s="29">
        <f>IFERROR(VLOOKUP(AA21,RULES!$A:$O,15,0)*1,0)</f>
        <v/>
      </c>
      <c r="AO21" s="29">
        <f>IF(N21&lt;&gt;"",N21,IFERROR(VLOOKUP(AA21,RULES!$A:$P,16,0),CONFIG!$B$8))</f>
        <v/>
      </c>
      <c r="AP21" s="29">
        <f>IF(IFERROR(VLOOKUP(AA21,RULES!$A:$Q,17,0),"")="",CONFIG!$B$13,VLOOKUP(AA21,RULES!$A:$Q,17,0))</f>
        <v/>
      </c>
      <c r="AQ21" s="29">
        <f>IF(IFERROR(VLOOKUP(AA21,RULES!$A:$R,18,0),"")="",CONFIG!$B$14,VLOOKUP(AA21,RULES!$A:$R,18,0))</f>
        <v/>
      </c>
      <c r="AR21" s="29">
        <f>IFERROR(VLOOKUP(AA21,RULES!$A:$S,19,0)*1,0)</f>
        <v/>
      </c>
      <c r="AS21" s="29">
        <f>IFERROR(VLOOKUP(AA21,RULES!$A:$T,20,0)*1,0)</f>
        <v/>
      </c>
      <c r="AT21" s="29">
        <f>IFERROR(VLOOKUP(AA21,RULES!$A:$U,21,0)*1,0)</f>
        <v/>
      </c>
      <c r="AU21" s="29">
        <f>IFERROR(VLOOKUP(AA21,RULES!$A:$V,22,0)*1,0)</f>
        <v/>
      </c>
      <c r="AV21" s="29">
        <f>IFERROR(VLOOKUP(AA21,RULES!$A:$W,23,0)*1,0)</f>
        <v/>
      </c>
      <c r="AW21" s="29">
        <f>IFERROR(IF(VLOOKUP(AA21,RULES!$A:$X,24,0)="",999999,VLOOKUP(AA21,RULES!$A:$X,24,0)*1),999999)</f>
        <v/>
      </c>
      <c r="AX21" s="29">
        <f>IFERROR(VLOOKUP(AA21,RULES!$A:$Y,25,0)*1,0)</f>
        <v/>
      </c>
      <c r="AY21" s="29">
        <f>IFERROR(VLOOKUP(AA21,RULES!$A:$Z,26,0),"NONE")</f>
        <v/>
      </c>
      <c r="AZ21" s="29">
        <f>IFERROR(VLOOKUP(AA21,RULES!$A:$AA,27,0)*1,0)</f>
        <v/>
      </c>
      <c r="BA21" s="29">
        <f>IFERROR(VLOOKUP(AA21,RULES!$A:$AB,28,0)*1,0)</f>
        <v/>
      </c>
    </row>
    <row r="22" ht="17" customHeight="1">
      <c r="A22" s="22" t="inlineStr">
        <is>
          <t>3219</t>
        </is>
      </c>
      <c r="B22" s="48" t="inlineStr">
        <is>
          <t>ACC002</t>
        </is>
      </c>
      <c r="C22" s="48" t="inlineStr">
        <is>
          <t>DEFAULT</t>
        </is>
      </c>
      <c r="D22" s="47" t="n"/>
      <c r="E22" s="22">
        <f>IF(OR(D22="",D22=0),"INACTIVE","ACTIVE")</f>
        <v/>
      </c>
      <c r="F22" s="48" t="inlineStr">
        <is>
          <t>NORMAL</t>
        </is>
      </c>
      <c r="G22" s="25" t="n"/>
      <c r="H22" s="25" t="n"/>
      <c r="I22" s="26">
        <f>IF(OR(E22="INACTIVE",H22=""),0,MAX(0,H22-G22))</f>
        <v/>
      </c>
      <c r="J22" s="23" t="n"/>
      <c r="K22" s="26">
        <f>IF(OR(E22="INACTIVE",H22=""),0,IF(AB22="DISABLED",0,IF(AB22="FLAT",AE22,IF(AB22="MANUAL",IF(J22="",0,J22*AC22),IF(AB22="STEP",IF(I22&lt;=AF22,I22*AG22,IF(I22&lt;=AH22,AF22*AG22+(I22-AF22)*AI22,AF22*AG22+(AH22-AF22)*AI22+(I22-AH22)*AK22)),MAX(I22*AC22,AD22))))))</f>
        <v/>
      </c>
      <c r="L22" s="26">
        <f>IF(OR(E22="INACTIVE",H22=""),0,IF(AL22="NONE",0,IF(AL22="FLAT",AM22,IF(AL22="PER_UNIT",I22*AN22,IF(AL22="MANUAL",IF(M22="",0,M22),0)))))</f>
        <v/>
      </c>
      <c r="M22" s="23" t="n"/>
      <c r="N22" s="48" t="inlineStr">
        <is>
          <t>NORMAL</t>
        </is>
      </c>
      <c r="O22" s="25" t="n"/>
      <c r="P22" s="25" t="n"/>
      <c r="Q22" s="26">
        <f>IF(OR(E22="INACTIVE",P22=""),0,MAX(0,P22-O22))</f>
        <v/>
      </c>
      <c r="R22" s="23" t="n"/>
      <c r="S22" s="26">
        <f>IF(OR(E22="INACTIVE",P22=""),0,IF(AO22="DISABLED",0,IF(AO22="FLAT",AR22,IF(AO22="MANUAL",IF(R22="",0,R22*AP22),IF(AO22="STEP",IF(Q22&lt;=AS22,Q22*AT22,IF(Q22&lt;=AU22,AS22*AT22+(Q22-AS22)*AV22,AS22*AT22+(AU22-AS22)*AV22+(Q22-AU22)*AX22)),MAX(Q22*AP22,AQ22))))))</f>
        <v/>
      </c>
      <c r="T22" s="26">
        <f>IF(OR(E22="INACTIVE",P22=""),0,IF(AY22="NONE",0,IF(AY22="FLAT",AZ22,IF(AY22="PER_UNIT",Q22*BA22,IF(AY22="MANUAL",IF(U22="",0,U22),0)))))</f>
        <v/>
      </c>
      <c r="U22" s="23" t="n"/>
      <c r="V22" s="25" t="n"/>
      <c r="W22" s="25" t="n"/>
      <c r="X22" s="26">
        <f>IF(E22="INACTIVE",0,D22+K22+L22+S22+T22+IF(V22="",0,V22)+IF(W22="",0,W22))</f>
        <v/>
      </c>
      <c r="Y22" s="27" t="n"/>
      <c r="Z22" s="28">
        <f>IF(E22="INACTIVE","_",IF(AND(G22&gt;0,H22&gt;0,H22&lt;G22),"[!]น้ำ reset ","")&amp;IF(AND(O22&gt;0,P22&gt;0,P22&lt;O22),"[!]ไฟ reset ","")&amp;IF(AND(F22="MANUAL",J22=""),"[X]units น้ำ ","")&amp;IF(AND(N22="MANUAL",R22=""),"[X]units ไฟ ","")&amp;IF(D22=0,"[!]ค่าเช่า=0",""))</f>
        <v/>
      </c>
      <c r="AA22" s="29">
        <f>IF(C22&lt;&gt;"",C22,CONFIG!$B$6)</f>
        <v/>
      </c>
      <c r="AB22" s="29">
        <f>IF(F22&lt;&gt;"",F22,IFERROR(VLOOKUP(AA22,RULES!$A:$C,3,0),CONFIG!$B$7))</f>
        <v/>
      </c>
      <c r="AC22" s="29">
        <f>IF(IFERROR(VLOOKUP(AA22,RULES!$A:$D,4,0),"")="",CONFIG!$B$10,VLOOKUP(AA22,RULES!$A:$D,4,0))</f>
        <v/>
      </c>
      <c r="AD22" s="29">
        <f>IF(IFERROR(VLOOKUP(AA22,RULES!$A:$E,5,0),"")="",CONFIG!$B$11,VLOOKUP(AA22,RULES!$A:$E,5,0))</f>
        <v/>
      </c>
      <c r="AE22" s="29">
        <f>IFERROR(VLOOKUP(AA22,RULES!$A:$F,6,0)*1,0)</f>
        <v/>
      </c>
      <c r="AF22" s="29">
        <f>IFERROR(VLOOKUP(AA22,RULES!$A:$G,7,0)*1,0)</f>
        <v/>
      </c>
      <c r="AG22" s="29">
        <f>IFERROR(VLOOKUP(AA22,RULES!$A:$H,8,0)*1,0)</f>
        <v/>
      </c>
      <c r="AH22" s="29">
        <f>IFERROR(VLOOKUP(AA22,RULES!$A:$I,9,0)*1,0)</f>
        <v/>
      </c>
      <c r="AI22" s="29">
        <f>IFERROR(VLOOKUP(AA22,RULES!$A:$J,10,0)*1,0)</f>
        <v/>
      </c>
      <c r="AJ22" s="29">
        <f>IFERROR(IF(VLOOKUP(AA22,RULES!$A:$K,11,0)="",999999,VLOOKUP(AA22,RULES!$A:$K,11,0)*1),999999)</f>
        <v/>
      </c>
      <c r="AK22" s="29">
        <f>IFERROR(VLOOKUP(AA22,RULES!$A:$L,12,0)*1,0)</f>
        <v/>
      </c>
      <c r="AL22" s="29">
        <f>IFERROR(VLOOKUP(AA22,RULES!$A:$M,13,0),"NONE")</f>
        <v/>
      </c>
      <c r="AM22" s="29">
        <f>IFERROR(VLOOKUP(AA22,RULES!$A:$N,14,0)*1,0)</f>
        <v/>
      </c>
      <c r="AN22" s="29">
        <f>IFERROR(VLOOKUP(AA22,RULES!$A:$O,15,0)*1,0)</f>
        <v/>
      </c>
      <c r="AO22" s="29">
        <f>IF(N22&lt;&gt;"",N22,IFERROR(VLOOKUP(AA22,RULES!$A:$P,16,0),CONFIG!$B$8))</f>
        <v/>
      </c>
      <c r="AP22" s="29">
        <f>IF(IFERROR(VLOOKUP(AA22,RULES!$A:$Q,17,0),"")="",CONFIG!$B$13,VLOOKUP(AA22,RULES!$A:$Q,17,0))</f>
        <v/>
      </c>
      <c r="AQ22" s="29">
        <f>IF(IFERROR(VLOOKUP(AA22,RULES!$A:$R,18,0),"")="",CONFIG!$B$14,VLOOKUP(AA22,RULES!$A:$R,18,0))</f>
        <v/>
      </c>
      <c r="AR22" s="29">
        <f>IFERROR(VLOOKUP(AA22,RULES!$A:$S,19,0)*1,0)</f>
        <v/>
      </c>
      <c r="AS22" s="29">
        <f>IFERROR(VLOOKUP(AA22,RULES!$A:$T,20,0)*1,0)</f>
        <v/>
      </c>
      <c r="AT22" s="29">
        <f>IFERROR(VLOOKUP(AA22,RULES!$A:$U,21,0)*1,0)</f>
        <v/>
      </c>
      <c r="AU22" s="29">
        <f>IFERROR(VLOOKUP(AA22,RULES!$A:$V,22,0)*1,0)</f>
        <v/>
      </c>
      <c r="AV22" s="29">
        <f>IFERROR(VLOOKUP(AA22,RULES!$A:$W,23,0)*1,0)</f>
        <v/>
      </c>
      <c r="AW22" s="29">
        <f>IFERROR(IF(VLOOKUP(AA22,RULES!$A:$X,24,0)="",999999,VLOOKUP(AA22,RULES!$A:$X,24,0)*1),999999)</f>
        <v/>
      </c>
      <c r="AX22" s="29">
        <f>IFERROR(VLOOKUP(AA22,RULES!$A:$Y,25,0)*1,0)</f>
        <v/>
      </c>
      <c r="AY22" s="29">
        <f>IFERROR(VLOOKUP(AA22,RULES!$A:$Z,26,0),"NONE")</f>
        <v/>
      </c>
      <c r="AZ22" s="29">
        <f>IFERROR(VLOOKUP(AA22,RULES!$A:$AA,27,0)*1,0)</f>
        <v/>
      </c>
      <c r="BA22" s="29">
        <f>IFERROR(VLOOKUP(AA22,RULES!$A:$AB,28,0)*1,0)</f>
        <v/>
      </c>
    </row>
    <row r="23" ht="17" customHeight="1">
      <c r="A23" s="22" t="inlineStr">
        <is>
          <t>3220</t>
        </is>
      </c>
      <c r="B23" s="48" t="inlineStr">
        <is>
          <t>ACC002</t>
        </is>
      </c>
      <c r="C23" s="48" t="inlineStr">
        <is>
          <t>DEFAULT</t>
        </is>
      </c>
      <c r="D23" s="47" t="n"/>
      <c r="E23" s="22">
        <f>IF(OR(D23="",D23=0),"INACTIVE","ACTIVE")</f>
        <v/>
      </c>
      <c r="F23" s="48" t="inlineStr">
        <is>
          <t>NORMAL</t>
        </is>
      </c>
      <c r="G23" s="25" t="n"/>
      <c r="H23" s="25" t="n"/>
      <c r="I23" s="26">
        <f>IF(OR(E23="INACTIVE",H23=""),0,MAX(0,H23-G23))</f>
        <v/>
      </c>
      <c r="J23" s="23" t="n"/>
      <c r="K23" s="26">
        <f>IF(OR(E23="INACTIVE",H23=""),0,IF(AB23="DISABLED",0,IF(AB23="FLAT",AE23,IF(AB23="MANUAL",IF(J23="",0,J23*AC23),IF(AB23="STEP",IF(I23&lt;=AF23,I23*AG23,IF(I23&lt;=AH23,AF23*AG23+(I23-AF23)*AI23,AF23*AG23+(AH23-AF23)*AI23+(I23-AH23)*AK23)),MAX(I23*AC23,AD23))))))</f>
        <v/>
      </c>
      <c r="L23" s="26">
        <f>IF(OR(E23="INACTIVE",H23=""),0,IF(AL23="NONE",0,IF(AL23="FLAT",AM23,IF(AL23="PER_UNIT",I23*AN23,IF(AL23="MANUAL",IF(M23="",0,M23),0)))))</f>
        <v/>
      </c>
      <c r="M23" s="23" t="n"/>
      <c r="N23" s="48" t="inlineStr">
        <is>
          <t>NORMAL</t>
        </is>
      </c>
      <c r="O23" s="25" t="n"/>
      <c r="P23" s="25" t="n"/>
      <c r="Q23" s="26">
        <f>IF(OR(E23="INACTIVE",P23=""),0,MAX(0,P23-O23))</f>
        <v/>
      </c>
      <c r="R23" s="23" t="n"/>
      <c r="S23" s="26">
        <f>IF(OR(E23="INACTIVE",P23=""),0,IF(AO23="DISABLED",0,IF(AO23="FLAT",AR23,IF(AO23="MANUAL",IF(R23="",0,R23*AP23),IF(AO23="STEP",IF(Q23&lt;=AS23,Q23*AT23,IF(Q23&lt;=AU23,AS23*AT23+(Q23-AS23)*AV23,AS23*AT23+(AU23-AS23)*AV23+(Q23-AU23)*AX23)),MAX(Q23*AP23,AQ23))))))</f>
        <v/>
      </c>
      <c r="T23" s="26">
        <f>IF(OR(E23="INACTIVE",P23=""),0,IF(AY23="NONE",0,IF(AY23="FLAT",AZ23,IF(AY23="PER_UNIT",Q23*BA23,IF(AY23="MANUAL",IF(U23="",0,U23),0)))))</f>
        <v/>
      </c>
      <c r="U23" s="23" t="n"/>
      <c r="V23" s="25" t="n"/>
      <c r="W23" s="25" t="n"/>
      <c r="X23" s="26">
        <f>IF(E23="INACTIVE",0,D23+K23+L23+S23+T23+IF(V23="",0,V23)+IF(W23="",0,W23))</f>
        <v/>
      </c>
      <c r="Y23" s="27" t="n"/>
      <c r="Z23" s="28">
        <f>IF(E23="INACTIVE","_",IF(AND(G23&gt;0,H23&gt;0,H23&lt;G23),"[!]น้ำ reset ","")&amp;IF(AND(O23&gt;0,P23&gt;0,P23&lt;O23),"[!]ไฟ reset ","")&amp;IF(AND(F23="MANUAL",J23=""),"[X]units น้ำ ","")&amp;IF(AND(N23="MANUAL",R23=""),"[X]units ไฟ ","")&amp;IF(D23=0,"[!]ค่าเช่า=0",""))</f>
        <v/>
      </c>
      <c r="AA23" s="29">
        <f>IF(C23&lt;&gt;"",C23,CONFIG!$B$6)</f>
        <v/>
      </c>
      <c r="AB23" s="29">
        <f>IF(F23&lt;&gt;"",F23,IFERROR(VLOOKUP(AA23,RULES!$A:$C,3,0),CONFIG!$B$7))</f>
        <v/>
      </c>
      <c r="AC23" s="29">
        <f>IF(IFERROR(VLOOKUP(AA23,RULES!$A:$D,4,0),"")="",CONFIG!$B$10,VLOOKUP(AA23,RULES!$A:$D,4,0))</f>
        <v/>
      </c>
      <c r="AD23" s="29">
        <f>IF(IFERROR(VLOOKUP(AA23,RULES!$A:$E,5,0),"")="",CONFIG!$B$11,VLOOKUP(AA23,RULES!$A:$E,5,0))</f>
        <v/>
      </c>
      <c r="AE23" s="29">
        <f>IFERROR(VLOOKUP(AA23,RULES!$A:$F,6,0)*1,0)</f>
        <v/>
      </c>
      <c r="AF23" s="29">
        <f>IFERROR(VLOOKUP(AA23,RULES!$A:$G,7,0)*1,0)</f>
        <v/>
      </c>
      <c r="AG23" s="29">
        <f>IFERROR(VLOOKUP(AA23,RULES!$A:$H,8,0)*1,0)</f>
        <v/>
      </c>
      <c r="AH23" s="29">
        <f>IFERROR(VLOOKUP(AA23,RULES!$A:$I,9,0)*1,0)</f>
        <v/>
      </c>
      <c r="AI23" s="29">
        <f>IFERROR(VLOOKUP(AA23,RULES!$A:$J,10,0)*1,0)</f>
        <v/>
      </c>
      <c r="AJ23" s="29">
        <f>IFERROR(IF(VLOOKUP(AA23,RULES!$A:$K,11,0)="",999999,VLOOKUP(AA23,RULES!$A:$K,11,0)*1),999999)</f>
        <v/>
      </c>
      <c r="AK23" s="29">
        <f>IFERROR(VLOOKUP(AA23,RULES!$A:$L,12,0)*1,0)</f>
        <v/>
      </c>
      <c r="AL23" s="29">
        <f>IFERROR(VLOOKUP(AA23,RULES!$A:$M,13,0),"NONE")</f>
        <v/>
      </c>
      <c r="AM23" s="29">
        <f>IFERROR(VLOOKUP(AA23,RULES!$A:$N,14,0)*1,0)</f>
        <v/>
      </c>
      <c r="AN23" s="29">
        <f>IFERROR(VLOOKUP(AA23,RULES!$A:$O,15,0)*1,0)</f>
        <v/>
      </c>
      <c r="AO23" s="29">
        <f>IF(N23&lt;&gt;"",N23,IFERROR(VLOOKUP(AA23,RULES!$A:$P,16,0),CONFIG!$B$8))</f>
        <v/>
      </c>
      <c r="AP23" s="29">
        <f>IF(IFERROR(VLOOKUP(AA23,RULES!$A:$Q,17,0),"")="",CONFIG!$B$13,VLOOKUP(AA23,RULES!$A:$Q,17,0))</f>
        <v/>
      </c>
      <c r="AQ23" s="29">
        <f>IF(IFERROR(VLOOKUP(AA23,RULES!$A:$R,18,0),"")="",CONFIG!$B$14,VLOOKUP(AA23,RULES!$A:$R,18,0))</f>
        <v/>
      </c>
      <c r="AR23" s="29">
        <f>IFERROR(VLOOKUP(AA23,RULES!$A:$S,19,0)*1,0)</f>
        <v/>
      </c>
      <c r="AS23" s="29">
        <f>IFERROR(VLOOKUP(AA23,RULES!$A:$T,20,0)*1,0)</f>
        <v/>
      </c>
      <c r="AT23" s="29">
        <f>IFERROR(VLOOKUP(AA23,RULES!$A:$U,21,0)*1,0)</f>
        <v/>
      </c>
      <c r="AU23" s="29">
        <f>IFERROR(VLOOKUP(AA23,RULES!$A:$V,22,0)*1,0)</f>
        <v/>
      </c>
      <c r="AV23" s="29">
        <f>IFERROR(VLOOKUP(AA23,RULES!$A:$W,23,0)*1,0)</f>
        <v/>
      </c>
      <c r="AW23" s="29">
        <f>IFERROR(IF(VLOOKUP(AA23,RULES!$A:$X,24,0)="",999999,VLOOKUP(AA23,RULES!$A:$X,24,0)*1),999999)</f>
        <v/>
      </c>
      <c r="AX23" s="29">
        <f>IFERROR(VLOOKUP(AA23,RULES!$A:$Y,25,0)*1,0)</f>
        <v/>
      </c>
      <c r="AY23" s="29">
        <f>IFERROR(VLOOKUP(AA23,RULES!$A:$Z,26,0),"NONE")</f>
        <v/>
      </c>
      <c r="AZ23" s="29">
        <f>IFERROR(VLOOKUP(AA23,RULES!$A:$AA,27,0)*1,0)</f>
        <v/>
      </c>
      <c r="BA23" s="29">
        <f>IFERROR(VLOOKUP(AA23,RULES!$A:$AB,28,0)*1,0)</f>
        <v/>
      </c>
    </row>
    <row r="24" ht="17" customHeight="1">
      <c r="A24" s="22" t="inlineStr">
        <is>
          <t>3221</t>
        </is>
      </c>
      <c r="B24" s="48" t="inlineStr">
        <is>
          <t>ACC002</t>
        </is>
      </c>
      <c r="C24" s="48" t="inlineStr">
        <is>
          <t>DEFAULT</t>
        </is>
      </c>
      <c r="D24" s="47" t="n"/>
      <c r="E24" s="22">
        <f>IF(OR(D24="",D24=0),"INACTIVE","ACTIVE")</f>
        <v/>
      </c>
      <c r="F24" s="48" t="inlineStr">
        <is>
          <t>NORMAL</t>
        </is>
      </c>
      <c r="G24" s="25" t="n"/>
      <c r="H24" s="25" t="n"/>
      <c r="I24" s="26">
        <f>IF(OR(E24="INACTIVE",H24=""),0,MAX(0,H24-G24))</f>
        <v/>
      </c>
      <c r="J24" s="23" t="n"/>
      <c r="K24" s="26">
        <f>IF(OR(E24="INACTIVE",H24=""),0,IF(AB24="DISABLED",0,IF(AB24="FLAT",AE24,IF(AB24="MANUAL",IF(J24="",0,J24*AC24),IF(AB24="STEP",IF(I24&lt;=AF24,I24*AG24,IF(I24&lt;=AH24,AF24*AG24+(I24-AF24)*AI24,AF24*AG24+(AH24-AF24)*AI24+(I24-AH24)*AK24)),MAX(I24*AC24,AD24))))))</f>
        <v/>
      </c>
      <c r="L24" s="26">
        <f>IF(OR(E24="INACTIVE",H24=""),0,IF(AL24="NONE",0,IF(AL24="FLAT",AM24,IF(AL24="PER_UNIT",I24*AN24,IF(AL24="MANUAL",IF(M24="",0,M24),0)))))</f>
        <v/>
      </c>
      <c r="M24" s="23" t="n"/>
      <c r="N24" s="48" t="inlineStr">
        <is>
          <t>NORMAL</t>
        </is>
      </c>
      <c r="O24" s="25" t="n"/>
      <c r="P24" s="25" t="n"/>
      <c r="Q24" s="26">
        <f>IF(OR(E24="INACTIVE",P24=""),0,MAX(0,P24-O24))</f>
        <v/>
      </c>
      <c r="R24" s="23" t="n"/>
      <c r="S24" s="26">
        <f>IF(OR(E24="INACTIVE",P24=""),0,IF(AO24="DISABLED",0,IF(AO24="FLAT",AR24,IF(AO24="MANUAL",IF(R24="",0,R24*AP24),IF(AO24="STEP",IF(Q24&lt;=AS24,Q24*AT24,IF(Q24&lt;=AU24,AS24*AT24+(Q24-AS24)*AV24,AS24*AT24+(AU24-AS24)*AV24+(Q24-AU24)*AX24)),MAX(Q24*AP24,AQ24))))))</f>
        <v/>
      </c>
      <c r="T24" s="26">
        <f>IF(OR(E24="INACTIVE",P24=""),0,IF(AY24="NONE",0,IF(AY24="FLAT",AZ24,IF(AY24="PER_UNIT",Q24*BA24,IF(AY24="MANUAL",IF(U24="",0,U24),0)))))</f>
        <v/>
      </c>
      <c r="U24" s="23" t="n"/>
      <c r="V24" s="25" t="n"/>
      <c r="W24" s="25" t="n"/>
      <c r="X24" s="26">
        <f>IF(E24="INACTIVE",0,D24+K24+L24+S24+T24+IF(V24="",0,V24)+IF(W24="",0,W24))</f>
        <v/>
      </c>
      <c r="Y24" s="27" t="n"/>
      <c r="Z24" s="28">
        <f>IF(E24="INACTIVE","_",IF(AND(G24&gt;0,H24&gt;0,H24&lt;G24),"[!]น้ำ reset ","")&amp;IF(AND(O24&gt;0,P24&gt;0,P24&lt;O24),"[!]ไฟ reset ","")&amp;IF(AND(F24="MANUAL",J24=""),"[X]units น้ำ ","")&amp;IF(AND(N24="MANUAL",R24=""),"[X]units ไฟ ","")&amp;IF(D24=0,"[!]ค่าเช่า=0",""))</f>
        <v/>
      </c>
      <c r="AA24" s="29">
        <f>IF(C24&lt;&gt;"",C24,CONFIG!$B$6)</f>
        <v/>
      </c>
      <c r="AB24" s="29">
        <f>IF(F24&lt;&gt;"",F24,IFERROR(VLOOKUP(AA24,RULES!$A:$C,3,0),CONFIG!$B$7))</f>
        <v/>
      </c>
      <c r="AC24" s="29">
        <f>IF(IFERROR(VLOOKUP(AA24,RULES!$A:$D,4,0),"")="",CONFIG!$B$10,VLOOKUP(AA24,RULES!$A:$D,4,0))</f>
        <v/>
      </c>
      <c r="AD24" s="29">
        <f>IF(IFERROR(VLOOKUP(AA24,RULES!$A:$E,5,0),"")="",CONFIG!$B$11,VLOOKUP(AA24,RULES!$A:$E,5,0))</f>
        <v/>
      </c>
      <c r="AE24" s="29">
        <f>IFERROR(VLOOKUP(AA24,RULES!$A:$F,6,0)*1,0)</f>
        <v/>
      </c>
      <c r="AF24" s="29">
        <f>IFERROR(VLOOKUP(AA24,RULES!$A:$G,7,0)*1,0)</f>
        <v/>
      </c>
      <c r="AG24" s="29">
        <f>IFERROR(VLOOKUP(AA24,RULES!$A:$H,8,0)*1,0)</f>
        <v/>
      </c>
      <c r="AH24" s="29">
        <f>IFERROR(VLOOKUP(AA24,RULES!$A:$I,9,0)*1,0)</f>
        <v/>
      </c>
      <c r="AI24" s="29">
        <f>IFERROR(VLOOKUP(AA24,RULES!$A:$J,10,0)*1,0)</f>
        <v/>
      </c>
      <c r="AJ24" s="29">
        <f>IFERROR(IF(VLOOKUP(AA24,RULES!$A:$K,11,0)="",999999,VLOOKUP(AA24,RULES!$A:$K,11,0)*1),999999)</f>
        <v/>
      </c>
      <c r="AK24" s="29">
        <f>IFERROR(VLOOKUP(AA24,RULES!$A:$L,12,0)*1,0)</f>
        <v/>
      </c>
      <c r="AL24" s="29">
        <f>IFERROR(VLOOKUP(AA24,RULES!$A:$M,13,0),"NONE")</f>
        <v/>
      </c>
      <c r="AM24" s="29">
        <f>IFERROR(VLOOKUP(AA24,RULES!$A:$N,14,0)*1,0)</f>
        <v/>
      </c>
      <c r="AN24" s="29">
        <f>IFERROR(VLOOKUP(AA24,RULES!$A:$O,15,0)*1,0)</f>
        <v/>
      </c>
      <c r="AO24" s="29">
        <f>IF(N24&lt;&gt;"",N24,IFERROR(VLOOKUP(AA24,RULES!$A:$P,16,0),CONFIG!$B$8))</f>
        <v/>
      </c>
      <c r="AP24" s="29">
        <f>IF(IFERROR(VLOOKUP(AA24,RULES!$A:$Q,17,0),"")="",CONFIG!$B$13,VLOOKUP(AA24,RULES!$A:$Q,17,0))</f>
        <v/>
      </c>
      <c r="AQ24" s="29">
        <f>IF(IFERROR(VLOOKUP(AA24,RULES!$A:$R,18,0),"")="",CONFIG!$B$14,VLOOKUP(AA24,RULES!$A:$R,18,0))</f>
        <v/>
      </c>
      <c r="AR24" s="29">
        <f>IFERROR(VLOOKUP(AA24,RULES!$A:$S,19,0)*1,0)</f>
        <v/>
      </c>
      <c r="AS24" s="29">
        <f>IFERROR(VLOOKUP(AA24,RULES!$A:$T,20,0)*1,0)</f>
        <v/>
      </c>
      <c r="AT24" s="29">
        <f>IFERROR(VLOOKUP(AA24,RULES!$A:$U,21,0)*1,0)</f>
        <v/>
      </c>
      <c r="AU24" s="29">
        <f>IFERROR(VLOOKUP(AA24,RULES!$A:$V,22,0)*1,0)</f>
        <v/>
      </c>
      <c r="AV24" s="29">
        <f>IFERROR(VLOOKUP(AA24,RULES!$A:$W,23,0)*1,0)</f>
        <v/>
      </c>
      <c r="AW24" s="29">
        <f>IFERROR(IF(VLOOKUP(AA24,RULES!$A:$X,24,0)="",999999,VLOOKUP(AA24,RULES!$A:$X,24,0)*1),999999)</f>
        <v/>
      </c>
      <c r="AX24" s="29">
        <f>IFERROR(VLOOKUP(AA24,RULES!$A:$Y,25,0)*1,0)</f>
        <v/>
      </c>
      <c r="AY24" s="29">
        <f>IFERROR(VLOOKUP(AA24,RULES!$A:$Z,26,0),"NONE")</f>
        <v/>
      </c>
      <c r="AZ24" s="29">
        <f>IFERROR(VLOOKUP(AA24,RULES!$A:$AA,27,0)*1,0)</f>
        <v/>
      </c>
      <c r="BA24" s="29">
        <f>IFERROR(VLOOKUP(AA24,RULES!$A:$AB,28,0)*1,0)</f>
        <v/>
      </c>
    </row>
    <row r="25" ht="17" customHeight="1">
      <c r="A25" s="22" t="inlineStr">
        <is>
          <t>3222</t>
        </is>
      </c>
      <c r="B25" s="48" t="inlineStr">
        <is>
          <t>ACC002</t>
        </is>
      </c>
      <c r="C25" s="48" t="inlineStr">
        <is>
          <t>DEFAULT</t>
        </is>
      </c>
      <c r="D25" s="47" t="n"/>
      <c r="E25" s="22">
        <f>IF(OR(D25="",D25=0),"INACTIVE","ACTIVE")</f>
        <v/>
      </c>
      <c r="F25" s="48" t="inlineStr">
        <is>
          <t>NORMAL</t>
        </is>
      </c>
      <c r="G25" s="25" t="n"/>
      <c r="H25" s="25" t="n"/>
      <c r="I25" s="26">
        <f>IF(OR(E25="INACTIVE",H25=""),0,MAX(0,H25-G25))</f>
        <v/>
      </c>
      <c r="J25" s="23" t="n"/>
      <c r="K25" s="26">
        <f>IF(OR(E25="INACTIVE",H25=""),0,IF(AB25="DISABLED",0,IF(AB25="FLAT",AE25,IF(AB25="MANUAL",IF(J25="",0,J25*AC25),IF(AB25="STEP",IF(I25&lt;=AF25,I25*AG25,IF(I25&lt;=AH25,AF25*AG25+(I25-AF25)*AI25,AF25*AG25+(AH25-AF25)*AI25+(I25-AH25)*AK25)),MAX(I25*AC25,AD25))))))</f>
        <v/>
      </c>
      <c r="L25" s="26">
        <f>IF(OR(E25="INACTIVE",H25=""),0,IF(AL25="NONE",0,IF(AL25="FLAT",AM25,IF(AL25="PER_UNIT",I25*AN25,IF(AL25="MANUAL",IF(M25="",0,M25),0)))))</f>
        <v/>
      </c>
      <c r="M25" s="23" t="n"/>
      <c r="N25" s="48" t="inlineStr">
        <is>
          <t>NORMAL</t>
        </is>
      </c>
      <c r="O25" s="25" t="n"/>
      <c r="P25" s="25" t="n"/>
      <c r="Q25" s="26">
        <f>IF(OR(E25="INACTIVE",P25=""),0,MAX(0,P25-O25))</f>
        <v/>
      </c>
      <c r="R25" s="23" t="n"/>
      <c r="S25" s="26">
        <f>IF(OR(E25="INACTIVE",P25=""),0,IF(AO25="DISABLED",0,IF(AO25="FLAT",AR25,IF(AO25="MANUAL",IF(R25="",0,R25*AP25),IF(AO25="STEP",IF(Q25&lt;=AS25,Q25*AT25,IF(Q25&lt;=AU25,AS25*AT25+(Q25-AS25)*AV25,AS25*AT25+(AU25-AS25)*AV25+(Q25-AU25)*AX25)),MAX(Q25*AP25,AQ25))))))</f>
        <v/>
      </c>
      <c r="T25" s="26">
        <f>IF(OR(E25="INACTIVE",P25=""),0,IF(AY25="NONE",0,IF(AY25="FLAT",AZ25,IF(AY25="PER_UNIT",Q25*BA25,IF(AY25="MANUAL",IF(U25="",0,U25),0)))))</f>
        <v/>
      </c>
      <c r="U25" s="23" t="n"/>
      <c r="V25" s="25" t="n"/>
      <c r="W25" s="25" t="n"/>
      <c r="X25" s="26">
        <f>IF(E25="INACTIVE",0,D25+K25+L25+S25+T25+IF(V25="",0,V25)+IF(W25="",0,W25))</f>
        <v/>
      </c>
      <c r="Y25" s="27" t="n"/>
      <c r="Z25" s="28">
        <f>IF(E25="INACTIVE","_",IF(AND(G25&gt;0,H25&gt;0,H25&lt;G25),"[!]น้ำ reset ","")&amp;IF(AND(O25&gt;0,P25&gt;0,P25&lt;O25),"[!]ไฟ reset ","")&amp;IF(AND(F25="MANUAL",J25=""),"[X]units น้ำ ","")&amp;IF(AND(N25="MANUAL",R25=""),"[X]units ไฟ ","")&amp;IF(D25=0,"[!]ค่าเช่า=0",""))</f>
        <v/>
      </c>
      <c r="AA25" s="29">
        <f>IF(C25&lt;&gt;"",C25,CONFIG!$B$6)</f>
        <v/>
      </c>
      <c r="AB25" s="29">
        <f>IF(F25&lt;&gt;"",F25,IFERROR(VLOOKUP(AA25,RULES!$A:$C,3,0),CONFIG!$B$7))</f>
        <v/>
      </c>
      <c r="AC25" s="29">
        <f>IF(IFERROR(VLOOKUP(AA25,RULES!$A:$D,4,0),"")="",CONFIG!$B$10,VLOOKUP(AA25,RULES!$A:$D,4,0))</f>
        <v/>
      </c>
      <c r="AD25" s="29">
        <f>IF(IFERROR(VLOOKUP(AA25,RULES!$A:$E,5,0),"")="",CONFIG!$B$11,VLOOKUP(AA25,RULES!$A:$E,5,0))</f>
        <v/>
      </c>
      <c r="AE25" s="29">
        <f>IFERROR(VLOOKUP(AA25,RULES!$A:$F,6,0)*1,0)</f>
        <v/>
      </c>
      <c r="AF25" s="29">
        <f>IFERROR(VLOOKUP(AA25,RULES!$A:$G,7,0)*1,0)</f>
        <v/>
      </c>
      <c r="AG25" s="29">
        <f>IFERROR(VLOOKUP(AA25,RULES!$A:$H,8,0)*1,0)</f>
        <v/>
      </c>
      <c r="AH25" s="29">
        <f>IFERROR(VLOOKUP(AA25,RULES!$A:$I,9,0)*1,0)</f>
        <v/>
      </c>
      <c r="AI25" s="29">
        <f>IFERROR(VLOOKUP(AA25,RULES!$A:$J,10,0)*1,0)</f>
        <v/>
      </c>
      <c r="AJ25" s="29">
        <f>IFERROR(IF(VLOOKUP(AA25,RULES!$A:$K,11,0)="",999999,VLOOKUP(AA25,RULES!$A:$K,11,0)*1),999999)</f>
        <v/>
      </c>
      <c r="AK25" s="29">
        <f>IFERROR(VLOOKUP(AA25,RULES!$A:$L,12,0)*1,0)</f>
        <v/>
      </c>
      <c r="AL25" s="29">
        <f>IFERROR(VLOOKUP(AA25,RULES!$A:$M,13,0),"NONE")</f>
        <v/>
      </c>
      <c r="AM25" s="29">
        <f>IFERROR(VLOOKUP(AA25,RULES!$A:$N,14,0)*1,0)</f>
        <v/>
      </c>
      <c r="AN25" s="29">
        <f>IFERROR(VLOOKUP(AA25,RULES!$A:$O,15,0)*1,0)</f>
        <v/>
      </c>
      <c r="AO25" s="29">
        <f>IF(N25&lt;&gt;"",N25,IFERROR(VLOOKUP(AA25,RULES!$A:$P,16,0),CONFIG!$B$8))</f>
        <v/>
      </c>
      <c r="AP25" s="29">
        <f>IF(IFERROR(VLOOKUP(AA25,RULES!$A:$Q,17,0),"")="",CONFIG!$B$13,VLOOKUP(AA25,RULES!$A:$Q,17,0))</f>
        <v/>
      </c>
      <c r="AQ25" s="29">
        <f>IF(IFERROR(VLOOKUP(AA25,RULES!$A:$R,18,0),"")="",CONFIG!$B$14,VLOOKUP(AA25,RULES!$A:$R,18,0))</f>
        <v/>
      </c>
      <c r="AR25" s="29">
        <f>IFERROR(VLOOKUP(AA25,RULES!$A:$S,19,0)*1,0)</f>
        <v/>
      </c>
      <c r="AS25" s="29">
        <f>IFERROR(VLOOKUP(AA25,RULES!$A:$T,20,0)*1,0)</f>
        <v/>
      </c>
      <c r="AT25" s="29">
        <f>IFERROR(VLOOKUP(AA25,RULES!$A:$U,21,0)*1,0)</f>
        <v/>
      </c>
      <c r="AU25" s="29">
        <f>IFERROR(VLOOKUP(AA25,RULES!$A:$V,22,0)*1,0)</f>
        <v/>
      </c>
      <c r="AV25" s="29">
        <f>IFERROR(VLOOKUP(AA25,RULES!$A:$W,23,0)*1,0)</f>
        <v/>
      </c>
      <c r="AW25" s="29">
        <f>IFERROR(IF(VLOOKUP(AA25,RULES!$A:$X,24,0)="",999999,VLOOKUP(AA25,RULES!$A:$X,24,0)*1),999999)</f>
        <v/>
      </c>
      <c r="AX25" s="29">
        <f>IFERROR(VLOOKUP(AA25,RULES!$A:$Y,25,0)*1,0)</f>
        <v/>
      </c>
      <c r="AY25" s="29">
        <f>IFERROR(VLOOKUP(AA25,RULES!$A:$Z,26,0),"NONE")</f>
        <v/>
      </c>
      <c r="AZ25" s="29">
        <f>IFERROR(VLOOKUP(AA25,RULES!$A:$AA,27,0)*1,0)</f>
        <v/>
      </c>
      <c r="BA25" s="29">
        <f>IFERROR(VLOOKUP(AA25,RULES!$A:$AB,28,0)*1,0)</f>
        <v/>
      </c>
    </row>
    <row r="26" ht="17" customHeight="1">
      <c r="A26" s="22" t="inlineStr">
        <is>
          <t>3223</t>
        </is>
      </c>
      <c r="B26" s="48" t="inlineStr">
        <is>
          <t>ACC002</t>
        </is>
      </c>
      <c r="C26" s="48" t="inlineStr">
        <is>
          <t>DEFAULT</t>
        </is>
      </c>
      <c r="D26" s="47" t="n"/>
      <c r="E26" s="22">
        <f>IF(OR(D26="",D26=0),"INACTIVE","ACTIVE")</f>
        <v/>
      </c>
      <c r="F26" s="48" t="inlineStr">
        <is>
          <t>NORMAL</t>
        </is>
      </c>
      <c r="G26" s="25" t="n"/>
      <c r="H26" s="25" t="n"/>
      <c r="I26" s="26">
        <f>IF(OR(E26="INACTIVE",H26=""),0,MAX(0,H26-G26))</f>
        <v/>
      </c>
      <c r="J26" s="23" t="n"/>
      <c r="K26" s="26">
        <f>IF(OR(E26="INACTIVE",H26=""),0,IF(AB26="DISABLED",0,IF(AB26="FLAT",AE26,IF(AB26="MANUAL",IF(J26="",0,J26*AC26),IF(AB26="STEP",IF(I26&lt;=AF26,I26*AG26,IF(I26&lt;=AH26,AF26*AG26+(I26-AF26)*AI26,AF26*AG26+(AH26-AF26)*AI26+(I26-AH26)*AK26)),MAX(I26*AC26,AD26))))))</f>
        <v/>
      </c>
      <c r="L26" s="26">
        <f>IF(OR(E26="INACTIVE",H26=""),0,IF(AL26="NONE",0,IF(AL26="FLAT",AM26,IF(AL26="PER_UNIT",I26*AN26,IF(AL26="MANUAL",IF(M26="",0,M26),0)))))</f>
        <v/>
      </c>
      <c r="M26" s="23" t="n"/>
      <c r="N26" s="48" t="inlineStr">
        <is>
          <t>NORMAL</t>
        </is>
      </c>
      <c r="O26" s="25" t="n"/>
      <c r="P26" s="25" t="n"/>
      <c r="Q26" s="26">
        <f>IF(OR(E26="INACTIVE",P26=""),0,MAX(0,P26-O26))</f>
        <v/>
      </c>
      <c r="R26" s="23" t="n"/>
      <c r="S26" s="26">
        <f>IF(OR(E26="INACTIVE",P26=""),0,IF(AO26="DISABLED",0,IF(AO26="FLAT",AR26,IF(AO26="MANUAL",IF(R26="",0,R26*AP26),IF(AO26="STEP",IF(Q26&lt;=AS26,Q26*AT26,IF(Q26&lt;=AU26,AS26*AT26+(Q26-AS26)*AV26,AS26*AT26+(AU26-AS26)*AV26+(Q26-AU26)*AX26)),MAX(Q26*AP26,AQ26))))))</f>
        <v/>
      </c>
      <c r="T26" s="26">
        <f>IF(OR(E26="INACTIVE",P26=""),0,IF(AY26="NONE",0,IF(AY26="FLAT",AZ26,IF(AY26="PER_UNIT",Q26*BA26,IF(AY26="MANUAL",IF(U26="",0,U26),0)))))</f>
        <v/>
      </c>
      <c r="U26" s="23" t="n"/>
      <c r="V26" s="25" t="n"/>
      <c r="W26" s="25" t="n"/>
      <c r="X26" s="26">
        <f>IF(E26="INACTIVE",0,D26+K26+L26+S26+T26+IF(V26="",0,V26)+IF(W26="",0,W26))</f>
        <v/>
      </c>
      <c r="Y26" s="27" t="n"/>
      <c r="Z26" s="28">
        <f>IF(E26="INACTIVE","_",IF(AND(G26&gt;0,H26&gt;0,H26&lt;G26),"[!]น้ำ reset ","")&amp;IF(AND(O26&gt;0,P26&gt;0,P26&lt;O26),"[!]ไฟ reset ","")&amp;IF(AND(F26="MANUAL",J26=""),"[X]units น้ำ ","")&amp;IF(AND(N26="MANUAL",R26=""),"[X]units ไฟ ","")&amp;IF(D26=0,"[!]ค่าเช่า=0",""))</f>
        <v/>
      </c>
      <c r="AA26" s="29">
        <f>IF(C26&lt;&gt;"",C26,CONFIG!$B$6)</f>
        <v/>
      </c>
      <c r="AB26" s="29">
        <f>IF(F26&lt;&gt;"",F26,IFERROR(VLOOKUP(AA26,RULES!$A:$C,3,0),CONFIG!$B$7))</f>
        <v/>
      </c>
      <c r="AC26" s="29">
        <f>IF(IFERROR(VLOOKUP(AA26,RULES!$A:$D,4,0),"")="",CONFIG!$B$10,VLOOKUP(AA26,RULES!$A:$D,4,0))</f>
        <v/>
      </c>
      <c r="AD26" s="29">
        <f>IF(IFERROR(VLOOKUP(AA26,RULES!$A:$E,5,0),"")="",CONFIG!$B$11,VLOOKUP(AA26,RULES!$A:$E,5,0))</f>
        <v/>
      </c>
      <c r="AE26" s="29">
        <f>IFERROR(VLOOKUP(AA26,RULES!$A:$F,6,0)*1,0)</f>
        <v/>
      </c>
      <c r="AF26" s="29">
        <f>IFERROR(VLOOKUP(AA26,RULES!$A:$G,7,0)*1,0)</f>
        <v/>
      </c>
      <c r="AG26" s="29">
        <f>IFERROR(VLOOKUP(AA26,RULES!$A:$H,8,0)*1,0)</f>
        <v/>
      </c>
      <c r="AH26" s="29">
        <f>IFERROR(VLOOKUP(AA26,RULES!$A:$I,9,0)*1,0)</f>
        <v/>
      </c>
      <c r="AI26" s="29">
        <f>IFERROR(VLOOKUP(AA26,RULES!$A:$J,10,0)*1,0)</f>
        <v/>
      </c>
      <c r="AJ26" s="29">
        <f>IFERROR(IF(VLOOKUP(AA26,RULES!$A:$K,11,0)="",999999,VLOOKUP(AA26,RULES!$A:$K,11,0)*1),999999)</f>
        <v/>
      </c>
      <c r="AK26" s="29">
        <f>IFERROR(VLOOKUP(AA26,RULES!$A:$L,12,0)*1,0)</f>
        <v/>
      </c>
      <c r="AL26" s="29">
        <f>IFERROR(VLOOKUP(AA26,RULES!$A:$M,13,0),"NONE")</f>
        <v/>
      </c>
      <c r="AM26" s="29">
        <f>IFERROR(VLOOKUP(AA26,RULES!$A:$N,14,0)*1,0)</f>
        <v/>
      </c>
      <c r="AN26" s="29">
        <f>IFERROR(VLOOKUP(AA26,RULES!$A:$O,15,0)*1,0)</f>
        <v/>
      </c>
      <c r="AO26" s="29">
        <f>IF(N26&lt;&gt;"",N26,IFERROR(VLOOKUP(AA26,RULES!$A:$P,16,0),CONFIG!$B$8))</f>
        <v/>
      </c>
      <c r="AP26" s="29">
        <f>IF(IFERROR(VLOOKUP(AA26,RULES!$A:$Q,17,0),"")="",CONFIG!$B$13,VLOOKUP(AA26,RULES!$A:$Q,17,0))</f>
        <v/>
      </c>
      <c r="AQ26" s="29">
        <f>IF(IFERROR(VLOOKUP(AA26,RULES!$A:$R,18,0),"")="",CONFIG!$B$14,VLOOKUP(AA26,RULES!$A:$R,18,0))</f>
        <v/>
      </c>
      <c r="AR26" s="29">
        <f>IFERROR(VLOOKUP(AA26,RULES!$A:$S,19,0)*1,0)</f>
        <v/>
      </c>
      <c r="AS26" s="29">
        <f>IFERROR(VLOOKUP(AA26,RULES!$A:$T,20,0)*1,0)</f>
        <v/>
      </c>
      <c r="AT26" s="29">
        <f>IFERROR(VLOOKUP(AA26,RULES!$A:$U,21,0)*1,0)</f>
        <v/>
      </c>
      <c r="AU26" s="29">
        <f>IFERROR(VLOOKUP(AA26,RULES!$A:$V,22,0)*1,0)</f>
        <v/>
      </c>
      <c r="AV26" s="29">
        <f>IFERROR(VLOOKUP(AA26,RULES!$A:$W,23,0)*1,0)</f>
        <v/>
      </c>
      <c r="AW26" s="29">
        <f>IFERROR(IF(VLOOKUP(AA26,RULES!$A:$X,24,0)="",999999,VLOOKUP(AA26,RULES!$A:$X,24,0)*1),999999)</f>
        <v/>
      </c>
      <c r="AX26" s="29">
        <f>IFERROR(VLOOKUP(AA26,RULES!$A:$Y,25,0)*1,0)</f>
        <v/>
      </c>
      <c r="AY26" s="29">
        <f>IFERROR(VLOOKUP(AA26,RULES!$A:$Z,26,0),"NONE")</f>
        <v/>
      </c>
      <c r="AZ26" s="29">
        <f>IFERROR(VLOOKUP(AA26,RULES!$A:$AA,27,0)*1,0)</f>
        <v/>
      </c>
      <c r="BA26" s="29">
        <f>IFERROR(VLOOKUP(AA26,RULES!$A:$AB,28,0)*1,0)</f>
        <v/>
      </c>
    </row>
    <row r="27" ht="17" customHeight="1">
      <c r="A27" s="22" t="inlineStr">
        <is>
          <t>3224</t>
        </is>
      </c>
      <c r="B27" s="48" t="inlineStr">
        <is>
          <t>ACC002</t>
        </is>
      </c>
      <c r="C27" s="48" t="inlineStr">
        <is>
          <t>DEFAULT</t>
        </is>
      </c>
      <c r="D27" s="47" t="n"/>
      <c r="E27" s="22">
        <f>IF(OR(D27="",D27=0),"INACTIVE","ACTIVE")</f>
        <v/>
      </c>
      <c r="F27" s="48" t="inlineStr">
        <is>
          <t>NORMAL</t>
        </is>
      </c>
      <c r="G27" s="25" t="n"/>
      <c r="H27" s="25" t="n"/>
      <c r="I27" s="26">
        <f>IF(OR(E27="INACTIVE",H27=""),0,MAX(0,H27-G27))</f>
        <v/>
      </c>
      <c r="J27" s="23" t="n"/>
      <c r="K27" s="26">
        <f>IF(OR(E27="INACTIVE",H27=""),0,IF(AB27="DISABLED",0,IF(AB27="FLAT",AE27,IF(AB27="MANUAL",IF(J27="",0,J27*AC27),IF(AB27="STEP",IF(I27&lt;=AF27,I27*AG27,IF(I27&lt;=AH27,AF27*AG27+(I27-AF27)*AI27,AF27*AG27+(AH27-AF27)*AI27+(I27-AH27)*AK27)),MAX(I27*AC27,AD27))))))</f>
        <v/>
      </c>
      <c r="L27" s="26">
        <f>IF(OR(E27="INACTIVE",H27=""),0,IF(AL27="NONE",0,IF(AL27="FLAT",AM27,IF(AL27="PER_UNIT",I27*AN27,IF(AL27="MANUAL",IF(M27="",0,M27),0)))))</f>
        <v/>
      </c>
      <c r="M27" s="23" t="n"/>
      <c r="N27" s="48" t="inlineStr">
        <is>
          <t>NORMAL</t>
        </is>
      </c>
      <c r="O27" s="25" t="n"/>
      <c r="P27" s="25" t="n"/>
      <c r="Q27" s="26">
        <f>IF(OR(E27="INACTIVE",P27=""),0,MAX(0,P27-O27))</f>
        <v/>
      </c>
      <c r="R27" s="23" t="n"/>
      <c r="S27" s="26">
        <f>IF(OR(E27="INACTIVE",P27=""),0,IF(AO27="DISABLED",0,IF(AO27="FLAT",AR27,IF(AO27="MANUAL",IF(R27="",0,R27*AP27),IF(AO27="STEP",IF(Q27&lt;=AS27,Q27*AT27,IF(Q27&lt;=AU27,AS27*AT27+(Q27-AS27)*AV27,AS27*AT27+(AU27-AS27)*AV27+(Q27-AU27)*AX27)),MAX(Q27*AP27,AQ27))))))</f>
        <v/>
      </c>
      <c r="T27" s="26">
        <f>IF(OR(E27="INACTIVE",P27=""),0,IF(AY27="NONE",0,IF(AY27="FLAT",AZ27,IF(AY27="PER_UNIT",Q27*BA27,IF(AY27="MANUAL",IF(U27="",0,U27),0)))))</f>
        <v/>
      </c>
      <c r="U27" s="23" t="n"/>
      <c r="V27" s="25" t="n"/>
      <c r="W27" s="25" t="n"/>
      <c r="X27" s="26">
        <f>IF(E27="INACTIVE",0,D27+K27+L27+S27+T27+IF(V27="",0,V27)+IF(W27="",0,W27))</f>
        <v/>
      </c>
      <c r="Y27" s="27" t="n"/>
      <c r="Z27" s="28">
        <f>IF(E27="INACTIVE","_",IF(AND(G27&gt;0,H27&gt;0,H27&lt;G27),"[!]น้ำ reset ","")&amp;IF(AND(O27&gt;0,P27&gt;0,P27&lt;O27),"[!]ไฟ reset ","")&amp;IF(AND(F27="MANUAL",J27=""),"[X]units น้ำ ","")&amp;IF(AND(N27="MANUAL",R27=""),"[X]units ไฟ ","")&amp;IF(D27=0,"[!]ค่าเช่า=0",""))</f>
        <v/>
      </c>
      <c r="AA27" s="29">
        <f>IF(C27&lt;&gt;"",C27,CONFIG!$B$6)</f>
        <v/>
      </c>
      <c r="AB27" s="29">
        <f>IF(F27&lt;&gt;"",F27,IFERROR(VLOOKUP(AA27,RULES!$A:$C,3,0),CONFIG!$B$7))</f>
        <v/>
      </c>
      <c r="AC27" s="29">
        <f>IF(IFERROR(VLOOKUP(AA27,RULES!$A:$D,4,0),"")="",CONFIG!$B$10,VLOOKUP(AA27,RULES!$A:$D,4,0))</f>
        <v/>
      </c>
      <c r="AD27" s="29">
        <f>IF(IFERROR(VLOOKUP(AA27,RULES!$A:$E,5,0),"")="",CONFIG!$B$11,VLOOKUP(AA27,RULES!$A:$E,5,0))</f>
        <v/>
      </c>
      <c r="AE27" s="29">
        <f>IFERROR(VLOOKUP(AA27,RULES!$A:$F,6,0)*1,0)</f>
        <v/>
      </c>
      <c r="AF27" s="29">
        <f>IFERROR(VLOOKUP(AA27,RULES!$A:$G,7,0)*1,0)</f>
        <v/>
      </c>
      <c r="AG27" s="29">
        <f>IFERROR(VLOOKUP(AA27,RULES!$A:$H,8,0)*1,0)</f>
        <v/>
      </c>
      <c r="AH27" s="29">
        <f>IFERROR(VLOOKUP(AA27,RULES!$A:$I,9,0)*1,0)</f>
        <v/>
      </c>
      <c r="AI27" s="29">
        <f>IFERROR(VLOOKUP(AA27,RULES!$A:$J,10,0)*1,0)</f>
        <v/>
      </c>
      <c r="AJ27" s="29">
        <f>IFERROR(IF(VLOOKUP(AA27,RULES!$A:$K,11,0)="",999999,VLOOKUP(AA27,RULES!$A:$K,11,0)*1),999999)</f>
        <v/>
      </c>
      <c r="AK27" s="29">
        <f>IFERROR(VLOOKUP(AA27,RULES!$A:$L,12,0)*1,0)</f>
        <v/>
      </c>
      <c r="AL27" s="29">
        <f>IFERROR(VLOOKUP(AA27,RULES!$A:$M,13,0),"NONE")</f>
        <v/>
      </c>
      <c r="AM27" s="29">
        <f>IFERROR(VLOOKUP(AA27,RULES!$A:$N,14,0)*1,0)</f>
        <v/>
      </c>
      <c r="AN27" s="29">
        <f>IFERROR(VLOOKUP(AA27,RULES!$A:$O,15,0)*1,0)</f>
        <v/>
      </c>
      <c r="AO27" s="29">
        <f>IF(N27&lt;&gt;"",N27,IFERROR(VLOOKUP(AA27,RULES!$A:$P,16,0),CONFIG!$B$8))</f>
        <v/>
      </c>
      <c r="AP27" s="29">
        <f>IF(IFERROR(VLOOKUP(AA27,RULES!$A:$Q,17,0),"")="",CONFIG!$B$13,VLOOKUP(AA27,RULES!$A:$Q,17,0))</f>
        <v/>
      </c>
      <c r="AQ27" s="29">
        <f>IF(IFERROR(VLOOKUP(AA27,RULES!$A:$R,18,0),"")="",CONFIG!$B$14,VLOOKUP(AA27,RULES!$A:$R,18,0))</f>
        <v/>
      </c>
      <c r="AR27" s="29">
        <f>IFERROR(VLOOKUP(AA27,RULES!$A:$S,19,0)*1,0)</f>
        <v/>
      </c>
      <c r="AS27" s="29">
        <f>IFERROR(VLOOKUP(AA27,RULES!$A:$T,20,0)*1,0)</f>
        <v/>
      </c>
      <c r="AT27" s="29">
        <f>IFERROR(VLOOKUP(AA27,RULES!$A:$U,21,0)*1,0)</f>
        <v/>
      </c>
      <c r="AU27" s="29">
        <f>IFERROR(VLOOKUP(AA27,RULES!$A:$V,22,0)*1,0)</f>
        <v/>
      </c>
      <c r="AV27" s="29">
        <f>IFERROR(VLOOKUP(AA27,RULES!$A:$W,23,0)*1,0)</f>
        <v/>
      </c>
      <c r="AW27" s="29">
        <f>IFERROR(IF(VLOOKUP(AA27,RULES!$A:$X,24,0)="",999999,VLOOKUP(AA27,RULES!$A:$X,24,0)*1),999999)</f>
        <v/>
      </c>
      <c r="AX27" s="29">
        <f>IFERROR(VLOOKUP(AA27,RULES!$A:$Y,25,0)*1,0)</f>
        <v/>
      </c>
      <c r="AY27" s="29">
        <f>IFERROR(VLOOKUP(AA27,RULES!$A:$Z,26,0),"NONE")</f>
        <v/>
      </c>
      <c r="AZ27" s="29">
        <f>IFERROR(VLOOKUP(AA27,RULES!$A:$AA,27,0)*1,0)</f>
        <v/>
      </c>
      <c r="BA27" s="29">
        <f>IFERROR(VLOOKUP(AA27,RULES!$A:$AB,28,0)*1,0)</f>
        <v/>
      </c>
    </row>
    <row r="28" ht="17" customHeight="1">
      <c r="A28" s="22" t="inlineStr">
        <is>
          <t>3225</t>
        </is>
      </c>
      <c r="B28" s="48" t="inlineStr">
        <is>
          <t>ACC002</t>
        </is>
      </c>
      <c r="C28" s="48" t="inlineStr">
        <is>
          <t>DEFAULT</t>
        </is>
      </c>
      <c r="D28" s="47" t="n"/>
      <c r="E28" s="22">
        <f>IF(OR(D28="",D28=0),"INACTIVE","ACTIVE")</f>
        <v/>
      </c>
      <c r="F28" s="48" t="inlineStr">
        <is>
          <t>NORMAL</t>
        </is>
      </c>
      <c r="G28" s="25" t="n"/>
      <c r="H28" s="25" t="n"/>
      <c r="I28" s="26">
        <f>IF(OR(E28="INACTIVE",H28=""),0,MAX(0,H28-G28))</f>
        <v/>
      </c>
      <c r="J28" s="23" t="n"/>
      <c r="K28" s="26">
        <f>IF(OR(E28="INACTIVE",H28=""),0,IF(AB28="DISABLED",0,IF(AB28="FLAT",AE28,IF(AB28="MANUAL",IF(J28="",0,J28*AC28),IF(AB28="STEP",IF(I28&lt;=AF28,I28*AG28,IF(I28&lt;=AH28,AF28*AG28+(I28-AF28)*AI28,AF28*AG28+(AH28-AF28)*AI28+(I28-AH28)*AK28)),MAX(I28*AC28,AD28))))))</f>
        <v/>
      </c>
      <c r="L28" s="26">
        <f>IF(OR(E28="INACTIVE",H28=""),0,IF(AL28="NONE",0,IF(AL28="FLAT",AM28,IF(AL28="PER_UNIT",I28*AN28,IF(AL28="MANUAL",IF(M28="",0,M28),0)))))</f>
        <v/>
      </c>
      <c r="M28" s="23" t="n"/>
      <c r="N28" s="48" t="inlineStr">
        <is>
          <t>NORMAL</t>
        </is>
      </c>
      <c r="O28" s="25" t="n"/>
      <c r="P28" s="25" t="n"/>
      <c r="Q28" s="26">
        <f>IF(OR(E28="INACTIVE",P28=""),0,MAX(0,P28-O28))</f>
        <v/>
      </c>
      <c r="R28" s="23" t="n"/>
      <c r="S28" s="26">
        <f>IF(OR(E28="INACTIVE",P28=""),0,IF(AO28="DISABLED",0,IF(AO28="FLAT",AR28,IF(AO28="MANUAL",IF(R28="",0,R28*AP28),IF(AO28="STEP",IF(Q28&lt;=AS28,Q28*AT28,IF(Q28&lt;=AU28,AS28*AT28+(Q28-AS28)*AV28,AS28*AT28+(AU28-AS28)*AV28+(Q28-AU28)*AX28)),MAX(Q28*AP28,AQ28))))))</f>
        <v/>
      </c>
      <c r="T28" s="26">
        <f>IF(OR(E28="INACTIVE",P28=""),0,IF(AY28="NONE",0,IF(AY28="FLAT",AZ28,IF(AY28="PER_UNIT",Q28*BA28,IF(AY28="MANUAL",IF(U28="",0,U28),0)))))</f>
        <v/>
      </c>
      <c r="U28" s="23" t="n"/>
      <c r="V28" s="25" t="n"/>
      <c r="W28" s="25" t="n"/>
      <c r="X28" s="26">
        <f>IF(E28="INACTIVE",0,D28+K28+L28+S28+T28+IF(V28="",0,V28)+IF(W28="",0,W28))</f>
        <v/>
      </c>
      <c r="Y28" s="27" t="n"/>
      <c r="Z28" s="28">
        <f>IF(E28="INACTIVE","_",IF(AND(G28&gt;0,H28&gt;0,H28&lt;G28),"[!]น้ำ reset ","")&amp;IF(AND(O28&gt;0,P28&gt;0,P28&lt;O28),"[!]ไฟ reset ","")&amp;IF(AND(F28="MANUAL",J28=""),"[X]units น้ำ ","")&amp;IF(AND(N28="MANUAL",R28=""),"[X]units ไฟ ","")&amp;IF(D28=0,"[!]ค่าเช่า=0",""))</f>
        <v/>
      </c>
      <c r="AA28" s="29">
        <f>IF(C28&lt;&gt;"",C28,CONFIG!$B$6)</f>
        <v/>
      </c>
      <c r="AB28" s="29">
        <f>IF(F28&lt;&gt;"",F28,IFERROR(VLOOKUP(AA28,RULES!$A:$C,3,0),CONFIG!$B$7))</f>
        <v/>
      </c>
      <c r="AC28" s="29">
        <f>IF(IFERROR(VLOOKUP(AA28,RULES!$A:$D,4,0),"")="",CONFIG!$B$10,VLOOKUP(AA28,RULES!$A:$D,4,0))</f>
        <v/>
      </c>
      <c r="AD28" s="29">
        <f>IF(IFERROR(VLOOKUP(AA28,RULES!$A:$E,5,0),"")="",CONFIG!$B$11,VLOOKUP(AA28,RULES!$A:$E,5,0))</f>
        <v/>
      </c>
      <c r="AE28" s="29">
        <f>IFERROR(VLOOKUP(AA28,RULES!$A:$F,6,0)*1,0)</f>
        <v/>
      </c>
      <c r="AF28" s="29">
        <f>IFERROR(VLOOKUP(AA28,RULES!$A:$G,7,0)*1,0)</f>
        <v/>
      </c>
      <c r="AG28" s="29">
        <f>IFERROR(VLOOKUP(AA28,RULES!$A:$H,8,0)*1,0)</f>
        <v/>
      </c>
      <c r="AH28" s="29">
        <f>IFERROR(VLOOKUP(AA28,RULES!$A:$I,9,0)*1,0)</f>
        <v/>
      </c>
      <c r="AI28" s="29">
        <f>IFERROR(VLOOKUP(AA28,RULES!$A:$J,10,0)*1,0)</f>
        <v/>
      </c>
      <c r="AJ28" s="29">
        <f>IFERROR(IF(VLOOKUP(AA28,RULES!$A:$K,11,0)="",999999,VLOOKUP(AA28,RULES!$A:$K,11,0)*1),999999)</f>
        <v/>
      </c>
      <c r="AK28" s="29">
        <f>IFERROR(VLOOKUP(AA28,RULES!$A:$L,12,0)*1,0)</f>
        <v/>
      </c>
      <c r="AL28" s="29">
        <f>IFERROR(VLOOKUP(AA28,RULES!$A:$M,13,0),"NONE")</f>
        <v/>
      </c>
      <c r="AM28" s="29">
        <f>IFERROR(VLOOKUP(AA28,RULES!$A:$N,14,0)*1,0)</f>
        <v/>
      </c>
      <c r="AN28" s="29">
        <f>IFERROR(VLOOKUP(AA28,RULES!$A:$O,15,0)*1,0)</f>
        <v/>
      </c>
      <c r="AO28" s="29">
        <f>IF(N28&lt;&gt;"",N28,IFERROR(VLOOKUP(AA28,RULES!$A:$P,16,0),CONFIG!$B$8))</f>
        <v/>
      </c>
      <c r="AP28" s="29">
        <f>IF(IFERROR(VLOOKUP(AA28,RULES!$A:$Q,17,0),"")="",CONFIG!$B$13,VLOOKUP(AA28,RULES!$A:$Q,17,0))</f>
        <v/>
      </c>
      <c r="AQ28" s="29">
        <f>IF(IFERROR(VLOOKUP(AA28,RULES!$A:$R,18,0),"")="",CONFIG!$B$14,VLOOKUP(AA28,RULES!$A:$R,18,0))</f>
        <v/>
      </c>
      <c r="AR28" s="29">
        <f>IFERROR(VLOOKUP(AA28,RULES!$A:$S,19,0)*1,0)</f>
        <v/>
      </c>
      <c r="AS28" s="29">
        <f>IFERROR(VLOOKUP(AA28,RULES!$A:$T,20,0)*1,0)</f>
        <v/>
      </c>
      <c r="AT28" s="29">
        <f>IFERROR(VLOOKUP(AA28,RULES!$A:$U,21,0)*1,0)</f>
        <v/>
      </c>
      <c r="AU28" s="29">
        <f>IFERROR(VLOOKUP(AA28,RULES!$A:$V,22,0)*1,0)</f>
        <v/>
      </c>
      <c r="AV28" s="29">
        <f>IFERROR(VLOOKUP(AA28,RULES!$A:$W,23,0)*1,0)</f>
        <v/>
      </c>
      <c r="AW28" s="29">
        <f>IFERROR(IF(VLOOKUP(AA28,RULES!$A:$X,24,0)="",999999,VLOOKUP(AA28,RULES!$A:$X,24,0)*1),999999)</f>
        <v/>
      </c>
      <c r="AX28" s="29">
        <f>IFERROR(VLOOKUP(AA28,RULES!$A:$Y,25,0)*1,0)</f>
        <v/>
      </c>
      <c r="AY28" s="29">
        <f>IFERROR(VLOOKUP(AA28,RULES!$A:$Z,26,0),"NONE")</f>
        <v/>
      </c>
      <c r="AZ28" s="29">
        <f>IFERROR(VLOOKUP(AA28,RULES!$A:$AA,27,0)*1,0)</f>
        <v/>
      </c>
      <c r="BA28" s="29">
        <f>IFERROR(VLOOKUP(AA28,RULES!$A:$AB,28,0)*1,0)</f>
        <v/>
      </c>
    </row>
    <row r="29" ht="17" customHeight="1">
      <c r="A29" s="22" t="inlineStr">
        <is>
          <t>3226</t>
        </is>
      </c>
      <c r="B29" s="48" t="inlineStr">
        <is>
          <t>ACC002</t>
        </is>
      </c>
      <c r="C29" s="48" t="inlineStr">
        <is>
          <t>DEFAULT</t>
        </is>
      </c>
      <c r="D29" s="47" t="n"/>
      <c r="E29" s="22">
        <f>IF(OR(D29="",D29=0),"INACTIVE","ACTIVE")</f>
        <v/>
      </c>
      <c r="F29" s="48" t="inlineStr">
        <is>
          <t>NORMAL</t>
        </is>
      </c>
      <c r="G29" s="25" t="n"/>
      <c r="H29" s="25" t="n"/>
      <c r="I29" s="26">
        <f>IF(OR(E29="INACTIVE",H29=""),0,MAX(0,H29-G29))</f>
        <v/>
      </c>
      <c r="J29" s="23" t="n"/>
      <c r="K29" s="26">
        <f>IF(OR(E29="INACTIVE",H29=""),0,IF(AB29="DISABLED",0,IF(AB29="FLAT",AE29,IF(AB29="MANUAL",IF(J29="",0,J29*AC29),IF(AB29="STEP",IF(I29&lt;=AF29,I29*AG29,IF(I29&lt;=AH29,AF29*AG29+(I29-AF29)*AI29,AF29*AG29+(AH29-AF29)*AI29+(I29-AH29)*AK29)),MAX(I29*AC29,AD29))))))</f>
        <v/>
      </c>
      <c r="L29" s="26">
        <f>IF(OR(E29="INACTIVE",H29=""),0,IF(AL29="NONE",0,IF(AL29="FLAT",AM29,IF(AL29="PER_UNIT",I29*AN29,IF(AL29="MANUAL",IF(M29="",0,M29),0)))))</f>
        <v/>
      </c>
      <c r="M29" s="23" t="n"/>
      <c r="N29" s="48" t="inlineStr">
        <is>
          <t>NORMAL</t>
        </is>
      </c>
      <c r="O29" s="25" t="n"/>
      <c r="P29" s="25" t="n"/>
      <c r="Q29" s="26">
        <f>IF(OR(E29="INACTIVE",P29=""),0,MAX(0,P29-O29))</f>
        <v/>
      </c>
      <c r="R29" s="23" t="n"/>
      <c r="S29" s="26">
        <f>IF(OR(E29="INACTIVE",P29=""),0,IF(AO29="DISABLED",0,IF(AO29="FLAT",AR29,IF(AO29="MANUAL",IF(R29="",0,R29*AP29),IF(AO29="STEP",IF(Q29&lt;=AS29,Q29*AT29,IF(Q29&lt;=AU29,AS29*AT29+(Q29-AS29)*AV29,AS29*AT29+(AU29-AS29)*AV29+(Q29-AU29)*AX29)),MAX(Q29*AP29,AQ29))))))</f>
        <v/>
      </c>
      <c r="T29" s="26">
        <f>IF(OR(E29="INACTIVE",P29=""),0,IF(AY29="NONE",0,IF(AY29="FLAT",AZ29,IF(AY29="PER_UNIT",Q29*BA29,IF(AY29="MANUAL",IF(U29="",0,U29),0)))))</f>
        <v/>
      </c>
      <c r="U29" s="23" t="n"/>
      <c r="V29" s="25" t="n"/>
      <c r="W29" s="25" t="n"/>
      <c r="X29" s="26">
        <f>IF(E29="INACTIVE",0,D29+K29+L29+S29+T29+IF(V29="",0,V29)+IF(W29="",0,W29))</f>
        <v/>
      </c>
      <c r="Y29" s="27" t="n"/>
      <c r="Z29" s="28">
        <f>IF(E29="INACTIVE","_",IF(AND(G29&gt;0,H29&gt;0,H29&lt;G29),"[!]น้ำ reset ","")&amp;IF(AND(O29&gt;0,P29&gt;0,P29&lt;O29),"[!]ไฟ reset ","")&amp;IF(AND(F29="MANUAL",J29=""),"[X]units น้ำ ","")&amp;IF(AND(N29="MANUAL",R29=""),"[X]units ไฟ ","")&amp;IF(D29=0,"[!]ค่าเช่า=0",""))</f>
        <v/>
      </c>
      <c r="AA29" s="29">
        <f>IF(C29&lt;&gt;"",C29,CONFIG!$B$6)</f>
        <v/>
      </c>
      <c r="AB29" s="29">
        <f>IF(F29&lt;&gt;"",F29,IFERROR(VLOOKUP(AA29,RULES!$A:$C,3,0),CONFIG!$B$7))</f>
        <v/>
      </c>
      <c r="AC29" s="29">
        <f>IF(IFERROR(VLOOKUP(AA29,RULES!$A:$D,4,0),"")="",CONFIG!$B$10,VLOOKUP(AA29,RULES!$A:$D,4,0))</f>
        <v/>
      </c>
      <c r="AD29" s="29">
        <f>IF(IFERROR(VLOOKUP(AA29,RULES!$A:$E,5,0),"")="",CONFIG!$B$11,VLOOKUP(AA29,RULES!$A:$E,5,0))</f>
        <v/>
      </c>
      <c r="AE29" s="29">
        <f>IFERROR(VLOOKUP(AA29,RULES!$A:$F,6,0)*1,0)</f>
        <v/>
      </c>
      <c r="AF29" s="29">
        <f>IFERROR(VLOOKUP(AA29,RULES!$A:$G,7,0)*1,0)</f>
        <v/>
      </c>
      <c r="AG29" s="29">
        <f>IFERROR(VLOOKUP(AA29,RULES!$A:$H,8,0)*1,0)</f>
        <v/>
      </c>
      <c r="AH29" s="29">
        <f>IFERROR(VLOOKUP(AA29,RULES!$A:$I,9,0)*1,0)</f>
        <v/>
      </c>
      <c r="AI29" s="29">
        <f>IFERROR(VLOOKUP(AA29,RULES!$A:$J,10,0)*1,0)</f>
        <v/>
      </c>
      <c r="AJ29" s="29">
        <f>IFERROR(IF(VLOOKUP(AA29,RULES!$A:$K,11,0)="",999999,VLOOKUP(AA29,RULES!$A:$K,11,0)*1),999999)</f>
        <v/>
      </c>
      <c r="AK29" s="29">
        <f>IFERROR(VLOOKUP(AA29,RULES!$A:$L,12,0)*1,0)</f>
        <v/>
      </c>
      <c r="AL29" s="29">
        <f>IFERROR(VLOOKUP(AA29,RULES!$A:$M,13,0),"NONE")</f>
        <v/>
      </c>
      <c r="AM29" s="29">
        <f>IFERROR(VLOOKUP(AA29,RULES!$A:$N,14,0)*1,0)</f>
        <v/>
      </c>
      <c r="AN29" s="29">
        <f>IFERROR(VLOOKUP(AA29,RULES!$A:$O,15,0)*1,0)</f>
        <v/>
      </c>
      <c r="AO29" s="29">
        <f>IF(N29&lt;&gt;"",N29,IFERROR(VLOOKUP(AA29,RULES!$A:$P,16,0),CONFIG!$B$8))</f>
        <v/>
      </c>
      <c r="AP29" s="29">
        <f>IF(IFERROR(VLOOKUP(AA29,RULES!$A:$Q,17,0),"")="",CONFIG!$B$13,VLOOKUP(AA29,RULES!$A:$Q,17,0))</f>
        <v/>
      </c>
      <c r="AQ29" s="29">
        <f>IF(IFERROR(VLOOKUP(AA29,RULES!$A:$R,18,0),"")="",CONFIG!$B$14,VLOOKUP(AA29,RULES!$A:$R,18,0))</f>
        <v/>
      </c>
      <c r="AR29" s="29">
        <f>IFERROR(VLOOKUP(AA29,RULES!$A:$S,19,0)*1,0)</f>
        <v/>
      </c>
      <c r="AS29" s="29">
        <f>IFERROR(VLOOKUP(AA29,RULES!$A:$T,20,0)*1,0)</f>
        <v/>
      </c>
      <c r="AT29" s="29">
        <f>IFERROR(VLOOKUP(AA29,RULES!$A:$U,21,0)*1,0)</f>
        <v/>
      </c>
      <c r="AU29" s="29">
        <f>IFERROR(VLOOKUP(AA29,RULES!$A:$V,22,0)*1,0)</f>
        <v/>
      </c>
      <c r="AV29" s="29">
        <f>IFERROR(VLOOKUP(AA29,RULES!$A:$W,23,0)*1,0)</f>
        <v/>
      </c>
      <c r="AW29" s="29">
        <f>IFERROR(IF(VLOOKUP(AA29,RULES!$A:$X,24,0)="",999999,VLOOKUP(AA29,RULES!$A:$X,24,0)*1),999999)</f>
        <v/>
      </c>
      <c r="AX29" s="29">
        <f>IFERROR(VLOOKUP(AA29,RULES!$A:$Y,25,0)*1,0)</f>
        <v/>
      </c>
      <c r="AY29" s="29">
        <f>IFERROR(VLOOKUP(AA29,RULES!$A:$Z,26,0),"NONE")</f>
        <v/>
      </c>
      <c r="AZ29" s="29">
        <f>IFERROR(VLOOKUP(AA29,RULES!$A:$AA,27,0)*1,0)</f>
        <v/>
      </c>
      <c r="BA29" s="29">
        <f>IFERROR(VLOOKUP(AA29,RULES!$A:$AB,28,0)*1,0)</f>
        <v/>
      </c>
    </row>
    <row r="30" ht="17" customHeight="1">
      <c r="A30" s="22" t="inlineStr">
        <is>
          <t>3227</t>
        </is>
      </c>
      <c r="B30" s="48" t="inlineStr">
        <is>
          <t>ACC002</t>
        </is>
      </c>
      <c r="C30" s="48" t="inlineStr">
        <is>
          <t>DEFAULT</t>
        </is>
      </c>
      <c r="D30" s="47" t="n"/>
      <c r="E30" s="22">
        <f>IF(OR(D30="",D30=0),"INACTIVE","ACTIVE")</f>
        <v/>
      </c>
      <c r="F30" s="48" t="inlineStr">
        <is>
          <t>NORMAL</t>
        </is>
      </c>
      <c r="G30" s="25" t="n"/>
      <c r="H30" s="25" t="n"/>
      <c r="I30" s="26">
        <f>IF(OR(E30="INACTIVE",H30=""),0,MAX(0,H30-G30))</f>
        <v/>
      </c>
      <c r="J30" s="23" t="n"/>
      <c r="K30" s="26">
        <f>IF(OR(E30="INACTIVE",H30=""),0,IF(AB30="DISABLED",0,IF(AB30="FLAT",AE30,IF(AB30="MANUAL",IF(J30="",0,J30*AC30),IF(AB30="STEP",IF(I30&lt;=AF30,I30*AG30,IF(I30&lt;=AH30,AF30*AG30+(I30-AF30)*AI30,AF30*AG30+(AH30-AF30)*AI30+(I30-AH30)*AK30)),MAX(I30*AC30,AD30))))))</f>
        <v/>
      </c>
      <c r="L30" s="26">
        <f>IF(OR(E30="INACTIVE",H30=""),0,IF(AL30="NONE",0,IF(AL30="FLAT",AM30,IF(AL30="PER_UNIT",I30*AN30,IF(AL30="MANUAL",IF(M30="",0,M30),0)))))</f>
        <v/>
      </c>
      <c r="M30" s="23" t="n"/>
      <c r="N30" s="48" t="inlineStr">
        <is>
          <t>NORMAL</t>
        </is>
      </c>
      <c r="O30" s="25" t="n"/>
      <c r="P30" s="25" t="n"/>
      <c r="Q30" s="26">
        <f>IF(OR(E30="INACTIVE",P30=""),0,MAX(0,P30-O30))</f>
        <v/>
      </c>
      <c r="R30" s="23" t="n"/>
      <c r="S30" s="26">
        <f>IF(OR(E30="INACTIVE",P30=""),0,IF(AO30="DISABLED",0,IF(AO30="FLAT",AR30,IF(AO30="MANUAL",IF(R30="",0,R30*AP30),IF(AO30="STEP",IF(Q30&lt;=AS30,Q30*AT30,IF(Q30&lt;=AU30,AS30*AT30+(Q30-AS30)*AV30,AS30*AT30+(AU30-AS30)*AV30+(Q30-AU30)*AX30)),MAX(Q30*AP30,AQ30))))))</f>
        <v/>
      </c>
      <c r="T30" s="26">
        <f>IF(OR(E30="INACTIVE",P30=""),0,IF(AY30="NONE",0,IF(AY30="FLAT",AZ30,IF(AY30="PER_UNIT",Q30*BA30,IF(AY30="MANUAL",IF(U30="",0,U30),0)))))</f>
        <v/>
      </c>
      <c r="U30" s="23" t="n"/>
      <c r="V30" s="25" t="n"/>
      <c r="W30" s="25" t="n"/>
      <c r="X30" s="26">
        <f>IF(E30="INACTIVE",0,D30+K30+L30+S30+T30+IF(V30="",0,V30)+IF(W30="",0,W30))</f>
        <v/>
      </c>
      <c r="Y30" s="27" t="n"/>
      <c r="Z30" s="28">
        <f>IF(E30="INACTIVE","_",IF(AND(G30&gt;0,H30&gt;0,H30&lt;G30),"[!]น้ำ reset ","")&amp;IF(AND(O30&gt;0,P30&gt;0,P30&lt;O30),"[!]ไฟ reset ","")&amp;IF(AND(F30="MANUAL",J30=""),"[X]units น้ำ ","")&amp;IF(AND(N30="MANUAL",R30=""),"[X]units ไฟ ","")&amp;IF(D30=0,"[!]ค่าเช่า=0",""))</f>
        <v/>
      </c>
      <c r="AA30" s="29">
        <f>IF(C30&lt;&gt;"",C30,CONFIG!$B$6)</f>
        <v/>
      </c>
      <c r="AB30" s="29">
        <f>IF(F30&lt;&gt;"",F30,IFERROR(VLOOKUP(AA30,RULES!$A:$C,3,0),CONFIG!$B$7))</f>
        <v/>
      </c>
      <c r="AC30" s="29">
        <f>IF(IFERROR(VLOOKUP(AA30,RULES!$A:$D,4,0),"")="",CONFIG!$B$10,VLOOKUP(AA30,RULES!$A:$D,4,0))</f>
        <v/>
      </c>
      <c r="AD30" s="29">
        <f>IF(IFERROR(VLOOKUP(AA30,RULES!$A:$E,5,0),"")="",CONFIG!$B$11,VLOOKUP(AA30,RULES!$A:$E,5,0))</f>
        <v/>
      </c>
      <c r="AE30" s="29">
        <f>IFERROR(VLOOKUP(AA30,RULES!$A:$F,6,0)*1,0)</f>
        <v/>
      </c>
      <c r="AF30" s="29">
        <f>IFERROR(VLOOKUP(AA30,RULES!$A:$G,7,0)*1,0)</f>
        <v/>
      </c>
      <c r="AG30" s="29">
        <f>IFERROR(VLOOKUP(AA30,RULES!$A:$H,8,0)*1,0)</f>
        <v/>
      </c>
      <c r="AH30" s="29">
        <f>IFERROR(VLOOKUP(AA30,RULES!$A:$I,9,0)*1,0)</f>
        <v/>
      </c>
      <c r="AI30" s="29">
        <f>IFERROR(VLOOKUP(AA30,RULES!$A:$J,10,0)*1,0)</f>
        <v/>
      </c>
      <c r="AJ30" s="29">
        <f>IFERROR(IF(VLOOKUP(AA30,RULES!$A:$K,11,0)="",999999,VLOOKUP(AA30,RULES!$A:$K,11,0)*1),999999)</f>
        <v/>
      </c>
      <c r="AK30" s="29">
        <f>IFERROR(VLOOKUP(AA30,RULES!$A:$L,12,0)*1,0)</f>
        <v/>
      </c>
      <c r="AL30" s="29">
        <f>IFERROR(VLOOKUP(AA30,RULES!$A:$M,13,0),"NONE")</f>
        <v/>
      </c>
      <c r="AM30" s="29">
        <f>IFERROR(VLOOKUP(AA30,RULES!$A:$N,14,0)*1,0)</f>
        <v/>
      </c>
      <c r="AN30" s="29">
        <f>IFERROR(VLOOKUP(AA30,RULES!$A:$O,15,0)*1,0)</f>
        <v/>
      </c>
      <c r="AO30" s="29">
        <f>IF(N30&lt;&gt;"",N30,IFERROR(VLOOKUP(AA30,RULES!$A:$P,16,0),CONFIG!$B$8))</f>
        <v/>
      </c>
      <c r="AP30" s="29">
        <f>IF(IFERROR(VLOOKUP(AA30,RULES!$A:$Q,17,0),"")="",CONFIG!$B$13,VLOOKUP(AA30,RULES!$A:$Q,17,0))</f>
        <v/>
      </c>
      <c r="AQ30" s="29">
        <f>IF(IFERROR(VLOOKUP(AA30,RULES!$A:$R,18,0),"")="",CONFIG!$B$14,VLOOKUP(AA30,RULES!$A:$R,18,0))</f>
        <v/>
      </c>
      <c r="AR30" s="29">
        <f>IFERROR(VLOOKUP(AA30,RULES!$A:$S,19,0)*1,0)</f>
        <v/>
      </c>
      <c r="AS30" s="29">
        <f>IFERROR(VLOOKUP(AA30,RULES!$A:$T,20,0)*1,0)</f>
        <v/>
      </c>
      <c r="AT30" s="29">
        <f>IFERROR(VLOOKUP(AA30,RULES!$A:$U,21,0)*1,0)</f>
        <v/>
      </c>
      <c r="AU30" s="29">
        <f>IFERROR(VLOOKUP(AA30,RULES!$A:$V,22,0)*1,0)</f>
        <v/>
      </c>
      <c r="AV30" s="29">
        <f>IFERROR(VLOOKUP(AA30,RULES!$A:$W,23,0)*1,0)</f>
        <v/>
      </c>
      <c r="AW30" s="29">
        <f>IFERROR(IF(VLOOKUP(AA30,RULES!$A:$X,24,0)="",999999,VLOOKUP(AA30,RULES!$A:$X,24,0)*1),999999)</f>
        <v/>
      </c>
      <c r="AX30" s="29">
        <f>IFERROR(VLOOKUP(AA30,RULES!$A:$Y,25,0)*1,0)</f>
        <v/>
      </c>
      <c r="AY30" s="29">
        <f>IFERROR(VLOOKUP(AA30,RULES!$A:$Z,26,0),"NONE")</f>
        <v/>
      </c>
      <c r="AZ30" s="29">
        <f>IFERROR(VLOOKUP(AA30,RULES!$A:$AA,27,0)*1,0)</f>
        <v/>
      </c>
      <c r="BA30" s="29">
        <f>IFERROR(VLOOKUP(AA30,RULES!$A:$AB,28,0)*1,0)</f>
        <v/>
      </c>
    </row>
    <row r="31" ht="17" customHeight="1">
      <c r="A31" s="22" t="inlineStr">
        <is>
          <t>3228</t>
        </is>
      </c>
      <c r="B31" s="48" t="inlineStr">
        <is>
          <t>ACC002</t>
        </is>
      </c>
      <c r="C31" s="48" t="inlineStr">
        <is>
          <t>DEFAULT</t>
        </is>
      </c>
      <c r="D31" s="47" t="n"/>
      <c r="E31" s="22">
        <f>IF(OR(D31="",D31=0),"INACTIVE","ACTIVE")</f>
        <v/>
      </c>
      <c r="F31" s="48" t="inlineStr">
        <is>
          <t>NORMAL</t>
        </is>
      </c>
      <c r="G31" s="25" t="n"/>
      <c r="H31" s="25" t="n"/>
      <c r="I31" s="26">
        <f>IF(OR(E31="INACTIVE",H31=""),0,MAX(0,H31-G31))</f>
        <v/>
      </c>
      <c r="J31" s="23" t="n"/>
      <c r="K31" s="26">
        <f>IF(OR(E31="INACTIVE",H31=""),0,IF(AB31="DISABLED",0,IF(AB31="FLAT",AE31,IF(AB31="MANUAL",IF(J31="",0,J31*AC31),IF(AB31="STEP",IF(I31&lt;=AF31,I31*AG31,IF(I31&lt;=AH31,AF31*AG31+(I31-AF31)*AI31,AF31*AG31+(AH31-AF31)*AI31+(I31-AH31)*AK31)),MAX(I31*AC31,AD31))))))</f>
        <v/>
      </c>
      <c r="L31" s="26">
        <f>IF(OR(E31="INACTIVE",H31=""),0,IF(AL31="NONE",0,IF(AL31="FLAT",AM31,IF(AL31="PER_UNIT",I31*AN31,IF(AL31="MANUAL",IF(M31="",0,M31),0)))))</f>
        <v/>
      </c>
      <c r="M31" s="23" t="n"/>
      <c r="N31" s="48" t="inlineStr">
        <is>
          <t>NORMAL</t>
        </is>
      </c>
      <c r="O31" s="25" t="n"/>
      <c r="P31" s="25" t="n"/>
      <c r="Q31" s="26">
        <f>IF(OR(E31="INACTIVE",P31=""),0,MAX(0,P31-O31))</f>
        <v/>
      </c>
      <c r="R31" s="23" t="n"/>
      <c r="S31" s="26">
        <f>IF(OR(E31="INACTIVE",P31=""),0,IF(AO31="DISABLED",0,IF(AO31="FLAT",AR31,IF(AO31="MANUAL",IF(R31="",0,R31*AP31),IF(AO31="STEP",IF(Q31&lt;=AS31,Q31*AT31,IF(Q31&lt;=AU31,AS31*AT31+(Q31-AS31)*AV31,AS31*AT31+(AU31-AS31)*AV31+(Q31-AU31)*AX31)),MAX(Q31*AP31,AQ31))))))</f>
        <v/>
      </c>
      <c r="T31" s="26">
        <f>IF(OR(E31="INACTIVE",P31=""),0,IF(AY31="NONE",0,IF(AY31="FLAT",AZ31,IF(AY31="PER_UNIT",Q31*BA31,IF(AY31="MANUAL",IF(U31="",0,U31),0)))))</f>
        <v/>
      </c>
      <c r="U31" s="23" t="n"/>
      <c r="V31" s="25" t="n"/>
      <c r="W31" s="25" t="n"/>
      <c r="X31" s="26">
        <f>IF(E31="INACTIVE",0,D31+K31+L31+S31+T31+IF(V31="",0,V31)+IF(W31="",0,W31))</f>
        <v/>
      </c>
      <c r="Y31" s="27" t="n"/>
      <c r="Z31" s="28">
        <f>IF(E31="INACTIVE","_",IF(AND(G31&gt;0,H31&gt;0,H31&lt;G31),"[!]น้ำ reset ","")&amp;IF(AND(O31&gt;0,P31&gt;0,P31&lt;O31),"[!]ไฟ reset ","")&amp;IF(AND(F31="MANUAL",J31=""),"[X]units น้ำ ","")&amp;IF(AND(N31="MANUAL",R31=""),"[X]units ไฟ ","")&amp;IF(D31=0,"[!]ค่าเช่า=0",""))</f>
        <v/>
      </c>
      <c r="AA31" s="29">
        <f>IF(C31&lt;&gt;"",C31,CONFIG!$B$6)</f>
        <v/>
      </c>
      <c r="AB31" s="29">
        <f>IF(F31&lt;&gt;"",F31,IFERROR(VLOOKUP(AA31,RULES!$A:$C,3,0),CONFIG!$B$7))</f>
        <v/>
      </c>
      <c r="AC31" s="29">
        <f>IF(IFERROR(VLOOKUP(AA31,RULES!$A:$D,4,0),"")="",CONFIG!$B$10,VLOOKUP(AA31,RULES!$A:$D,4,0))</f>
        <v/>
      </c>
      <c r="AD31" s="29">
        <f>IF(IFERROR(VLOOKUP(AA31,RULES!$A:$E,5,0),"")="",CONFIG!$B$11,VLOOKUP(AA31,RULES!$A:$E,5,0))</f>
        <v/>
      </c>
      <c r="AE31" s="29">
        <f>IFERROR(VLOOKUP(AA31,RULES!$A:$F,6,0)*1,0)</f>
        <v/>
      </c>
      <c r="AF31" s="29">
        <f>IFERROR(VLOOKUP(AA31,RULES!$A:$G,7,0)*1,0)</f>
        <v/>
      </c>
      <c r="AG31" s="29">
        <f>IFERROR(VLOOKUP(AA31,RULES!$A:$H,8,0)*1,0)</f>
        <v/>
      </c>
      <c r="AH31" s="29">
        <f>IFERROR(VLOOKUP(AA31,RULES!$A:$I,9,0)*1,0)</f>
        <v/>
      </c>
      <c r="AI31" s="29">
        <f>IFERROR(VLOOKUP(AA31,RULES!$A:$J,10,0)*1,0)</f>
        <v/>
      </c>
      <c r="AJ31" s="29">
        <f>IFERROR(IF(VLOOKUP(AA31,RULES!$A:$K,11,0)="",999999,VLOOKUP(AA31,RULES!$A:$K,11,0)*1),999999)</f>
        <v/>
      </c>
      <c r="AK31" s="29">
        <f>IFERROR(VLOOKUP(AA31,RULES!$A:$L,12,0)*1,0)</f>
        <v/>
      </c>
      <c r="AL31" s="29">
        <f>IFERROR(VLOOKUP(AA31,RULES!$A:$M,13,0),"NONE")</f>
        <v/>
      </c>
      <c r="AM31" s="29">
        <f>IFERROR(VLOOKUP(AA31,RULES!$A:$N,14,0)*1,0)</f>
        <v/>
      </c>
      <c r="AN31" s="29">
        <f>IFERROR(VLOOKUP(AA31,RULES!$A:$O,15,0)*1,0)</f>
        <v/>
      </c>
      <c r="AO31" s="29">
        <f>IF(N31&lt;&gt;"",N31,IFERROR(VLOOKUP(AA31,RULES!$A:$P,16,0),CONFIG!$B$8))</f>
        <v/>
      </c>
      <c r="AP31" s="29">
        <f>IF(IFERROR(VLOOKUP(AA31,RULES!$A:$Q,17,0),"")="",CONFIG!$B$13,VLOOKUP(AA31,RULES!$A:$Q,17,0))</f>
        <v/>
      </c>
      <c r="AQ31" s="29">
        <f>IF(IFERROR(VLOOKUP(AA31,RULES!$A:$R,18,0),"")="",CONFIG!$B$14,VLOOKUP(AA31,RULES!$A:$R,18,0))</f>
        <v/>
      </c>
      <c r="AR31" s="29">
        <f>IFERROR(VLOOKUP(AA31,RULES!$A:$S,19,0)*1,0)</f>
        <v/>
      </c>
      <c r="AS31" s="29">
        <f>IFERROR(VLOOKUP(AA31,RULES!$A:$T,20,0)*1,0)</f>
        <v/>
      </c>
      <c r="AT31" s="29">
        <f>IFERROR(VLOOKUP(AA31,RULES!$A:$U,21,0)*1,0)</f>
        <v/>
      </c>
      <c r="AU31" s="29">
        <f>IFERROR(VLOOKUP(AA31,RULES!$A:$V,22,0)*1,0)</f>
        <v/>
      </c>
      <c r="AV31" s="29">
        <f>IFERROR(VLOOKUP(AA31,RULES!$A:$W,23,0)*1,0)</f>
        <v/>
      </c>
      <c r="AW31" s="29">
        <f>IFERROR(IF(VLOOKUP(AA31,RULES!$A:$X,24,0)="",999999,VLOOKUP(AA31,RULES!$A:$X,24,0)*1),999999)</f>
        <v/>
      </c>
      <c r="AX31" s="29">
        <f>IFERROR(VLOOKUP(AA31,RULES!$A:$Y,25,0)*1,0)</f>
        <v/>
      </c>
      <c r="AY31" s="29">
        <f>IFERROR(VLOOKUP(AA31,RULES!$A:$Z,26,0),"NONE")</f>
        <v/>
      </c>
      <c r="AZ31" s="29">
        <f>IFERROR(VLOOKUP(AA31,RULES!$A:$AA,27,0)*1,0)</f>
        <v/>
      </c>
      <c r="BA31" s="29">
        <f>IFERROR(VLOOKUP(AA31,RULES!$A:$AB,28,0)*1,0)</f>
        <v/>
      </c>
    </row>
    <row r="32" ht="17" customHeight="1">
      <c r="A32" s="22" t="inlineStr">
        <is>
          <t>3229</t>
        </is>
      </c>
      <c r="B32" s="48" t="inlineStr">
        <is>
          <t>ACC002</t>
        </is>
      </c>
      <c r="C32" s="48" t="inlineStr">
        <is>
          <t>DEFAULT</t>
        </is>
      </c>
      <c r="D32" s="47" t="n"/>
      <c r="E32" s="22">
        <f>IF(OR(D32="",D32=0),"INACTIVE","ACTIVE")</f>
        <v/>
      </c>
      <c r="F32" s="48" t="inlineStr">
        <is>
          <t>NORMAL</t>
        </is>
      </c>
      <c r="G32" s="25" t="n"/>
      <c r="H32" s="25" t="n"/>
      <c r="I32" s="26">
        <f>IF(OR(E32="INACTIVE",H32=""),0,MAX(0,H32-G32))</f>
        <v/>
      </c>
      <c r="J32" s="23" t="n"/>
      <c r="K32" s="26">
        <f>IF(OR(E32="INACTIVE",H32=""),0,IF(AB32="DISABLED",0,IF(AB32="FLAT",AE32,IF(AB32="MANUAL",IF(J32="",0,J32*AC32),IF(AB32="STEP",IF(I32&lt;=AF32,I32*AG32,IF(I32&lt;=AH32,AF32*AG32+(I32-AF32)*AI32,AF32*AG32+(AH32-AF32)*AI32+(I32-AH32)*AK32)),MAX(I32*AC32,AD32))))))</f>
        <v/>
      </c>
      <c r="L32" s="26">
        <f>IF(OR(E32="INACTIVE",H32=""),0,IF(AL32="NONE",0,IF(AL32="FLAT",AM32,IF(AL32="PER_UNIT",I32*AN32,IF(AL32="MANUAL",IF(M32="",0,M32),0)))))</f>
        <v/>
      </c>
      <c r="M32" s="23" t="n"/>
      <c r="N32" s="48" t="inlineStr">
        <is>
          <t>NORMAL</t>
        </is>
      </c>
      <c r="O32" s="25" t="n"/>
      <c r="P32" s="25" t="n"/>
      <c r="Q32" s="26">
        <f>IF(OR(E32="INACTIVE",P32=""),0,MAX(0,P32-O32))</f>
        <v/>
      </c>
      <c r="R32" s="23" t="n"/>
      <c r="S32" s="26">
        <f>IF(OR(E32="INACTIVE",P32=""),0,IF(AO32="DISABLED",0,IF(AO32="FLAT",AR32,IF(AO32="MANUAL",IF(R32="",0,R32*AP32),IF(AO32="STEP",IF(Q32&lt;=AS32,Q32*AT32,IF(Q32&lt;=AU32,AS32*AT32+(Q32-AS32)*AV32,AS32*AT32+(AU32-AS32)*AV32+(Q32-AU32)*AX32)),MAX(Q32*AP32,AQ32))))))</f>
        <v/>
      </c>
      <c r="T32" s="26">
        <f>IF(OR(E32="INACTIVE",P32=""),0,IF(AY32="NONE",0,IF(AY32="FLAT",AZ32,IF(AY32="PER_UNIT",Q32*BA32,IF(AY32="MANUAL",IF(U32="",0,U32),0)))))</f>
        <v/>
      </c>
      <c r="U32" s="23" t="n"/>
      <c r="V32" s="25" t="n"/>
      <c r="W32" s="25" t="n"/>
      <c r="X32" s="26">
        <f>IF(E32="INACTIVE",0,D32+K32+L32+S32+T32+IF(V32="",0,V32)+IF(W32="",0,W32))</f>
        <v/>
      </c>
      <c r="Y32" s="27" t="n"/>
      <c r="Z32" s="28">
        <f>IF(E32="INACTIVE","_",IF(AND(G32&gt;0,H32&gt;0,H32&lt;G32),"[!]น้ำ reset ","")&amp;IF(AND(O32&gt;0,P32&gt;0,P32&lt;O32),"[!]ไฟ reset ","")&amp;IF(AND(F32="MANUAL",J32=""),"[X]units น้ำ ","")&amp;IF(AND(N32="MANUAL",R32=""),"[X]units ไฟ ","")&amp;IF(D32=0,"[!]ค่าเช่า=0",""))</f>
        <v/>
      </c>
      <c r="AA32" s="29">
        <f>IF(C32&lt;&gt;"",C32,CONFIG!$B$6)</f>
        <v/>
      </c>
      <c r="AB32" s="29">
        <f>IF(F32&lt;&gt;"",F32,IFERROR(VLOOKUP(AA32,RULES!$A:$C,3,0),CONFIG!$B$7))</f>
        <v/>
      </c>
      <c r="AC32" s="29">
        <f>IF(IFERROR(VLOOKUP(AA32,RULES!$A:$D,4,0),"")="",CONFIG!$B$10,VLOOKUP(AA32,RULES!$A:$D,4,0))</f>
        <v/>
      </c>
      <c r="AD32" s="29">
        <f>IF(IFERROR(VLOOKUP(AA32,RULES!$A:$E,5,0),"")="",CONFIG!$B$11,VLOOKUP(AA32,RULES!$A:$E,5,0))</f>
        <v/>
      </c>
      <c r="AE32" s="29">
        <f>IFERROR(VLOOKUP(AA32,RULES!$A:$F,6,0)*1,0)</f>
        <v/>
      </c>
      <c r="AF32" s="29">
        <f>IFERROR(VLOOKUP(AA32,RULES!$A:$G,7,0)*1,0)</f>
        <v/>
      </c>
      <c r="AG32" s="29">
        <f>IFERROR(VLOOKUP(AA32,RULES!$A:$H,8,0)*1,0)</f>
        <v/>
      </c>
      <c r="AH32" s="29">
        <f>IFERROR(VLOOKUP(AA32,RULES!$A:$I,9,0)*1,0)</f>
        <v/>
      </c>
      <c r="AI32" s="29">
        <f>IFERROR(VLOOKUP(AA32,RULES!$A:$J,10,0)*1,0)</f>
        <v/>
      </c>
      <c r="AJ32" s="29">
        <f>IFERROR(IF(VLOOKUP(AA32,RULES!$A:$K,11,0)="",999999,VLOOKUP(AA32,RULES!$A:$K,11,0)*1),999999)</f>
        <v/>
      </c>
      <c r="AK32" s="29">
        <f>IFERROR(VLOOKUP(AA32,RULES!$A:$L,12,0)*1,0)</f>
        <v/>
      </c>
      <c r="AL32" s="29">
        <f>IFERROR(VLOOKUP(AA32,RULES!$A:$M,13,0),"NONE")</f>
        <v/>
      </c>
      <c r="AM32" s="29">
        <f>IFERROR(VLOOKUP(AA32,RULES!$A:$N,14,0)*1,0)</f>
        <v/>
      </c>
      <c r="AN32" s="29">
        <f>IFERROR(VLOOKUP(AA32,RULES!$A:$O,15,0)*1,0)</f>
        <v/>
      </c>
      <c r="AO32" s="29">
        <f>IF(N32&lt;&gt;"",N32,IFERROR(VLOOKUP(AA32,RULES!$A:$P,16,0),CONFIG!$B$8))</f>
        <v/>
      </c>
      <c r="AP32" s="29">
        <f>IF(IFERROR(VLOOKUP(AA32,RULES!$A:$Q,17,0),"")="",CONFIG!$B$13,VLOOKUP(AA32,RULES!$A:$Q,17,0))</f>
        <v/>
      </c>
      <c r="AQ32" s="29">
        <f>IF(IFERROR(VLOOKUP(AA32,RULES!$A:$R,18,0),"")="",CONFIG!$B$14,VLOOKUP(AA32,RULES!$A:$R,18,0))</f>
        <v/>
      </c>
      <c r="AR32" s="29">
        <f>IFERROR(VLOOKUP(AA32,RULES!$A:$S,19,0)*1,0)</f>
        <v/>
      </c>
      <c r="AS32" s="29">
        <f>IFERROR(VLOOKUP(AA32,RULES!$A:$T,20,0)*1,0)</f>
        <v/>
      </c>
      <c r="AT32" s="29">
        <f>IFERROR(VLOOKUP(AA32,RULES!$A:$U,21,0)*1,0)</f>
        <v/>
      </c>
      <c r="AU32" s="29">
        <f>IFERROR(VLOOKUP(AA32,RULES!$A:$V,22,0)*1,0)</f>
        <v/>
      </c>
      <c r="AV32" s="29">
        <f>IFERROR(VLOOKUP(AA32,RULES!$A:$W,23,0)*1,0)</f>
        <v/>
      </c>
      <c r="AW32" s="29">
        <f>IFERROR(IF(VLOOKUP(AA32,RULES!$A:$X,24,0)="",999999,VLOOKUP(AA32,RULES!$A:$X,24,0)*1),999999)</f>
        <v/>
      </c>
      <c r="AX32" s="29">
        <f>IFERROR(VLOOKUP(AA32,RULES!$A:$Y,25,0)*1,0)</f>
        <v/>
      </c>
      <c r="AY32" s="29">
        <f>IFERROR(VLOOKUP(AA32,RULES!$A:$Z,26,0),"NONE")</f>
        <v/>
      </c>
      <c r="AZ32" s="29">
        <f>IFERROR(VLOOKUP(AA32,RULES!$A:$AA,27,0)*1,0)</f>
        <v/>
      </c>
      <c r="BA32" s="29">
        <f>IFERROR(VLOOKUP(AA32,RULES!$A:$AB,28,0)*1,0)</f>
        <v/>
      </c>
    </row>
    <row r="33" ht="17" customHeight="1">
      <c r="A33" s="22" t="inlineStr">
        <is>
          <t>3230</t>
        </is>
      </c>
      <c r="B33" s="48" t="inlineStr">
        <is>
          <t>ACC002</t>
        </is>
      </c>
      <c r="C33" s="48" t="inlineStr">
        <is>
          <t>DEFAULT</t>
        </is>
      </c>
      <c r="D33" s="47" t="n"/>
      <c r="E33" s="22">
        <f>IF(OR(D33="",D33=0),"INACTIVE","ACTIVE")</f>
        <v/>
      </c>
      <c r="F33" s="48" t="inlineStr">
        <is>
          <t>NORMAL</t>
        </is>
      </c>
      <c r="G33" s="25" t="n"/>
      <c r="H33" s="25" t="n"/>
      <c r="I33" s="26">
        <f>IF(OR(E33="INACTIVE",H33=""),0,MAX(0,H33-G33))</f>
        <v/>
      </c>
      <c r="J33" s="23" t="n"/>
      <c r="K33" s="26">
        <f>IF(OR(E33="INACTIVE",H33=""),0,IF(AB33="DISABLED",0,IF(AB33="FLAT",AE33,IF(AB33="MANUAL",IF(J33="",0,J33*AC33),IF(AB33="STEP",IF(I33&lt;=AF33,I33*AG33,IF(I33&lt;=AH33,AF33*AG33+(I33-AF33)*AI33,AF33*AG33+(AH33-AF33)*AI33+(I33-AH33)*AK33)),MAX(I33*AC33,AD33))))))</f>
        <v/>
      </c>
      <c r="L33" s="26">
        <f>IF(OR(E33="INACTIVE",H33=""),0,IF(AL33="NONE",0,IF(AL33="FLAT",AM33,IF(AL33="PER_UNIT",I33*AN33,IF(AL33="MANUAL",IF(M33="",0,M33),0)))))</f>
        <v/>
      </c>
      <c r="M33" s="23" t="n"/>
      <c r="N33" s="48" t="inlineStr">
        <is>
          <t>NORMAL</t>
        </is>
      </c>
      <c r="O33" s="25" t="n"/>
      <c r="P33" s="25" t="n"/>
      <c r="Q33" s="26">
        <f>IF(OR(E33="INACTIVE",P33=""),0,MAX(0,P33-O33))</f>
        <v/>
      </c>
      <c r="R33" s="23" t="n"/>
      <c r="S33" s="26">
        <f>IF(OR(E33="INACTIVE",P33=""),0,IF(AO33="DISABLED",0,IF(AO33="FLAT",AR33,IF(AO33="MANUAL",IF(R33="",0,R33*AP33),IF(AO33="STEP",IF(Q33&lt;=AS33,Q33*AT33,IF(Q33&lt;=AU33,AS33*AT33+(Q33-AS33)*AV33,AS33*AT33+(AU33-AS33)*AV33+(Q33-AU33)*AX33)),MAX(Q33*AP33,AQ33))))))</f>
        <v/>
      </c>
      <c r="T33" s="26">
        <f>IF(OR(E33="INACTIVE",P33=""),0,IF(AY33="NONE",0,IF(AY33="FLAT",AZ33,IF(AY33="PER_UNIT",Q33*BA33,IF(AY33="MANUAL",IF(U33="",0,U33),0)))))</f>
        <v/>
      </c>
      <c r="U33" s="23" t="n"/>
      <c r="V33" s="25" t="n"/>
      <c r="W33" s="25" t="n"/>
      <c r="X33" s="26">
        <f>IF(E33="INACTIVE",0,D33+K33+L33+S33+T33+IF(V33="",0,V33)+IF(W33="",0,W33))</f>
        <v/>
      </c>
      <c r="Y33" s="27" t="n"/>
      <c r="Z33" s="28">
        <f>IF(E33="INACTIVE","_",IF(AND(G33&gt;0,H33&gt;0,H33&lt;G33),"[!]น้ำ reset ","")&amp;IF(AND(O33&gt;0,P33&gt;0,P33&lt;O33),"[!]ไฟ reset ","")&amp;IF(AND(F33="MANUAL",J33=""),"[X]units น้ำ ","")&amp;IF(AND(N33="MANUAL",R33=""),"[X]units ไฟ ","")&amp;IF(D33=0,"[!]ค่าเช่า=0",""))</f>
        <v/>
      </c>
      <c r="AA33" s="29">
        <f>IF(C33&lt;&gt;"",C33,CONFIG!$B$6)</f>
        <v/>
      </c>
      <c r="AB33" s="29">
        <f>IF(F33&lt;&gt;"",F33,IFERROR(VLOOKUP(AA33,RULES!$A:$C,3,0),CONFIG!$B$7))</f>
        <v/>
      </c>
      <c r="AC33" s="29">
        <f>IF(IFERROR(VLOOKUP(AA33,RULES!$A:$D,4,0),"")="",CONFIG!$B$10,VLOOKUP(AA33,RULES!$A:$D,4,0))</f>
        <v/>
      </c>
      <c r="AD33" s="29">
        <f>IF(IFERROR(VLOOKUP(AA33,RULES!$A:$E,5,0),"")="",CONFIG!$B$11,VLOOKUP(AA33,RULES!$A:$E,5,0))</f>
        <v/>
      </c>
      <c r="AE33" s="29">
        <f>IFERROR(VLOOKUP(AA33,RULES!$A:$F,6,0)*1,0)</f>
        <v/>
      </c>
      <c r="AF33" s="29">
        <f>IFERROR(VLOOKUP(AA33,RULES!$A:$G,7,0)*1,0)</f>
        <v/>
      </c>
      <c r="AG33" s="29">
        <f>IFERROR(VLOOKUP(AA33,RULES!$A:$H,8,0)*1,0)</f>
        <v/>
      </c>
      <c r="AH33" s="29">
        <f>IFERROR(VLOOKUP(AA33,RULES!$A:$I,9,0)*1,0)</f>
        <v/>
      </c>
      <c r="AI33" s="29">
        <f>IFERROR(VLOOKUP(AA33,RULES!$A:$J,10,0)*1,0)</f>
        <v/>
      </c>
      <c r="AJ33" s="29">
        <f>IFERROR(IF(VLOOKUP(AA33,RULES!$A:$K,11,0)="",999999,VLOOKUP(AA33,RULES!$A:$K,11,0)*1),999999)</f>
        <v/>
      </c>
      <c r="AK33" s="29">
        <f>IFERROR(VLOOKUP(AA33,RULES!$A:$L,12,0)*1,0)</f>
        <v/>
      </c>
      <c r="AL33" s="29">
        <f>IFERROR(VLOOKUP(AA33,RULES!$A:$M,13,0),"NONE")</f>
        <v/>
      </c>
      <c r="AM33" s="29">
        <f>IFERROR(VLOOKUP(AA33,RULES!$A:$N,14,0)*1,0)</f>
        <v/>
      </c>
      <c r="AN33" s="29">
        <f>IFERROR(VLOOKUP(AA33,RULES!$A:$O,15,0)*1,0)</f>
        <v/>
      </c>
      <c r="AO33" s="29">
        <f>IF(N33&lt;&gt;"",N33,IFERROR(VLOOKUP(AA33,RULES!$A:$P,16,0),CONFIG!$B$8))</f>
        <v/>
      </c>
      <c r="AP33" s="29">
        <f>IF(IFERROR(VLOOKUP(AA33,RULES!$A:$Q,17,0),"")="",CONFIG!$B$13,VLOOKUP(AA33,RULES!$A:$Q,17,0))</f>
        <v/>
      </c>
      <c r="AQ33" s="29">
        <f>IF(IFERROR(VLOOKUP(AA33,RULES!$A:$R,18,0),"")="",CONFIG!$B$14,VLOOKUP(AA33,RULES!$A:$R,18,0))</f>
        <v/>
      </c>
      <c r="AR33" s="29">
        <f>IFERROR(VLOOKUP(AA33,RULES!$A:$S,19,0)*1,0)</f>
        <v/>
      </c>
      <c r="AS33" s="29">
        <f>IFERROR(VLOOKUP(AA33,RULES!$A:$T,20,0)*1,0)</f>
        <v/>
      </c>
      <c r="AT33" s="29">
        <f>IFERROR(VLOOKUP(AA33,RULES!$A:$U,21,0)*1,0)</f>
        <v/>
      </c>
      <c r="AU33" s="29">
        <f>IFERROR(VLOOKUP(AA33,RULES!$A:$V,22,0)*1,0)</f>
        <v/>
      </c>
      <c r="AV33" s="29">
        <f>IFERROR(VLOOKUP(AA33,RULES!$A:$W,23,0)*1,0)</f>
        <v/>
      </c>
      <c r="AW33" s="29">
        <f>IFERROR(IF(VLOOKUP(AA33,RULES!$A:$X,24,0)="",999999,VLOOKUP(AA33,RULES!$A:$X,24,0)*1),999999)</f>
        <v/>
      </c>
      <c r="AX33" s="29">
        <f>IFERROR(VLOOKUP(AA33,RULES!$A:$Y,25,0)*1,0)</f>
        <v/>
      </c>
      <c r="AY33" s="29">
        <f>IFERROR(VLOOKUP(AA33,RULES!$A:$Z,26,0),"NONE")</f>
        <v/>
      </c>
      <c r="AZ33" s="29">
        <f>IFERROR(VLOOKUP(AA33,RULES!$A:$AA,27,0)*1,0)</f>
        <v/>
      </c>
      <c r="BA33" s="29">
        <f>IFERROR(VLOOKUP(AA33,RULES!$A:$AB,28,0)*1,0)</f>
        <v/>
      </c>
    </row>
    <row r="34" ht="17" customHeight="1">
      <c r="A34" s="22" t="inlineStr">
        <is>
          <t>3231</t>
        </is>
      </c>
      <c r="B34" s="48" t="inlineStr">
        <is>
          <t>ACC002</t>
        </is>
      </c>
      <c r="C34" s="48" t="inlineStr">
        <is>
          <t>DEFAULT</t>
        </is>
      </c>
      <c r="D34" s="47" t="n"/>
      <c r="E34" s="22">
        <f>IF(OR(D34="",D34=0),"INACTIVE","ACTIVE")</f>
        <v/>
      </c>
      <c r="F34" s="48" t="inlineStr">
        <is>
          <t>NORMAL</t>
        </is>
      </c>
      <c r="G34" s="25" t="n"/>
      <c r="H34" s="25" t="n"/>
      <c r="I34" s="26">
        <f>IF(OR(E34="INACTIVE",H34=""),0,MAX(0,H34-G34))</f>
        <v/>
      </c>
      <c r="J34" s="23" t="n"/>
      <c r="K34" s="26">
        <f>IF(OR(E34="INACTIVE",H34=""),0,IF(AB34="DISABLED",0,IF(AB34="FLAT",AE34,IF(AB34="MANUAL",IF(J34="",0,J34*AC34),IF(AB34="STEP",IF(I34&lt;=AF34,I34*AG34,IF(I34&lt;=AH34,AF34*AG34+(I34-AF34)*AI34,AF34*AG34+(AH34-AF34)*AI34+(I34-AH34)*AK34)),MAX(I34*AC34,AD34))))))</f>
        <v/>
      </c>
      <c r="L34" s="26">
        <f>IF(OR(E34="INACTIVE",H34=""),0,IF(AL34="NONE",0,IF(AL34="FLAT",AM34,IF(AL34="PER_UNIT",I34*AN34,IF(AL34="MANUAL",IF(M34="",0,M34),0)))))</f>
        <v/>
      </c>
      <c r="M34" s="23" t="n"/>
      <c r="N34" s="48" t="inlineStr">
        <is>
          <t>NORMAL</t>
        </is>
      </c>
      <c r="O34" s="25" t="n"/>
      <c r="P34" s="25" t="n"/>
      <c r="Q34" s="26">
        <f>IF(OR(E34="INACTIVE",P34=""),0,MAX(0,P34-O34))</f>
        <v/>
      </c>
      <c r="R34" s="23" t="n"/>
      <c r="S34" s="26">
        <f>IF(OR(E34="INACTIVE",P34=""),0,IF(AO34="DISABLED",0,IF(AO34="FLAT",AR34,IF(AO34="MANUAL",IF(R34="",0,R34*AP34),IF(AO34="STEP",IF(Q34&lt;=AS34,Q34*AT34,IF(Q34&lt;=AU34,AS34*AT34+(Q34-AS34)*AV34,AS34*AT34+(AU34-AS34)*AV34+(Q34-AU34)*AX34)),MAX(Q34*AP34,AQ34))))))</f>
        <v/>
      </c>
      <c r="T34" s="26">
        <f>IF(OR(E34="INACTIVE",P34=""),0,IF(AY34="NONE",0,IF(AY34="FLAT",AZ34,IF(AY34="PER_UNIT",Q34*BA34,IF(AY34="MANUAL",IF(U34="",0,U34),0)))))</f>
        <v/>
      </c>
      <c r="U34" s="23" t="n"/>
      <c r="V34" s="25" t="n"/>
      <c r="W34" s="25" t="n"/>
      <c r="X34" s="26">
        <f>IF(E34="INACTIVE",0,D34+K34+L34+S34+T34+IF(V34="",0,V34)+IF(W34="",0,W34))</f>
        <v/>
      </c>
      <c r="Y34" s="27" t="n"/>
      <c r="Z34" s="28">
        <f>IF(E34="INACTIVE","_",IF(AND(G34&gt;0,H34&gt;0,H34&lt;G34),"[!]น้ำ reset ","")&amp;IF(AND(O34&gt;0,P34&gt;0,P34&lt;O34),"[!]ไฟ reset ","")&amp;IF(AND(F34="MANUAL",J34=""),"[X]units น้ำ ","")&amp;IF(AND(N34="MANUAL",R34=""),"[X]units ไฟ ","")&amp;IF(D34=0,"[!]ค่าเช่า=0",""))</f>
        <v/>
      </c>
      <c r="AA34" s="29">
        <f>IF(C34&lt;&gt;"",C34,CONFIG!$B$6)</f>
        <v/>
      </c>
      <c r="AB34" s="29">
        <f>IF(F34&lt;&gt;"",F34,IFERROR(VLOOKUP(AA34,RULES!$A:$C,3,0),CONFIG!$B$7))</f>
        <v/>
      </c>
      <c r="AC34" s="29">
        <f>IF(IFERROR(VLOOKUP(AA34,RULES!$A:$D,4,0),"")="",CONFIG!$B$10,VLOOKUP(AA34,RULES!$A:$D,4,0))</f>
        <v/>
      </c>
      <c r="AD34" s="29">
        <f>IF(IFERROR(VLOOKUP(AA34,RULES!$A:$E,5,0),"")="",CONFIG!$B$11,VLOOKUP(AA34,RULES!$A:$E,5,0))</f>
        <v/>
      </c>
      <c r="AE34" s="29">
        <f>IFERROR(VLOOKUP(AA34,RULES!$A:$F,6,0)*1,0)</f>
        <v/>
      </c>
      <c r="AF34" s="29">
        <f>IFERROR(VLOOKUP(AA34,RULES!$A:$G,7,0)*1,0)</f>
        <v/>
      </c>
      <c r="AG34" s="29">
        <f>IFERROR(VLOOKUP(AA34,RULES!$A:$H,8,0)*1,0)</f>
        <v/>
      </c>
      <c r="AH34" s="29">
        <f>IFERROR(VLOOKUP(AA34,RULES!$A:$I,9,0)*1,0)</f>
        <v/>
      </c>
      <c r="AI34" s="29">
        <f>IFERROR(VLOOKUP(AA34,RULES!$A:$J,10,0)*1,0)</f>
        <v/>
      </c>
      <c r="AJ34" s="29">
        <f>IFERROR(IF(VLOOKUP(AA34,RULES!$A:$K,11,0)="",999999,VLOOKUP(AA34,RULES!$A:$K,11,0)*1),999999)</f>
        <v/>
      </c>
      <c r="AK34" s="29">
        <f>IFERROR(VLOOKUP(AA34,RULES!$A:$L,12,0)*1,0)</f>
        <v/>
      </c>
      <c r="AL34" s="29">
        <f>IFERROR(VLOOKUP(AA34,RULES!$A:$M,13,0),"NONE")</f>
        <v/>
      </c>
      <c r="AM34" s="29">
        <f>IFERROR(VLOOKUP(AA34,RULES!$A:$N,14,0)*1,0)</f>
        <v/>
      </c>
      <c r="AN34" s="29">
        <f>IFERROR(VLOOKUP(AA34,RULES!$A:$O,15,0)*1,0)</f>
        <v/>
      </c>
      <c r="AO34" s="29">
        <f>IF(N34&lt;&gt;"",N34,IFERROR(VLOOKUP(AA34,RULES!$A:$P,16,0),CONFIG!$B$8))</f>
        <v/>
      </c>
      <c r="AP34" s="29">
        <f>IF(IFERROR(VLOOKUP(AA34,RULES!$A:$Q,17,0),"")="",CONFIG!$B$13,VLOOKUP(AA34,RULES!$A:$Q,17,0))</f>
        <v/>
      </c>
      <c r="AQ34" s="29">
        <f>IF(IFERROR(VLOOKUP(AA34,RULES!$A:$R,18,0),"")="",CONFIG!$B$14,VLOOKUP(AA34,RULES!$A:$R,18,0))</f>
        <v/>
      </c>
      <c r="AR34" s="29">
        <f>IFERROR(VLOOKUP(AA34,RULES!$A:$S,19,0)*1,0)</f>
        <v/>
      </c>
      <c r="AS34" s="29">
        <f>IFERROR(VLOOKUP(AA34,RULES!$A:$T,20,0)*1,0)</f>
        <v/>
      </c>
      <c r="AT34" s="29">
        <f>IFERROR(VLOOKUP(AA34,RULES!$A:$U,21,0)*1,0)</f>
        <v/>
      </c>
      <c r="AU34" s="29">
        <f>IFERROR(VLOOKUP(AA34,RULES!$A:$V,22,0)*1,0)</f>
        <v/>
      </c>
      <c r="AV34" s="29">
        <f>IFERROR(VLOOKUP(AA34,RULES!$A:$W,23,0)*1,0)</f>
        <v/>
      </c>
      <c r="AW34" s="29">
        <f>IFERROR(IF(VLOOKUP(AA34,RULES!$A:$X,24,0)="",999999,VLOOKUP(AA34,RULES!$A:$X,24,0)*1),999999)</f>
        <v/>
      </c>
      <c r="AX34" s="29">
        <f>IFERROR(VLOOKUP(AA34,RULES!$A:$Y,25,0)*1,0)</f>
        <v/>
      </c>
      <c r="AY34" s="29">
        <f>IFERROR(VLOOKUP(AA34,RULES!$A:$Z,26,0),"NONE")</f>
        <v/>
      </c>
      <c r="AZ34" s="29">
        <f>IFERROR(VLOOKUP(AA34,RULES!$A:$AA,27,0)*1,0)</f>
        <v/>
      </c>
      <c r="BA34" s="29">
        <f>IFERROR(VLOOKUP(AA34,RULES!$A:$AB,28,0)*1,0)</f>
        <v/>
      </c>
    </row>
    <row r="35" ht="17" customHeight="1">
      <c r="A35" s="22" t="inlineStr">
        <is>
          <t>3232</t>
        </is>
      </c>
      <c r="B35" s="48" t="inlineStr">
        <is>
          <t>ACC002</t>
        </is>
      </c>
      <c r="C35" s="48" t="inlineStr">
        <is>
          <t>DEFAULT</t>
        </is>
      </c>
      <c r="D35" s="47" t="n"/>
      <c r="E35" s="22">
        <f>IF(OR(D35="",D35=0),"INACTIVE","ACTIVE")</f>
        <v/>
      </c>
      <c r="F35" s="48" t="inlineStr">
        <is>
          <t>NORMAL</t>
        </is>
      </c>
      <c r="G35" s="25" t="n"/>
      <c r="H35" s="25" t="n"/>
      <c r="I35" s="26">
        <f>IF(OR(E35="INACTIVE",H35=""),0,MAX(0,H35-G35))</f>
        <v/>
      </c>
      <c r="J35" s="23" t="n"/>
      <c r="K35" s="26">
        <f>IF(OR(E35="INACTIVE",H35=""),0,IF(AB35="DISABLED",0,IF(AB35="FLAT",AE35,IF(AB35="MANUAL",IF(J35="",0,J35*AC35),IF(AB35="STEP",IF(I35&lt;=AF35,I35*AG35,IF(I35&lt;=AH35,AF35*AG35+(I35-AF35)*AI35,AF35*AG35+(AH35-AF35)*AI35+(I35-AH35)*AK35)),MAX(I35*AC35,AD35))))))</f>
        <v/>
      </c>
      <c r="L35" s="26">
        <f>IF(OR(E35="INACTIVE",H35=""),0,IF(AL35="NONE",0,IF(AL35="FLAT",AM35,IF(AL35="PER_UNIT",I35*AN35,IF(AL35="MANUAL",IF(M35="",0,M35),0)))))</f>
        <v/>
      </c>
      <c r="M35" s="23" t="n"/>
      <c r="N35" s="48" t="inlineStr">
        <is>
          <t>NORMAL</t>
        </is>
      </c>
      <c r="O35" s="25" t="n"/>
      <c r="P35" s="25" t="n"/>
      <c r="Q35" s="26">
        <f>IF(OR(E35="INACTIVE",P35=""),0,MAX(0,P35-O35))</f>
        <v/>
      </c>
      <c r="R35" s="23" t="n"/>
      <c r="S35" s="26">
        <f>IF(OR(E35="INACTIVE",P35=""),0,IF(AO35="DISABLED",0,IF(AO35="FLAT",AR35,IF(AO35="MANUAL",IF(R35="",0,R35*AP35),IF(AO35="STEP",IF(Q35&lt;=AS35,Q35*AT35,IF(Q35&lt;=AU35,AS35*AT35+(Q35-AS35)*AV35,AS35*AT35+(AU35-AS35)*AV35+(Q35-AU35)*AX35)),MAX(Q35*AP35,AQ35))))))</f>
        <v/>
      </c>
      <c r="T35" s="26">
        <f>IF(OR(E35="INACTIVE",P35=""),0,IF(AY35="NONE",0,IF(AY35="FLAT",AZ35,IF(AY35="PER_UNIT",Q35*BA35,IF(AY35="MANUAL",IF(U35="",0,U35),0)))))</f>
        <v/>
      </c>
      <c r="U35" s="23" t="n"/>
      <c r="V35" s="25" t="n"/>
      <c r="W35" s="25" t="n"/>
      <c r="X35" s="26">
        <f>IF(E35="INACTIVE",0,D35+K35+L35+S35+T35+IF(V35="",0,V35)+IF(W35="",0,W35))</f>
        <v/>
      </c>
      <c r="Y35" s="27" t="n"/>
      <c r="Z35" s="28">
        <f>IF(E35="INACTIVE","_",IF(AND(G35&gt;0,H35&gt;0,H35&lt;G35),"[!]น้ำ reset ","")&amp;IF(AND(O35&gt;0,P35&gt;0,P35&lt;O35),"[!]ไฟ reset ","")&amp;IF(AND(F35="MANUAL",J35=""),"[X]units น้ำ ","")&amp;IF(AND(N35="MANUAL",R35=""),"[X]units ไฟ ","")&amp;IF(D35=0,"[!]ค่าเช่า=0",""))</f>
        <v/>
      </c>
      <c r="AA35" s="29">
        <f>IF(C35&lt;&gt;"",C35,CONFIG!$B$6)</f>
        <v/>
      </c>
      <c r="AB35" s="29">
        <f>IF(F35&lt;&gt;"",F35,IFERROR(VLOOKUP(AA35,RULES!$A:$C,3,0),CONFIG!$B$7))</f>
        <v/>
      </c>
      <c r="AC35" s="29">
        <f>IF(IFERROR(VLOOKUP(AA35,RULES!$A:$D,4,0),"")="",CONFIG!$B$10,VLOOKUP(AA35,RULES!$A:$D,4,0))</f>
        <v/>
      </c>
      <c r="AD35" s="29">
        <f>IF(IFERROR(VLOOKUP(AA35,RULES!$A:$E,5,0),"")="",CONFIG!$B$11,VLOOKUP(AA35,RULES!$A:$E,5,0))</f>
        <v/>
      </c>
      <c r="AE35" s="29">
        <f>IFERROR(VLOOKUP(AA35,RULES!$A:$F,6,0)*1,0)</f>
        <v/>
      </c>
      <c r="AF35" s="29">
        <f>IFERROR(VLOOKUP(AA35,RULES!$A:$G,7,0)*1,0)</f>
        <v/>
      </c>
      <c r="AG35" s="29">
        <f>IFERROR(VLOOKUP(AA35,RULES!$A:$H,8,0)*1,0)</f>
        <v/>
      </c>
      <c r="AH35" s="29">
        <f>IFERROR(VLOOKUP(AA35,RULES!$A:$I,9,0)*1,0)</f>
        <v/>
      </c>
      <c r="AI35" s="29">
        <f>IFERROR(VLOOKUP(AA35,RULES!$A:$J,10,0)*1,0)</f>
        <v/>
      </c>
      <c r="AJ35" s="29">
        <f>IFERROR(IF(VLOOKUP(AA35,RULES!$A:$K,11,0)="",999999,VLOOKUP(AA35,RULES!$A:$K,11,0)*1),999999)</f>
        <v/>
      </c>
      <c r="AK35" s="29">
        <f>IFERROR(VLOOKUP(AA35,RULES!$A:$L,12,0)*1,0)</f>
        <v/>
      </c>
      <c r="AL35" s="29">
        <f>IFERROR(VLOOKUP(AA35,RULES!$A:$M,13,0),"NONE")</f>
        <v/>
      </c>
      <c r="AM35" s="29">
        <f>IFERROR(VLOOKUP(AA35,RULES!$A:$N,14,0)*1,0)</f>
        <v/>
      </c>
      <c r="AN35" s="29">
        <f>IFERROR(VLOOKUP(AA35,RULES!$A:$O,15,0)*1,0)</f>
        <v/>
      </c>
      <c r="AO35" s="29">
        <f>IF(N35&lt;&gt;"",N35,IFERROR(VLOOKUP(AA35,RULES!$A:$P,16,0),CONFIG!$B$8))</f>
        <v/>
      </c>
      <c r="AP35" s="29">
        <f>IF(IFERROR(VLOOKUP(AA35,RULES!$A:$Q,17,0),"")="",CONFIG!$B$13,VLOOKUP(AA35,RULES!$A:$Q,17,0))</f>
        <v/>
      </c>
      <c r="AQ35" s="29">
        <f>IF(IFERROR(VLOOKUP(AA35,RULES!$A:$R,18,0),"")="",CONFIG!$B$14,VLOOKUP(AA35,RULES!$A:$R,18,0))</f>
        <v/>
      </c>
      <c r="AR35" s="29">
        <f>IFERROR(VLOOKUP(AA35,RULES!$A:$S,19,0)*1,0)</f>
        <v/>
      </c>
      <c r="AS35" s="29">
        <f>IFERROR(VLOOKUP(AA35,RULES!$A:$T,20,0)*1,0)</f>
        <v/>
      </c>
      <c r="AT35" s="29">
        <f>IFERROR(VLOOKUP(AA35,RULES!$A:$U,21,0)*1,0)</f>
        <v/>
      </c>
      <c r="AU35" s="29">
        <f>IFERROR(VLOOKUP(AA35,RULES!$A:$V,22,0)*1,0)</f>
        <v/>
      </c>
      <c r="AV35" s="29">
        <f>IFERROR(VLOOKUP(AA35,RULES!$A:$W,23,0)*1,0)</f>
        <v/>
      </c>
      <c r="AW35" s="29">
        <f>IFERROR(IF(VLOOKUP(AA35,RULES!$A:$X,24,0)="",999999,VLOOKUP(AA35,RULES!$A:$X,24,0)*1),999999)</f>
        <v/>
      </c>
      <c r="AX35" s="29">
        <f>IFERROR(VLOOKUP(AA35,RULES!$A:$Y,25,0)*1,0)</f>
        <v/>
      </c>
      <c r="AY35" s="29">
        <f>IFERROR(VLOOKUP(AA35,RULES!$A:$Z,26,0),"NONE")</f>
        <v/>
      </c>
      <c r="AZ35" s="29">
        <f>IFERROR(VLOOKUP(AA35,RULES!$A:$AA,27,0)*1,0)</f>
        <v/>
      </c>
      <c r="BA35" s="29">
        <f>IFERROR(VLOOKUP(AA35,RULES!$A:$AB,28,0)*1,0)</f>
        <v/>
      </c>
    </row>
    <row r="36" ht="17" customHeight="1">
      <c r="A36" s="35" t="n"/>
      <c r="B36" s="46" t="n"/>
      <c r="C36" s="48" t="inlineStr">
        <is>
          <t>DEFAULT</t>
        </is>
      </c>
      <c r="D36" s="47" t="n"/>
      <c r="E36" s="38">
        <f>IF(OR(D36="",D36=0),"INACTIVE","ACTIVE")</f>
        <v/>
      </c>
      <c r="F36" s="48" t="inlineStr">
        <is>
          <t>NORMAL</t>
        </is>
      </c>
      <c r="G36" s="37" t="n"/>
      <c r="H36" s="37" t="n"/>
      <c r="I36" s="39">
        <f>IF(OR(E36="INACTIVE",H36=""),0,MAX(0,H36-G36))</f>
        <v/>
      </c>
      <c r="J36" s="37" t="n"/>
      <c r="K36" s="40">
        <f>IF(OR(E36="INACTIVE",H36=""),0,IF(AB36="DISABLED",0,IF(AB36="FLAT",AE36,IF(AB36="MANUAL",IF(J36="",0,J36*AC36),IF(AB36="STEP",IF(I36&lt;=AF36,I36*AG36,IF(I36&lt;=AH36,AF36*AG36+(I36-AF36)*AI36,AF36*AG36+(AH36-AF36)*AI36+(I36-AH36)*AK36)),MAX(I36*AC36,AD36))))))</f>
        <v/>
      </c>
      <c r="L36" s="40">
        <f>IF(OR(E36="INACTIVE",H36=""),0,IF(AL36="NONE",0,IF(AL36="FLAT",AM36,IF(AL36="PER_UNIT",I36*AN36,IF(AL36="MANUAL",IF(M36="",0,M36),0)))))</f>
        <v/>
      </c>
      <c r="M36" s="37" t="n"/>
      <c r="N36" s="48" t="inlineStr">
        <is>
          <t>NORMAL</t>
        </is>
      </c>
      <c r="O36" s="37" t="n"/>
      <c r="P36" s="37" t="n"/>
      <c r="Q36" s="39">
        <f>IF(OR(E36="INACTIVE",P36=""),0,MAX(0,P36-O36))</f>
        <v/>
      </c>
      <c r="R36" s="37" t="n"/>
      <c r="S36" s="40">
        <f>IF(OR(E36="INACTIVE",P36=""),0,IF(AO36="DISABLED",0,IF(AO36="FLAT",AR36,IF(AO36="MANUAL",IF(R36="",0,R36*AP36),IF(AO36="STEP",IF(Q36&lt;=AS36,Q36*AT36,IF(Q36&lt;=AU36,AS36*AT36+(Q36-AS36)*AV36,AS36*AT36+(AU36-AS36)*AV36+(Q36-AU36)*AX36)),MAX(Q36*AP36,AQ36))))))</f>
        <v/>
      </c>
      <c r="T36" s="40">
        <f>IF(OR(E36="INACTIVE",P36=""),0,IF(AY36="NONE",0,IF(AY36="FLAT",AZ36,IF(AY36="PER_UNIT",Q36*BA36,IF(AY36="MANUAL",IF(U36="",0,U36),0)))))</f>
        <v/>
      </c>
      <c r="U36" s="37" t="n"/>
      <c r="V36" s="37" t="n"/>
      <c r="W36" s="37" t="n"/>
      <c r="X36" s="40">
        <f>IF(E36="INACTIVE",0,D36+K36+L36+S36+T36+IF(V36="",0,V36)+IF(W36="",0,W36))</f>
        <v/>
      </c>
      <c r="Y36" s="37" t="n"/>
      <c r="Z36" s="39">
        <f>IF(E36="INACTIVE","_",IF(AND(G36&gt;0,H36&gt;0,H36&lt;G36),"[!]น้ำ reset ","")&amp;IF(AND(O36&gt;0,P36&gt;0,P36&lt;O36),"[!]ไฟ reset ","")&amp;IF(AND(F36="MANUAL",J36=""),"[X]units น้ำ ","")&amp;IF(AND(N36="MANUAL",R36=""),"[X]units ไฟ ","")&amp;IF(D36=0,"[!]ค่าเช่า=0",""))</f>
        <v/>
      </c>
      <c r="AA36" s="41">
        <f>IF(C36&lt;&gt;"",C36,CONFIG!$B$6)</f>
        <v/>
      </c>
      <c r="AB36" s="41">
        <f>IF(F36&lt;&gt;"",F36,IFERROR(VLOOKUP(AA36,RULES!$A:$C,3,0),CONFIG!$B$7))</f>
        <v/>
      </c>
      <c r="AC36" s="41">
        <f>IF(IFERROR(VLOOKUP(AA36,RULES!$A:$D,4,0),"")="",CONFIG!$B$10,VLOOKUP(AA36,RULES!$A:$D,4,0))</f>
        <v/>
      </c>
      <c r="AD36" s="41">
        <f>IF(IFERROR(VLOOKUP(AA36,RULES!$A:$E,5,0),"")="",CONFIG!$B$11,VLOOKUP(AA36,RULES!$A:$E,5,0))</f>
        <v/>
      </c>
      <c r="AE36" s="41">
        <f>IFERROR(VLOOKUP(AA36,RULES!$A:$F,6,0)*1,0)</f>
        <v/>
      </c>
      <c r="AF36" s="41">
        <f>IFERROR(VLOOKUP(AA36,RULES!$A:$G,7,0)*1,0)</f>
        <v/>
      </c>
      <c r="AG36" s="41">
        <f>IFERROR(VLOOKUP(AA36,RULES!$A:$H,8,0)*1,0)</f>
        <v/>
      </c>
      <c r="AH36" s="41">
        <f>IFERROR(VLOOKUP(AA36,RULES!$A:$I,9,0)*1,0)</f>
        <v/>
      </c>
      <c r="AI36" s="41">
        <f>IFERROR(VLOOKUP(AA36,RULES!$A:$J,10,0)*1,0)</f>
        <v/>
      </c>
      <c r="AJ36" s="41">
        <f>IFERROR(IF(VLOOKUP(AA36,RULES!$A:$K,11,0)="",999999,VLOOKUP(AA36,RULES!$A:$K,11,0)*1),999999)</f>
        <v/>
      </c>
      <c r="AK36" s="41">
        <f>IFERROR(VLOOKUP(AA36,RULES!$A:$L,12,0)*1,0)</f>
        <v/>
      </c>
      <c r="AL36" s="41">
        <f>IFERROR(VLOOKUP(AA36,RULES!$A:$M,13,0),"NONE")</f>
        <v/>
      </c>
      <c r="AM36" s="41">
        <f>IFERROR(VLOOKUP(AA36,RULES!$A:$N,14,0)*1,0)</f>
        <v/>
      </c>
      <c r="AN36" s="41">
        <f>IFERROR(VLOOKUP(AA36,RULES!$A:$O,15,0)*1,0)</f>
        <v/>
      </c>
      <c r="AO36" s="41">
        <f>IF(N36&lt;&gt;"",N36,IFERROR(VLOOKUP(AA36,RULES!$A:$P,16,0),CONFIG!$B$8))</f>
        <v/>
      </c>
      <c r="AP36" s="41">
        <f>IF(IFERROR(VLOOKUP(AA36,RULES!$A:$Q,17,0),"")="",CONFIG!$B$13,VLOOKUP(AA36,RULES!$A:$Q,17,0))</f>
        <v/>
      </c>
      <c r="AQ36" s="41">
        <f>IF(IFERROR(VLOOKUP(AA36,RULES!$A:$R,18,0),"")="",CONFIG!$B$14,VLOOKUP(AA36,RULES!$A:$R,18,0))</f>
        <v/>
      </c>
      <c r="AR36" s="41">
        <f>IFERROR(VLOOKUP(AA36,RULES!$A:$S,19,0)*1,0)</f>
        <v/>
      </c>
      <c r="AS36" s="41">
        <f>IFERROR(VLOOKUP(AA36,RULES!$A:$T,20,0)*1,0)</f>
        <v/>
      </c>
      <c r="AT36" s="41">
        <f>IFERROR(VLOOKUP(AA36,RULES!$A:$U,21,0)*1,0)</f>
        <v/>
      </c>
      <c r="AU36" s="41">
        <f>IFERROR(VLOOKUP(AA36,RULES!$A:$V,22,0)*1,0)</f>
        <v/>
      </c>
      <c r="AV36" s="41">
        <f>IFERROR(VLOOKUP(AA36,RULES!$A:$W,23,0)*1,0)</f>
        <v/>
      </c>
      <c r="AW36" s="41">
        <f>IFERROR(IF(VLOOKUP(AA36,RULES!$A:$X,24,0)="",999999,VLOOKUP(AA36,RULES!$A:$X,24,0)*1),999999)</f>
        <v/>
      </c>
      <c r="AX36" s="41">
        <f>IFERROR(VLOOKUP(AA36,RULES!$A:$Y,25,0)*1,0)</f>
        <v/>
      </c>
      <c r="AY36" s="41">
        <f>IFERROR(VLOOKUP(AA36,RULES!$A:$Z,26,0),"NONE")</f>
        <v/>
      </c>
      <c r="AZ36" s="41">
        <f>IFERROR(VLOOKUP(AA36,RULES!$A:$AA,27,0)*1,0)</f>
        <v/>
      </c>
      <c r="BA36" s="41">
        <f>IFERROR(VLOOKUP(AA36,RULES!$A:$AB,28,0)*1,0)</f>
        <v/>
      </c>
    </row>
    <row r="37" ht="17" customHeight="1">
      <c r="A37" s="36" t="n"/>
      <c r="B37" s="48" t="inlineStr">
        <is>
          <t>ACC002</t>
        </is>
      </c>
      <c r="C37" s="48" t="inlineStr">
        <is>
          <t>DEFAULT</t>
        </is>
      </c>
      <c r="D37" s="47" t="n"/>
      <c r="E37" s="36">
        <f>IF(OR(D37="",D37=0),"INACTIVE","ACTIVE")</f>
        <v/>
      </c>
      <c r="F37" s="48" t="inlineStr">
        <is>
          <t>NORMAL</t>
        </is>
      </c>
      <c r="G37" s="36" t="n"/>
      <c r="H37" s="36" t="n"/>
      <c r="I37" s="42">
        <f>IF(OR(E37="INACTIVE",H37=""),0,MAX(0,H37-G37))</f>
        <v/>
      </c>
      <c r="J37" s="36" t="n"/>
      <c r="K37" s="42">
        <f>IF(OR(E37="INACTIVE",H37=""),0,IF(AB37="DISABLED",0,IF(AB37="FLAT",AE37,IF(AB37="MANUAL",IF(J37="",0,J37*AC37),IF(AB37="STEP",IF(I37&lt;=AF37,I37*AG37,IF(I37&lt;=AH37,AF37*AG37+(I37-AF37)*AI37,AF37*AG37+(AH37-AF37)*AI37+(I37-AH37)*AK37)),MAX(I37*AC37,AD37))))))</f>
        <v/>
      </c>
      <c r="L37" s="42">
        <f>IF(OR(E37="INACTIVE",H37=""),0,IF(AL37="NONE",0,IF(AL37="FLAT",AM37,IF(AL37="PER_UNIT",I37*AN37,IF(AL37="MANUAL",IF(M37="",0,M37),0)))))</f>
        <v/>
      </c>
      <c r="M37" s="36" t="n"/>
      <c r="N37" s="48" t="inlineStr">
        <is>
          <t>NORMAL</t>
        </is>
      </c>
      <c r="O37" s="36" t="n"/>
      <c r="P37" s="36" t="n"/>
      <c r="Q37" s="42">
        <f>IF(OR(E37="INACTIVE",P37=""),0,MAX(0,P37-O37))</f>
        <v/>
      </c>
      <c r="R37" s="36" t="n"/>
      <c r="S37" s="42">
        <f>IF(OR(E37="INACTIVE",P37=""),0,IF(AO37="DISABLED",0,IF(AO37="FLAT",AR37,IF(AO37="MANUAL",IF(R37="",0,R37*AP37),IF(AO37="STEP",IF(Q37&lt;=AS37,Q37*AT37,IF(Q37&lt;=AU37,AS37*AT37+(Q37-AS37)*AV37,AS37*AT37+(AU37-AS37)*AV37+(Q37-AU37)*AX37)),MAX(Q37*AP37,AQ37))))))</f>
        <v/>
      </c>
      <c r="T37" s="42">
        <f>IF(OR(E37="INACTIVE",P37=""),0,IF(AY37="NONE",0,IF(AY37="FLAT",AZ37,IF(AY37="PER_UNIT",Q37*BA37,IF(AY37="MANUAL",IF(U37="",0,U37),0)))))</f>
        <v/>
      </c>
      <c r="U37" s="36" t="n"/>
      <c r="V37" s="36" t="n"/>
      <c r="W37" s="36" t="n"/>
      <c r="X37" s="42">
        <f>IF(E37="INACTIVE",0,D37+K37+L37+S37+T37+IF(V37="",0,V37)+IF(W37="",0,W37))</f>
        <v/>
      </c>
      <c r="Y37" s="36" t="n"/>
      <c r="Z37" s="42">
        <f>IF(E37="INACTIVE","_",IF(AND(G37&gt;0,H37&gt;0,H37&lt;G37),"[!]น้ำ reset ","")&amp;IF(AND(O37&gt;0,P37&gt;0,P37&lt;O37),"[!]ไฟ reset ","")&amp;IF(AND(F37="MANUAL",J37=""),"[X]units น้ำ ","")&amp;IF(AND(N37="MANUAL",R37=""),"[X]units ไฟ ","")&amp;IF(D37=0,"[!]ค่าเช่า=0",""))</f>
        <v/>
      </c>
      <c r="AA37" s="41">
        <f>IF(C37&lt;&gt;"",C37,CONFIG!$B$6)</f>
        <v/>
      </c>
      <c r="AB37" s="41">
        <f>IF(F37&lt;&gt;"",F37,IFERROR(VLOOKUP(AA37,RULES!$A:$C,3,0),CONFIG!$B$7))</f>
        <v/>
      </c>
      <c r="AC37" s="41">
        <f>IF(IFERROR(VLOOKUP(AA37,RULES!$A:$D,4,0),"")="",CONFIG!$B$10,VLOOKUP(AA37,RULES!$A:$D,4,0))</f>
        <v/>
      </c>
      <c r="AD37" s="41">
        <f>IF(IFERROR(VLOOKUP(AA37,RULES!$A:$E,5,0),"")="",CONFIG!$B$11,VLOOKUP(AA37,RULES!$A:$E,5,0))</f>
        <v/>
      </c>
      <c r="AE37" s="41">
        <f>IFERROR(VLOOKUP(AA37,RULES!$A:$F,6,0)*1,0)</f>
        <v/>
      </c>
      <c r="AF37" s="41">
        <f>IFERROR(VLOOKUP(AA37,RULES!$A:$G,7,0)*1,0)</f>
        <v/>
      </c>
      <c r="AG37" s="41">
        <f>IFERROR(VLOOKUP(AA37,RULES!$A:$H,8,0)*1,0)</f>
        <v/>
      </c>
      <c r="AH37" s="41">
        <f>IFERROR(VLOOKUP(AA37,RULES!$A:$I,9,0)*1,0)</f>
        <v/>
      </c>
      <c r="AI37" s="41">
        <f>IFERROR(VLOOKUP(AA37,RULES!$A:$J,10,0)*1,0)</f>
        <v/>
      </c>
      <c r="AJ37" s="41">
        <f>IFERROR(IF(VLOOKUP(AA37,RULES!$A:$K,11,0)="",999999,VLOOKUP(AA37,RULES!$A:$K,11,0)*1),999999)</f>
        <v/>
      </c>
      <c r="AK37" s="41">
        <f>IFERROR(VLOOKUP(AA37,RULES!$A:$L,12,0)*1,0)</f>
        <v/>
      </c>
      <c r="AL37" s="41">
        <f>IFERROR(VLOOKUP(AA37,RULES!$A:$M,13,0),"NONE")</f>
        <v/>
      </c>
      <c r="AM37" s="41">
        <f>IFERROR(VLOOKUP(AA37,RULES!$A:$N,14,0)*1,0)</f>
        <v/>
      </c>
      <c r="AN37" s="41">
        <f>IFERROR(VLOOKUP(AA37,RULES!$A:$O,15,0)*1,0)</f>
        <v/>
      </c>
      <c r="AO37" s="41">
        <f>IF(N37&lt;&gt;"",N37,IFERROR(VLOOKUP(AA37,RULES!$A:$P,16,0),CONFIG!$B$8))</f>
        <v/>
      </c>
      <c r="AP37" s="41">
        <f>IF(IFERROR(VLOOKUP(AA37,RULES!$A:$Q,17,0),"")="",CONFIG!$B$13,VLOOKUP(AA37,RULES!$A:$Q,17,0))</f>
        <v/>
      </c>
      <c r="AQ37" s="41">
        <f>IF(IFERROR(VLOOKUP(AA37,RULES!$A:$R,18,0),"")="",CONFIG!$B$14,VLOOKUP(AA37,RULES!$A:$R,18,0))</f>
        <v/>
      </c>
      <c r="AR37" s="41">
        <f>IFERROR(VLOOKUP(AA37,RULES!$A:$S,19,0)*1,0)</f>
        <v/>
      </c>
      <c r="AS37" s="41">
        <f>IFERROR(VLOOKUP(AA37,RULES!$A:$T,20,0)*1,0)</f>
        <v/>
      </c>
      <c r="AT37" s="41">
        <f>IFERROR(VLOOKUP(AA37,RULES!$A:$U,21,0)*1,0)</f>
        <v/>
      </c>
      <c r="AU37" s="41">
        <f>IFERROR(VLOOKUP(AA37,RULES!$A:$V,22,0)*1,0)</f>
        <v/>
      </c>
      <c r="AV37" s="41">
        <f>IFERROR(VLOOKUP(AA37,RULES!$A:$W,23,0)*1,0)</f>
        <v/>
      </c>
      <c r="AW37" s="41">
        <f>IFERROR(IF(VLOOKUP(AA37,RULES!$A:$X,24,0)="",999999,VLOOKUP(AA37,RULES!$A:$X,24,0)*1),999999)</f>
        <v/>
      </c>
      <c r="AX37" s="41">
        <f>IFERROR(VLOOKUP(AA37,RULES!$A:$Y,25,0)*1,0)</f>
        <v/>
      </c>
      <c r="AY37" s="41">
        <f>IFERROR(VLOOKUP(AA37,RULES!$A:$Z,26,0),"NONE")</f>
        <v/>
      </c>
      <c r="AZ37" s="41">
        <f>IFERROR(VLOOKUP(AA37,RULES!$A:$AA,27,0)*1,0)</f>
        <v/>
      </c>
      <c r="BA37" s="41">
        <f>IFERROR(VLOOKUP(AA37,RULES!$A:$AB,28,0)*1,0)</f>
        <v/>
      </c>
    </row>
    <row r="38" ht="17" customHeight="1">
      <c r="A38" s="36" t="n"/>
      <c r="B38" s="48" t="inlineStr">
        <is>
          <t>ACC002</t>
        </is>
      </c>
      <c r="C38" s="48" t="inlineStr">
        <is>
          <t>DEFAULT</t>
        </is>
      </c>
      <c r="D38" s="47" t="n"/>
      <c r="E38" s="36">
        <f>IF(OR(D38="",D38=0),"INACTIVE","ACTIVE")</f>
        <v/>
      </c>
      <c r="F38" s="48" t="inlineStr">
        <is>
          <t>NORMAL</t>
        </is>
      </c>
      <c r="G38" s="36" t="n"/>
      <c r="H38" s="36" t="n"/>
      <c r="I38" s="42">
        <f>IF(OR(E38="INACTIVE",H38=""),0,MAX(0,H38-G38))</f>
        <v/>
      </c>
      <c r="J38" s="36" t="n"/>
      <c r="K38" s="42">
        <f>IF(OR(E38="INACTIVE",H38=""),0,IF(AB38="DISABLED",0,IF(AB38="FLAT",AE38,IF(AB38="MANUAL",IF(J38="",0,J38*AC38),IF(AB38="STEP",IF(I38&lt;=AF38,I38*AG38,IF(I38&lt;=AH38,AF38*AG38+(I38-AF38)*AI38,AF38*AG38+(AH38-AF38)*AI38+(I38-AH38)*AK38)),MAX(I38*AC38,AD38))))))</f>
        <v/>
      </c>
      <c r="L38" s="42">
        <f>IF(OR(E38="INACTIVE",H38=""),0,IF(AL38="NONE",0,IF(AL38="FLAT",AM38,IF(AL38="PER_UNIT",I38*AN38,IF(AL38="MANUAL",IF(M38="",0,M38),0)))))</f>
        <v/>
      </c>
      <c r="M38" s="36" t="n"/>
      <c r="N38" s="48" t="inlineStr">
        <is>
          <t>NORMAL</t>
        </is>
      </c>
      <c r="O38" s="36" t="n"/>
      <c r="P38" s="36" t="n"/>
      <c r="Q38" s="42">
        <f>IF(OR(E38="INACTIVE",P38=""),0,MAX(0,P38-O38))</f>
        <v/>
      </c>
      <c r="R38" s="36" t="n"/>
      <c r="S38" s="42">
        <f>IF(OR(E38="INACTIVE",P38=""),0,IF(AO38="DISABLED",0,IF(AO38="FLAT",AR38,IF(AO38="MANUAL",IF(R38="",0,R38*AP38),IF(AO38="STEP",IF(Q38&lt;=AS38,Q38*AT38,IF(Q38&lt;=AU38,AS38*AT38+(Q38-AS38)*AV38,AS38*AT38+(AU38-AS38)*AV38+(Q38-AU38)*AX38)),MAX(Q38*AP38,AQ38))))))</f>
        <v/>
      </c>
      <c r="T38" s="42">
        <f>IF(OR(E38="INACTIVE",P38=""),0,IF(AY38="NONE",0,IF(AY38="FLAT",AZ38,IF(AY38="PER_UNIT",Q38*BA38,IF(AY38="MANUAL",IF(U38="",0,U38),0)))))</f>
        <v/>
      </c>
      <c r="U38" s="36" t="n"/>
      <c r="V38" s="36" t="n"/>
      <c r="W38" s="36" t="n"/>
      <c r="X38" s="42">
        <f>IF(E38="INACTIVE",0,D38+K38+L38+S38+T38+IF(V38="",0,V38)+IF(W38="",0,W38))</f>
        <v/>
      </c>
      <c r="Y38" s="36" t="n"/>
      <c r="Z38" s="42">
        <f>IF(E38="INACTIVE","_",IF(AND(G38&gt;0,H38&gt;0,H38&lt;G38),"[!]น้ำ reset ","")&amp;IF(AND(O38&gt;0,P38&gt;0,P38&lt;O38),"[!]ไฟ reset ","")&amp;IF(AND(F38="MANUAL",J38=""),"[X]units น้ำ ","")&amp;IF(AND(N38="MANUAL",R38=""),"[X]units ไฟ ","")&amp;IF(D38=0,"[!]ค่าเช่า=0",""))</f>
        <v/>
      </c>
      <c r="AA38" s="41">
        <f>IF(C38&lt;&gt;"",C38,CONFIG!$B$6)</f>
        <v/>
      </c>
      <c r="AB38" s="41">
        <f>IF(F38&lt;&gt;"",F38,IFERROR(VLOOKUP(AA38,RULES!$A:$C,3,0),CONFIG!$B$7))</f>
        <v/>
      </c>
      <c r="AC38" s="41">
        <f>IF(IFERROR(VLOOKUP(AA38,RULES!$A:$D,4,0),"")="",CONFIG!$B$10,VLOOKUP(AA38,RULES!$A:$D,4,0))</f>
        <v/>
      </c>
      <c r="AD38" s="41">
        <f>IF(IFERROR(VLOOKUP(AA38,RULES!$A:$E,5,0),"")="",CONFIG!$B$11,VLOOKUP(AA38,RULES!$A:$E,5,0))</f>
        <v/>
      </c>
      <c r="AE38" s="41">
        <f>IFERROR(VLOOKUP(AA38,RULES!$A:$F,6,0)*1,0)</f>
        <v/>
      </c>
      <c r="AF38" s="41">
        <f>IFERROR(VLOOKUP(AA38,RULES!$A:$G,7,0)*1,0)</f>
        <v/>
      </c>
      <c r="AG38" s="41">
        <f>IFERROR(VLOOKUP(AA38,RULES!$A:$H,8,0)*1,0)</f>
        <v/>
      </c>
      <c r="AH38" s="41">
        <f>IFERROR(VLOOKUP(AA38,RULES!$A:$I,9,0)*1,0)</f>
        <v/>
      </c>
      <c r="AI38" s="41">
        <f>IFERROR(VLOOKUP(AA38,RULES!$A:$J,10,0)*1,0)</f>
        <v/>
      </c>
      <c r="AJ38" s="41">
        <f>IFERROR(IF(VLOOKUP(AA38,RULES!$A:$K,11,0)="",999999,VLOOKUP(AA38,RULES!$A:$K,11,0)*1),999999)</f>
        <v/>
      </c>
      <c r="AK38" s="41">
        <f>IFERROR(VLOOKUP(AA38,RULES!$A:$L,12,0)*1,0)</f>
        <v/>
      </c>
      <c r="AL38" s="41">
        <f>IFERROR(VLOOKUP(AA38,RULES!$A:$M,13,0),"NONE")</f>
        <v/>
      </c>
      <c r="AM38" s="41">
        <f>IFERROR(VLOOKUP(AA38,RULES!$A:$N,14,0)*1,0)</f>
        <v/>
      </c>
      <c r="AN38" s="41">
        <f>IFERROR(VLOOKUP(AA38,RULES!$A:$O,15,0)*1,0)</f>
        <v/>
      </c>
      <c r="AO38" s="41">
        <f>IF(N38&lt;&gt;"",N38,IFERROR(VLOOKUP(AA38,RULES!$A:$P,16,0),CONFIG!$B$8))</f>
        <v/>
      </c>
      <c r="AP38" s="41">
        <f>IF(IFERROR(VLOOKUP(AA38,RULES!$A:$Q,17,0),"")="",CONFIG!$B$13,VLOOKUP(AA38,RULES!$A:$Q,17,0))</f>
        <v/>
      </c>
      <c r="AQ38" s="41">
        <f>IF(IFERROR(VLOOKUP(AA38,RULES!$A:$R,18,0),"")="",CONFIG!$B$14,VLOOKUP(AA38,RULES!$A:$R,18,0))</f>
        <v/>
      </c>
      <c r="AR38" s="41">
        <f>IFERROR(VLOOKUP(AA38,RULES!$A:$S,19,0)*1,0)</f>
        <v/>
      </c>
      <c r="AS38" s="41">
        <f>IFERROR(VLOOKUP(AA38,RULES!$A:$T,20,0)*1,0)</f>
        <v/>
      </c>
      <c r="AT38" s="41">
        <f>IFERROR(VLOOKUP(AA38,RULES!$A:$U,21,0)*1,0)</f>
        <v/>
      </c>
      <c r="AU38" s="41">
        <f>IFERROR(VLOOKUP(AA38,RULES!$A:$V,22,0)*1,0)</f>
        <v/>
      </c>
      <c r="AV38" s="41">
        <f>IFERROR(VLOOKUP(AA38,RULES!$A:$W,23,0)*1,0)</f>
        <v/>
      </c>
      <c r="AW38" s="41">
        <f>IFERROR(IF(VLOOKUP(AA38,RULES!$A:$X,24,0)="",999999,VLOOKUP(AA38,RULES!$A:$X,24,0)*1),999999)</f>
        <v/>
      </c>
      <c r="AX38" s="41">
        <f>IFERROR(VLOOKUP(AA38,RULES!$A:$Y,25,0)*1,0)</f>
        <v/>
      </c>
      <c r="AY38" s="41">
        <f>IFERROR(VLOOKUP(AA38,RULES!$A:$Z,26,0),"NONE")</f>
        <v/>
      </c>
      <c r="AZ38" s="41">
        <f>IFERROR(VLOOKUP(AA38,RULES!$A:$AA,27,0)*1,0)</f>
        <v/>
      </c>
      <c r="BA38" s="41">
        <f>IFERROR(VLOOKUP(AA38,RULES!$A:$AB,28,0)*1,0)</f>
        <v/>
      </c>
    </row>
    <row r="39" ht="17" customHeight="1">
      <c r="A39" s="36" t="n"/>
      <c r="B39" s="48" t="inlineStr">
        <is>
          <t>ACC002</t>
        </is>
      </c>
      <c r="C39" s="48" t="inlineStr">
        <is>
          <t>DEFAULT</t>
        </is>
      </c>
      <c r="D39" s="47" t="n"/>
      <c r="E39" s="36">
        <f>IF(OR(D39="",D39=0),"INACTIVE","ACTIVE")</f>
        <v/>
      </c>
      <c r="F39" s="48" t="inlineStr">
        <is>
          <t>NORMAL</t>
        </is>
      </c>
      <c r="G39" s="36" t="n"/>
      <c r="H39" s="36" t="n"/>
      <c r="I39" s="42">
        <f>IF(OR(E39="INACTIVE",H39=""),0,MAX(0,H39-G39))</f>
        <v/>
      </c>
      <c r="J39" s="36" t="n"/>
      <c r="K39" s="42">
        <f>IF(OR(E39="INACTIVE",H39=""),0,IF(AB39="DISABLED",0,IF(AB39="FLAT",AE39,IF(AB39="MANUAL",IF(J39="",0,J39*AC39),IF(AB39="STEP",IF(I39&lt;=AF39,I39*AG39,IF(I39&lt;=AH39,AF39*AG39+(I39-AF39)*AI39,AF39*AG39+(AH39-AF39)*AI39+(I39-AH39)*AK39)),MAX(I39*AC39,AD39))))))</f>
        <v/>
      </c>
      <c r="L39" s="42">
        <f>IF(OR(E39="INACTIVE",H39=""),0,IF(AL39="NONE",0,IF(AL39="FLAT",AM39,IF(AL39="PER_UNIT",I39*AN39,IF(AL39="MANUAL",IF(M39="",0,M39),0)))))</f>
        <v/>
      </c>
      <c r="M39" s="36" t="n"/>
      <c r="N39" s="48" t="inlineStr">
        <is>
          <t>NORMAL</t>
        </is>
      </c>
      <c r="O39" s="36" t="n"/>
      <c r="P39" s="36" t="n"/>
      <c r="Q39" s="42">
        <f>IF(OR(E39="INACTIVE",P39=""),0,MAX(0,P39-O39))</f>
        <v/>
      </c>
      <c r="R39" s="36" t="n"/>
      <c r="S39" s="42">
        <f>IF(OR(E39="INACTIVE",P39=""),0,IF(AO39="DISABLED",0,IF(AO39="FLAT",AR39,IF(AO39="MANUAL",IF(R39="",0,R39*AP39),IF(AO39="STEP",IF(Q39&lt;=AS39,Q39*AT39,IF(Q39&lt;=AU39,AS39*AT39+(Q39-AS39)*AV39,AS39*AT39+(AU39-AS39)*AV39+(Q39-AU39)*AX39)),MAX(Q39*AP39,AQ39))))))</f>
        <v/>
      </c>
      <c r="T39" s="42">
        <f>IF(OR(E39="INACTIVE",P39=""),0,IF(AY39="NONE",0,IF(AY39="FLAT",AZ39,IF(AY39="PER_UNIT",Q39*BA39,IF(AY39="MANUAL",IF(U39="",0,U39),0)))))</f>
        <v/>
      </c>
      <c r="U39" s="36" t="n"/>
      <c r="V39" s="36" t="n"/>
      <c r="W39" s="36" t="n"/>
      <c r="X39" s="42">
        <f>IF(E39="INACTIVE",0,D39+K39+L39+S39+T39+IF(V39="",0,V39)+IF(W39="",0,W39))</f>
        <v/>
      </c>
      <c r="Y39" s="36" t="n"/>
      <c r="Z39" s="42">
        <f>IF(E39="INACTIVE","_",IF(AND(G39&gt;0,H39&gt;0,H39&lt;G39),"[!]น้ำ reset ","")&amp;IF(AND(O39&gt;0,P39&gt;0,P39&lt;O39),"[!]ไฟ reset ","")&amp;IF(AND(F39="MANUAL",J39=""),"[X]units น้ำ ","")&amp;IF(AND(N39="MANUAL",R39=""),"[X]units ไฟ ","")&amp;IF(D39=0,"[!]ค่าเช่า=0",""))</f>
        <v/>
      </c>
      <c r="AA39" s="41">
        <f>IF(C39&lt;&gt;"",C39,CONFIG!$B$6)</f>
        <v/>
      </c>
      <c r="AB39" s="41">
        <f>IF(F39&lt;&gt;"",F39,IFERROR(VLOOKUP(AA39,RULES!$A:$C,3,0),CONFIG!$B$7))</f>
        <v/>
      </c>
      <c r="AC39" s="41">
        <f>IF(IFERROR(VLOOKUP(AA39,RULES!$A:$D,4,0),"")="",CONFIG!$B$10,VLOOKUP(AA39,RULES!$A:$D,4,0))</f>
        <v/>
      </c>
      <c r="AD39" s="41">
        <f>IF(IFERROR(VLOOKUP(AA39,RULES!$A:$E,5,0),"")="",CONFIG!$B$11,VLOOKUP(AA39,RULES!$A:$E,5,0))</f>
        <v/>
      </c>
      <c r="AE39" s="41">
        <f>IFERROR(VLOOKUP(AA39,RULES!$A:$F,6,0)*1,0)</f>
        <v/>
      </c>
      <c r="AF39" s="41">
        <f>IFERROR(VLOOKUP(AA39,RULES!$A:$G,7,0)*1,0)</f>
        <v/>
      </c>
      <c r="AG39" s="41">
        <f>IFERROR(VLOOKUP(AA39,RULES!$A:$H,8,0)*1,0)</f>
        <v/>
      </c>
      <c r="AH39" s="41">
        <f>IFERROR(VLOOKUP(AA39,RULES!$A:$I,9,0)*1,0)</f>
        <v/>
      </c>
      <c r="AI39" s="41">
        <f>IFERROR(VLOOKUP(AA39,RULES!$A:$J,10,0)*1,0)</f>
        <v/>
      </c>
      <c r="AJ39" s="41">
        <f>IFERROR(IF(VLOOKUP(AA39,RULES!$A:$K,11,0)="",999999,VLOOKUP(AA39,RULES!$A:$K,11,0)*1),999999)</f>
        <v/>
      </c>
      <c r="AK39" s="41">
        <f>IFERROR(VLOOKUP(AA39,RULES!$A:$L,12,0)*1,0)</f>
        <v/>
      </c>
      <c r="AL39" s="41">
        <f>IFERROR(VLOOKUP(AA39,RULES!$A:$M,13,0),"NONE")</f>
        <v/>
      </c>
      <c r="AM39" s="41">
        <f>IFERROR(VLOOKUP(AA39,RULES!$A:$N,14,0)*1,0)</f>
        <v/>
      </c>
      <c r="AN39" s="41">
        <f>IFERROR(VLOOKUP(AA39,RULES!$A:$O,15,0)*1,0)</f>
        <v/>
      </c>
      <c r="AO39" s="41">
        <f>IF(N39&lt;&gt;"",N39,IFERROR(VLOOKUP(AA39,RULES!$A:$P,16,0),CONFIG!$B$8))</f>
        <v/>
      </c>
      <c r="AP39" s="41">
        <f>IF(IFERROR(VLOOKUP(AA39,RULES!$A:$Q,17,0),"")="",CONFIG!$B$13,VLOOKUP(AA39,RULES!$A:$Q,17,0))</f>
        <v/>
      </c>
      <c r="AQ39" s="41">
        <f>IF(IFERROR(VLOOKUP(AA39,RULES!$A:$R,18,0),"")="",CONFIG!$B$14,VLOOKUP(AA39,RULES!$A:$R,18,0))</f>
        <v/>
      </c>
      <c r="AR39" s="41">
        <f>IFERROR(VLOOKUP(AA39,RULES!$A:$S,19,0)*1,0)</f>
        <v/>
      </c>
      <c r="AS39" s="41">
        <f>IFERROR(VLOOKUP(AA39,RULES!$A:$T,20,0)*1,0)</f>
        <v/>
      </c>
      <c r="AT39" s="41">
        <f>IFERROR(VLOOKUP(AA39,RULES!$A:$U,21,0)*1,0)</f>
        <v/>
      </c>
      <c r="AU39" s="41">
        <f>IFERROR(VLOOKUP(AA39,RULES!$A:$V,22,0)*1,0)</f>
        <v/>
      </c>
      <c r="AV39" s="41">
        <f>IFERROR(VLOOKUP(AA39,RULES!$A:$W,23,0)*1,0)</f>
        <v/>
      </c>
      <c r="AW39" s="41">
        <f>IFERROR(IF(VLOOKUP(AA39,RULES!$A:$X,24,0)="",999999,VLOOKUP(AA39,RULES!$A:$X,24,0)*1),999999)</f>
        <v/>
      </c>
      <c r="AX39" s="41">
        <f>IFERROR(VLOOKUP(AA39,RULES!$A:$Y,25,0)*1,0)</f>
        <v/>
      </c>
      <c r="AY39" s="41">
        <f>IFERROR(VLOOKUP(AA39,RULES!$A:$Z,26,0),"NONE")</f>
        <v/>
      </c>
      <c r="AZ39" s="41">
        <f>IFERROR(VLOOKUP(AA39,RULES!$A:$AA,27,0)*1,0)</f>
        <v/>
      </c>
      <c r="BA39" s="41">
        <f>IFERROR(VLOOKUP(AA39,RULES!$A:$AB,28,0)*1,0)</f>
        <v/>
      </c>
    </row>
    <row r="40" ht="17" customHeight="1">
      <c r="A40" s="36" t="n"/>
      <c r="B40" s="48" t="inlineStr">
        <is>
          <t>ACC002</t>
        </is>
      </c>
      <c r="C40" s="48" t="inlineStr">
        <is>
          <t>DEFAULT</t>
        </is>
      </c>
      <c r="D40" s="47" t="n"/>
      <c r="E40" s="36">
        <f>IF(OR(D40="",D40=0),"INACTIVE","ACTIVE")</f>
        <v/>
      </c>
      <c r="F40" s="48" t="inlineStr">
        <is>
          <t>NORMAL</t>
        </is>
      </c>
      <c r="G40" s="36" t="n"/>
      <c r="H40" s="36" t="n"/>
      <c r="I40" s="42">
        <f>IF(OR(E40="INACTIVE",H40=""),0,MAX(0,H40-G40))</f>
        <v/>
      </c>
      <c r="J40" s="36" t="n"/>
      <c r="K40" s="42">
        <f>IF(OR(E40="INACTIVE",H40=""),0,IF(AB40="DISABLED",0,IF(AB40="FLAT",AE40,IF(AB40="MANUAL",IF(J40="",0,J40*AC40),IF(AB40="STEP",IF(I40&lt;=AF40,I40*AG40,IF(I40&lt;=AH40,AF40*AG40+(I40-AF40)*AI40,AF40*AG40+(AH40-AF40)*AI40+(I40-AH40)*AK40)),MAX(I40*AC40,AD40))))))</f>
        <v/>
      </c>
      <c r="L40" s="42">
        <f>IF(OR(E40="INACTIVE",H40=""),0,IF(AL40="NONE",0,IF(AL40="FLAT",AM40,IF(AL40="PER_UNIT",I40*AN40,IF(AL40="MANUAL",IF(M40="",0,M40),0)))))</f>
        <v/>
      </c>
      <c r="M40" s="36" t="n"/>
      <c r="N40" s="48" t="inlineStr">
        <is>
          <t>NORMAL</t>
        </is>
      </c>
      <c r="O40" s="36" t="n"/>
      <c r="P40" s="36" t="n"/>
      <c r="Q40" s="42">
        <f>IF(OR(E40="INACTIVE",P40=""),0,MAX(0,P40-O40))</f>
        <v/>
      </c>
      <c r="R40" s="36" t="n"/>
      <c r="S40" s="42">
        <f>IF(OR(E40="INACTIVE",P40=""),0,IF(AO40="DISABLED",0,IF(AO40="FLAT",AR40,IF(AO40="MANUAL",IF(R40="",0,R40*AP40),IF(AO40="STEP",IF(Q40&lt;=AS40,Q40*AT40,IF(Q40&lt;=AU40,AS40*AT40+(Q40-AS40)*AV40,AS40*AT40+(AU40-AS40)*AV40+(Q40-AU40)*AX40)),MAX(Q40*AP40,AQ40))))))</f>
        <v/>
      </c>
      <c r="T40" s="42">
        <f>IF(OR(E40="INACTIVE",P40=""),0,IF(AY40="NONE",0,IF(AY40="FLAT",AZ40,IF(AY40="PER_UNIT",Q40*BA40,IF(AY40="MANUAL",IF(U40="",0,U40),0)))))</f>
        <v/>
      </c>
      <c r="U40" s="36" t="n"/>
      <c r="V40" s="36" t="n"/>
      <c r="W40" s="36" t="n"/>
      <c r="X40" s="42">
        <f>IF(E40="INACTIVE",0,D40+K40+L40+S40+T40+IF(V40="",0,V40)+IF(W40="",0,W40))</f>
        <v/>
      </c>
      <c r="Y40" s="36" t="n"/>
      <c r="Z40" s="42">
        <f>IF(E40="INACTIVE","_",IF(AND(G40&gt;0,H40&gt;0,H40&lt;G40),"[!]น้ำ reset ","")&amp;IF(AND(O40&gt;0,P40&gt;0,P40&lt;O40),"[!]ไฟ reset ","")&amp;IF(AND(F40="MANUAL",J40=""),"[X]units น้ำ ","")&amp;IF(AND(N40="MANUAL",R40=""),"[X]units ไฟ ","")&amp;IF(D40=0,"[!]ค่าเช่า=0",""))</f>
        <v/>
      </c>
      <c r="AA40" s="41">
        <f>IF(C40&lt;&gt;"",C40,CONFIG!$B$6)</f>
        <v/>
      </c>
      <c r="AB40" s="41">
        <f>IF(F40&lt;&gt;"",F40,IFERROR(VLOOKUP(AA40,RULES!$A:$C,3,0),CONFIG!$B$7))</f>
        <v/>
      </c>
      <c r="AC40" s="41">
        <f>IF(IFERROR(VLOOKUP(AA40,RULES!$A:$D,4,0),"")="",CONFIG!$B$10,VLOOKUP(AA40,RULES!$A:$D,4,0))</f>
        <v/>
      </c>
      <c r="AD40" s="41">
        <f>IF(IFERROR(VLOOKUP(AA40,RULES!$A:$E,5,0),"")="",CONFIG!$B$11,VLOOKUP(AA40,RULES!$A:$E,5,0))</f>
        <v/>
      </c>
      <c r="AE40" s="41">
        <f>IFERROR(VLOOKUP(AA40,RULES!$A:$F,6,0)*1,0)</f>
        <v/>
      </c>
      <c r="AF40" s="41">
        <f>IFERROR(VLOOKUP(AA40,RULES!$A:$G,7,0)*1,0)</f>
        <v/>
      </c>
      <c r="AG40" s="41">
        <f>IFERROR(VLOOKUP(AA40,RULES!$A:$H,8,0)*1,0)</f>
        <v/>
      </c>
      <c r="AH40" s="41">
        <f>IFERROR(VLOOKUP(AA40,RULES!$A:$I,9,0)*1,0)</f>
        <v/>
      </c>
      <c r="AI40" s="41">
        <f>IFERROR(VLOOKUP(AA40,RULES!$A:$J,10,0)*1,0)</f>
        <v/>
      </c>
      <c r="AJ40" s="41">
        <f>IFERROR(IF(VLOOKUP(AA40,RULES!$A:$K,11,0)="",999999,VLOOKUP(AA40,RULES!$A:$K,11,0)*1),999999)</f>
        <v/>
      </c>
      <c r="AK40" s="41">
        <f>IFERROR(VLOOKUP(AA40,RULES!$A:$L,12,0)*1,0)</f>
        <v/>
      </c>
      <c r="AL40" s="41">
        <f>IFERROR(VLOOKUP(AA40,RULES!$A:$M,13,0),"NONE")</f>
        <v/>
      </c>
      <c r="AM40" s="41">
        <f>IFERROR(VLOOKUP(AA40,RULES!$A:$N,14,0)*1,0)</f>
        <v/>
      </c>
      <c r="AN40" s="41">
        <f>IFERROR(VLOOKUP(AA40,RULES!$A:$O,15,0)*1,0)</f>
        <v/>
      </c>
      <c r="AO40" s="41">
        <f>IF(N40&lt;&gt;"",N40,IFERROR(VLOOKUP(AA40,RULES!$A:$P,16,0),CONFIG!$B$8))</f>
        <v/>
      </c>
      <c r="AP40" s="41">
        <f>IF(IFERROR(VLOOKUP(AA40,RULES!$A:$Q,17,0),"")="",CONFIG!$B$13,VLOOKUP(AA40,RULES!$A:$Q,17,0))</f>
        <v/>
      </c>
      <c r="AQ40" s="41">
        <f>IF(IFERROR(VLOOKUP(AA40,RULES!$A:$R,18,0),"")="",CONFIG!$B$14,VLOOKUP(AA40,RULES!$A:$R,18,0))</f>
        <v/>
      </c>
      <c r="AR40" s="41">
        <f>IFERROR(VLOOKUP(AA40,RULES!$A:$S,19,0)*1,0)</f>
        <v/>
      </c>
      <c r="AS40" s="41">
        <f>IFERROR(VLOOKUP(AA40,RULES!$A:$T,20,0)*1,0)</f>
        <v/>
      </c>
      <c r="AT40" s="41">
        <f>IFERROR(VLOOKUP(AA40,RULES!$A:$U,21,0)*1,0)</f>
        <v/>
      </c>
      <c r="AU40" s="41">
        <f>IFERROR(VLOOKUP(AA40,RULES!$A:$V,22,0)*1,0)</f>
        <v/>
      </c>
      <c r="AV40" s="41">
        <f>IFERROR(VLOOKUP(AA40,RULES!$A:$W,23,0)*1,0)</f>
        <v/>
      </c>
      <c r="AW40" s="41">
        <f>IFERROR(IF(VLOOKUP(AA40,RULES!$A:$X,24,0)="",999999,VLOOKUP(AA40,RULES!$A:$X,24,0)*1),999999)</f>
        <v/>
      </c>
      <c r="AX40" s="41">
        <f>IFERROR(VLOOKUP(AA40,RULES!$A:$Y,25,0)*1,0)</f>
        <v/>
      </c>
      <c r="AY40" s="41">
        <f>IFERROR(VLOOKUP(AA40,RULES!$A:$Z,26,0),"NONE")</f>
        <v/>
      </c>
      <c r="AZ40" s="41">
        <f>IFERROR(VLOOKUP(AA40,RULES!$A:$AA,27,0)*1,0)</f>
        <v/>
      </c>
      <c r="BA40" s="41">
        <f>IFERROR(VLOOKUP(AA40,RULES!$A:$AB,28,0)*1,0)</f>
        <v/>
      </c>
    </row>
    <row r="41" ht="17" customHeight="1">
      <c r="A41" s="36" t="n"/>
      <c r="B41" s="48" t="inlineStr">
        <is>
          <t>ACC002</t>
        </is>
      </c>
      <c r="C41" s="48" t="inlineStr">
        <is>
          <t>DEFAULT</t>
        </is>
      </c>
      <c r="D41" s="47" t="n"/>
      <c r="E41" s="36">
        <f>IF(OR(D41="",D41=0),"INACTIVE","ACTIVE")</f>
        <v/>
      </c>
      <c r="F41" s="48" t="inlineStr">
        <is>
          <t>NORMAL</t>
        </is>
      </c>
      <c r="G41" s="36" t="n"/>
      <c r="H41" s="36" t="n"/>
      <c r="I41" s="42">
        <f>IF(OR(E41="INACTIVE",H41=""),0,MAX(0,H41-G41))</f>
        <v/>
      </c>
      <c r="J41" s="36" t="n"/>
      <c r="K41" s="42">
        <f>IF(OR(E41="INACTIVE",H41=""),0,IF(AB41="DISABLED",0,IF(AB41="FLAT",AE41,IF(AB41="MANUAL",IF(J41="",0,J41*AC41),IF(AB41="STEP",IF(I41&lt;=AF41,I41*AG41,IF(I41&lt;=AH41,AF41*AG41+(I41-AF41)*AI41,AF41*AG41+(AH41-AF41)*AI41+(I41-AH41)*AK41)),MAX(I41*AC41,AD41))))))</f>
        <v/>
      </c>
      <c r="L41" s="42">
        <f>IF(OR(E41="INACTIVE",H41=""),0,IF(AL41="NONE",0,IF(AL41="FLAT",AM41,IF(AL41="PER_UNIT",I41*AN41,IF(AL41="MANUAL",IF(M41="",0,M41),0)))))</f>
        <v/>
      </c>
      <c r="M41" s="36" t="n"/>
      <c r="N41" s="48" t="inlineStr">
        <is>
          <t>NORMAL</t>
        </is>
      </c>
      <c r="O41" s="36" t="n"/>
      <c r="P41" s="36" t="n"/>
      <c r="Q41" s="42">
        <f>IF(OR(E41="INACTIVE",P41=""),0,MAX(0,P41-O41))</f>
        <v/>
      </c>
      <c r="R41" s="36" t="n"/>
      <c r="S41" s="42">
        <f>IF(OR(E41="INACTIVE",P41=""),0,IF(AO41="DISABLED",0,IF(AO41="FLAT",AR41,IF(AO41="MANUAL",IF(R41="",0,R41*AP41),IF(AO41="STEP",IF(Q41&lt;=AS41,Q41*AT41,IF(Q41&lt;=AU41,AS41*AT41+(Q41-AS41)*AV41,AS41*AT41+(AU41-AS41)*AV41+(Q41-AU41)*AX41)),MAX(Q41*AP41,AQ41))))))</f>
        <v/>
      </c>
      <c r="T41" s="42">
        <f>IF(OR(E41="INACTIVE",P41=""),0,IF(AY41="NONE",0,IF(AY41="FLAT",AZ41,IF(AY41="PER_UNIT",Q41*BA41,IF(AY41="MANUAL",IF(U41="",0,U41),0)))))</f>
        <v/>
      </c>
      <c r="U41" s="36" t="n"/>
      <c r="V41" s="36" t="n"/>
      <c r="W41" s="36" t="n"/>
      <c r="X41" s="42">
        <f>IF(E41="INACTIVE",0,D41+K41+L41+S41+T41+IF(V41="",0,V41)+IF(W41="",0,W41))</f>
        <v/>
      </c>
      <c r="Y41" s="36" t="n"/>
      <c r="Z41" s="42">
        <f>IF(E41="INACTIVE","_",IF(AND(G41&gt;0,H41&gt;0,H41&lt;G41),"[!]น้ำ reset ","")&amp;IF(AND(O41&gt;0,P41&gt;0,P41&lt;O41),"[!]ไฟ reset ","")&amp;IF(AND(F41="MANUAL",J41=""),"[X]units น้ำ ","")&amp;IF(AND(N41="MANUAL",R41=""),"[X]units ไฟ ","")&amp;IF(D41=0,"[!]ค่าเช่า=0",""))</f>
        <v/>
      </c>
      <c r="AA41" s="41">
        <f>IF(C41&lt;&gt;"",C41,CONFIG!$B$6)</f>
        <v/>
      </c>
      <c r="AB41" s="41">
        <f>IF(F41&lt;&gt;"",F41,IFERROR(VLOOKUP(AA41,RULES!$A:$C,3,0),CONFIG!$B$7))</f>
        <v/>
      </c>
      <c r="AC41" s="41">
        <f>IF(IFERROR(VLOOKUP(AA41,RULES!$A:$D,4,0),"")="",CONFIG!$B$10,VLOOKUP(AA41,RULES!$A:$D,4,0))</f>
        <v/>
      </c>
      <c r="AD41" s="41">
        <f>IF(IFERROR(VLOOKUP(AA41,RULES!$A:$E,5,0),"")="",CONFIG!$B$11,VLOOKUP(AA41,RULES!$A:$E,5,0))</f>
        <v/>
      </c>
      <c r="AE41" s="41">
        <f>IFERROR(VLOOKUP(AA41,RULES!$A:$F,6,0)*1,0)</f>
        <v/>
      </c>
      <c r="AF41" s="41">
        <f>IFERROR(VLOOKUP(AA41,RULES!$A:$G,7,0)*1,0)</f>
        <v/>
      </c>
      <c r="AG41" s="41">
        <f>IFERROR(VLOOKUP(AA41,RULES!$A:$H,8,0)*1,0)</f>
        <v/>
      </c>
      <c r="AH41" s="41">
        <f>IFERROR(VLOOKUP(AA41,RULES!$A:$I,9,0)*1,0)</f>
        <v/>
      </c>
      <c r="AI41" s="41">
        <f>IFERROR(VLOOKUP(AA41,RULES!$A:$J,10,0)*1,0)</f>
        <v/>
      </c>
      <c r="AJ41" s="41">
        <f>IFERROR(IF(VLOOKUP(AA41,RULES!$A:$K,11,0)="",999999,VLOOKUP(AA41,RULES!$A:$K,11,0)*1),999999)</f>
        <v/>
      </c>
      <c r="AK41" s="41">
        <f>IFERROR(VLOOKUP(AA41,RULES!$A:$L,12,0)*1,0)</f>
        <v/>
      </c>
      <c r="AL41" s="41">
        <f>IFERROR(VLOOKUP(AA41,RULES!$A:$M,13,0),"NONE")</f>
        <v/>
      </c>
      <c r="AM41" s="41">
        <f>IFERROR(VLOOKUP(AA41,RULES!$A:$N,14,0)*1,0)</f>
        <v/>
      </c>
      <c r="AN41" s="41">
        <f>IFERROR(VLOOKUP(AA41,RULES!$A:$O,15,0)*1,0)</f>
        <v/>
      </c>
      <c r="AO41" s="41">
        <f>IF(N41&lt;&gt;"",N41,IFERROR(VLOOKUP(AA41,RULES!$A:$P,16,0),CONFIG!$B$8))</f>
        <v/>
      </c>
      <c r="AP41" s="41">
        <f>IF(IFERROR(VLOOKUP(AA41,RULES!$A:$Q,17,0),"")="",CONFIG!$B$13,VLOOKUP(AA41,RULES!$A:$Q,17,0))</f>
        <v/>
      </c>
      <c r="AQ41" s="41">
        <f>IF(IFERROR(VLOOKUP(AA41,RULES!$A:$R,18,0),"")="",CONFIG!$B$14,VLOOKUP(AA41,RULES!$A:$R,18,0))</f>
        <v/>
      </c>
      <c r="AR41" s="41">
        <f>IFERROR(VLOOKUP(AA41,RULES!$A:$S,19,0)*1,0)</f>
        <v/>
      </c>
      <c r="AS41" s="41">
        <f>IFERROR(VLOOKUP(AA41,RULES!$A:$T,20,0)*1,0)</f>
        <v/>
      </c>
      <c r="AT41" s="41">
        <f>IFERROR(VLOOKUP(AA41,RULES!$A:$U,21,0)*1,0)</f>
        <v/>
      </c>
      <c r="AU41" s="41">
        <f>IFERROR(VLOOKUP(AA41,RULES!$A:$V,22,0)*1,0)</f>
        <v/>
      </c>
      <c r="AV41" s="41">
        <f>IFERROR(VLOOKUP(AA41,RULES!$A:$W,23,0)*1,0)</f>
        <v/>
      </c>
      <c r="AW41" s="41">
        <f>IFERROR(IF(VLOOKUP(AA41,RULES!$A:$X,24,0)="",999999,VLOOKUP(AA41,RULES!$A:$X,24,0)*1),999999)</f>
        <v/>
      </c>
      <c r="AX41" s="41">
        <f>IFERROR(VLOOKUP(AA41,RULES!$A:$Y,25,0)*1,0)</f>
        <v/>
      </c>
      <c r="AY41" s="41">
        <f>IFERROR(VLOOKUP(AA41,RULES!$A:$Z,26,0),"NONE")</f>
        <v/>
      </c>
      <c r="AZ41" s="41">
        <f>IFERROR(VLOOKUP(AA41,RULES!$A:$AA,27,0)*1,0)</f>
        <v/>
      </c>
      <c r="BA41" s="41">
        <f>IFERROR(VLOOKUP(AA41,RULES!$A:$AB,28,0)*1,0)</f>
        <v/>
      </c>
    </row>
    <row r="42" ht="17" customHeight="1">
      <c r="A42" s="36" t="n"/>
      <c r="B42" s="48" t="inlineStr">
        <is>
          <t>ACC002</t>
        </is>
      </c>
      <c r="C42" s="48" t="inlineStr">
        <is>
          <t>DEFAULT</t>
        </is>
      </c>
      <c r="D42" s="47" t="n"/>
      <c r="E42" s="36">
        <f>IF(OR(D42="",D42=0),"INACTIVE","ACTIVE")</f>
        <v/>
      </c>
      <c r="F42" s="48" t="inlineStr">
        <is>
          <t>NORMAL</t>
        </is>
      </c>
      <c r="G42" s="36" t="n"/>
      <c r="H42" s="36" t="n"/>
      <c r="I42" s="42">
        <f>IF(OR(E42="INACTIVE",H42=""),0,MAX(0,H42-G42))</f>
        <v/>
      </c>
      <c r="J42" s="36" t="n"/>
      <c r="K42" s="42">
        <f>IF(OR(E42="INACTIVE",H42=""),0,IF(AB42="DISABLED",0,IF(AB42="FLAT",AE42,IF(AB42="MANUAL",IF(J42="",0,J42*AC42),IF(AB42="STEP",IF(I42&lt;=AF42,I42*AG42,IF(I42&lt;=AH42,AF42*AG42+(I42-AF42)*AI42,AF42*AG42+(AH42-AF42)*AI42+(I42-AH42)*AK42)),MAX(I42*AC42,AD42))))))</f>
        <v/>
      </c>
      <c r="L42" s="42">
        <f>IF(OR(E42="INACTIVE",H42=""),0,IF(AL42="NONE",0,IF(AL42="FLAT",AM42,IF(AL42="PER_UNIT",I42*AN42,IF(AL42="MANUAL",IF(M42="",0,M42),0)))))</f>
        <v/>
      </c>
      <c r="M42" s="36" t="n"/>
      <c r="N42" s="48" t="inlineStr">
        <is>
          <t>NORMAL</t>
        </is>
      </c>
      <c r="O42" s="36" t="n"/>
      <c r="P42" s="36" t="n"/>
      <c r="Q42" s="42">
        <f>IF(OR(E42="INACTIVE",P42=""),0,MAX(0,P42-O42))</f>
        <v/>
      </c>
      <c r="R42" s="36" t="n"/>
      <c r="S42" s="42">
        <f>IF(OR(E42="INACTIVE",P42=""),0,IF(AO42="DISABLED",0,IF(AO42="FLAT",AR42,IF(AO42="MANUAL",IF(R42="",0,R42*AP42),IF(AO42="STEP",IF(Q42&lt;=AS42,Q42*AT42,IF(Q42&lt;=AU42,AS42*AT42+(Q42-AS42)*AV42,AS42*AT42+(AU42-AS42)*AV42+(Q42-AU42)*AX42)),MAX(Q42*AP42,AQ42))))))</f>
        <v/>
      </c>
      <c r="T42" s="42">
        <f>IF(OR(E42="INACTIVE",P42=""),0,IF(AY42="NONE",0,IF(AY42="FLAT",AZ42,IF(AY42="PER_UNIT",Q42*BA42,IF(AY42="MANUAL",IF(U42="",0,U42),0)))))</f>
        <v/>
      </c>
      <c r="U42" s="36" t="n"/>
      <c r="V42" s="36" t="n"/>
      <c r="W42" s="36" t="n"/>
      <c r="X42" s="42">
        <f>IF(E42="INACTIVE",0,D42+K42+L42+S42+T42+IF(V42="",0,V42)+IF(W42="",0,W42))</f>
        <v/>
      </c>
      <c r="Y42" s="36" t="n"/>
      <c r="Z42" s="42">
        <f>IF(E42="INACTIVE","_",IF(AND(G42&gt;0,H42&gt;0,H42&lt;G42),"[!]น้ำ reset ","")&amp;IF(AND(O42&gt;0,P42&gt;0,P42&lt;O42),"[!]ไฟ reset ","")&amp;IF(AND(F42="MANUAL",J42=""),"[X]units น้ำ ","")&amp;IF(AND(N42="MANUAL",R42=""),"[X]units ไฟ ","")&amp;IF(D42=0,"[!]ค่าเช่า=0",""))</f>
        <v/>
      </c>
      <c r="AA42" s="41">
        <f>IF(C42&lt;&gt;"",C42,CONFIG!$B$6)</f>
        <v/>
      </c>
      <c r="AB42" s="41">
        <f>IF(F42&lt;&gt;"",F42,IFERROR(VLOOKUP(AA42,RULES!$A:$C,3,0),CONFIG!$B$7))</f>
        <v/>
      </c>
      <c r="AC42" s="41">
        <f>IF(IFERROR(VLOOKUP(AA42,RULES!$A:$D,4,0),"")="",CONFIG!$B$10,VLOOKUP(AA42,RULES!$A:$D,4,0))</f>
        <v/>
      </c>
      <c r="AD42" s="41">
        <f>IF(IFERROR(VLOOKUP(AA42,RULES!$A:$E,5,0),"")="",CONFIG!$B$11,VLOOKUP(AA42,RULES!$A:$E,5,0))</f>
        <v/>
      </c>
      <c r="AE42" s="41">
        <f>IFERROR(VLOOKUP(AA42,RULES!$A:$F,6,0)*1,0)</f>
        <v/>
      </c>
      <c r="AF42" s="41">
        <f>IFERROR(VLOOKUP(AA42,RULES!$A:$G,7,0)*1,0)</f>
        <v/>
      </c>
      <c r="AG42" s="41">
        <f>IFERROR(VLOOKUP(AA42,RULES!$A:$H,8,0)*1,0)</f>
        <v/>
      </c>
      <c r="AH42" s="41">
        <f>IFERROR(VLOOKUP(AA42,RULES!$A:$I,9,0)*1,0)</f>
        <v/>
      </c>
      <c r="AI42" s="41">
        <f>IFERROR(VLOOKUP(AA42,RULES!$A:$J,10,0)*1,0)</f>
        <v/>
      </c>
      <c r="AJ42" s="41">
        <f>IFERROR(IF(VLOOKUP(AA42,RULES!$A:$K,11,0)="",999999,VLOOKUP(AA42,RULES!$A:$K,11,0)*1),999999)</f>
        <v/>
      </c>
      <c r="AK42" s="41">
        <f>IFERROR(VLOOKUP(AA42,RULES!$A:$L,12,0)*1,0)</f>
        <v/>
      </c>
      <c r="AL42" s="41">
        <f>IFERROR(VLOOKUP(AA42,RULES!$A:$M,13,0),"NONE")</f>
        <v/>
      </c>
      <c r="AM42" s="41">
        <f>IFERROR(VLOOKUP(AA42,RULES!$A:$N,14,0)*1,0)</f>
        <v/>
      </c>
      <c r="AN42" s="41">
        <f>IFERROR(VLOOKUP(AA42,RULES!$A:$O,15,0)*1,0)</f>
        <v/>
      </c>
      <c r="AO42" s="41">
        <f>IF(N42&lt;&gt;"",N42,IFERROR(VLOOKUP(AA42,RULES!$A:$P,16,0),CONFIG!$B$8))</f>
        <v/>
      </c>
      <c r="AP42" s="41">
        <f>IF(IFERROR(VLOOKUP(AA42,RULES!$A:$Q,17,0),"")="",CONFIG!$B$13,VLOOKUP(AA42,RULES!$A:$Q,17,0))</f>
        <v/>
      </c>
      <c r="AQ42" s="41">
        <f>IF(IFERROR(VLOOKUP(AA42,RULES!$A:$R,18,0),"")="",CONFIG!$B$14,VLOOKUP(AA42,RULES!$A:$R,18,0))</f>
        <v/>
      </c>
      <c r="AR42" s="41">
        <f>IFERROR(VLOOKUP(AA42,RULES!$A:$S,19,0)*1,0)</f>
        <v/>
      </c>
      <c r="AS42" s="41">
        <f>IFERROR(VLOOKUP(AA42,RULES!$A:$T,20,0)*1,0)</f>
        <v/>
      </c>
      <c r="AT42" s="41">
        <f>IFERROR(VLOOKUP(AA42,RULES!$A:$U,21,0)*1,0)</f>
        <v/>
      </c>
      <c r="AU42" s="41">
        <f>IFERROR(VLOOKUP(AA42,RULES!$A:$V,22,0)*1,0)</f>
        <v/>
      </c>
      <c r="AV42" s="41">
        <f>IFERROR(VLOOKUP(AA42,RULES!$A:$W,23,0)*1,0)</f>
        <v/>
      </c>
      <c r="AW42" s="41">
        <f>IFERROR(IF(VLOOKUP(AA42,RULES!$A:$X,24,0)="",999999,VLOOKUP(AA42,RULES!$A:$X,24,0)*1),999999)</f>
        <v/>
      </c>
      <c r="AX42" s="41">
        <f>IFERROR(VLOOKUP(AA42,RULES!$A:$Y,25,0)*1,0)</f>
        <v/>
      </c>
      <c r="AY42" s="41">
        <f>IFERROR(VLOOKUP(AA42,RULES!$A:$Z,26,0),"NONE")</f>
        <v/>
      </c>
      <c r="AZ42" s="41">
        <f>IFERROR(VLOOKUP(AA42,RULES!$A:$AA,27,0)*1,0)</f>
        <v/>
      </c>
      <c r="BA42" s="41">
        <f>IFERROR(VLOOKUP(AA42,RULES!$A:$AB,28,0)*1,0)</f>
        <v/>
      </c>
    </row>
    <row r="43" ht="17" customHeight="1">
      <c r="A43" s="36" t="n"/>
      <c r="B43" s="48" t="inlineStr">
        <is>
          <t>ACC002</t>
        </is>
      </c>
      <c r="C43" s="48" t="inlineStr">
        <is>
          <t>DEFAULT</t>
        </is>
      </c>
      <c r="D43" s="47" t="n"/>
      <c r="E43" s="36">
        <f>IF(OR(D43="",D43=0),"INACTIVE","ACTIVE")</f>
        <v/>
      </c>
      <c r="F43" s="48" t="inlineStr">
        <is>
          <t>NORMAL</t>
        </is>
      </c>
      <c r="G43" s="36" t="n"/>
      <c r="H43" s="36" t="n"/>
      <c r="I43" s="42">
        <f>IF(OR(E43="INACTIVE",H43=""),0,MAX(0,H43-G43))</f>
        <v/>
      </c>
      <c r="J43" s="36" t="n"/>
      <c r="K43" s="42">
        <f>IF(OR(E43="INACTIVE",H43=""),0,IF(AB43="DISABLED",0,IF(AB43="FLAT",AE43,IF(AB43="MANUAL",IF(J43="",0,J43*AC43),IF(AB43="STEP",IF(I43&lt;=AF43,I43*AG43,IF(I43&lt;=AH43,AF43*AG43+(I43-AF43)*AI43,AF43*AG43+(AH43-AF43)*AI43+(I43-AH43)*AK43)),MAX(I43*AC43,AD43))))))</f>
        <v/>
      </c>
      <c r="L43" s="42">
        <f>IF(OR(E43="INACTIVE",H43=""),0,IF(AL43="NONE",0,IF(AL43="FLAT",AM43,IF(AL43="PER_UNIT",I43*AN43,IF(AL43="MANUAL",IF(M43="",0,M43),0)))))</f>
        <v/>
      </c>
      <c r="M43" s="36" t="n"/>
      <c r="N43" s="48" t="inlineStr">
        <is>
          <t>NORMAL</t>
        </is>
      </c>
      <c r="O43" s="36" t="n"/>
      <c r="P43" s="36" t="n"/>
      <c r="Q43" s="42">
        <f>IF(OR(E43="INACTIVE",P43=""),0,MAX(0,P43-O43))</f>
        <v/>
      </c>
      <c r="R43" s="36" t="n"/>
      <c r="S43" s="42">
        <f>IF(OR(E43="INACTIVE",P43=""),0,IF(AO43="DISABLED",0,IF(AO43="FLAT",AR43,IF(AO43="MANUAL",IF(R43="",0,R43*AP43),IF(AO43="STEP",IF(Q43&lt;=AS43,Q43*AT43,IF(Q43&lt;=AU43,AS43*AT43+(Q43-AS43)*AV43,AS43*AT43+(AU43-AS43)*AV43+(Q43-AU43)*AX43)),MAX(Q43*AP43,AQ43))))))</f>
        <v/>
      </c>
      <c r="T43" s="42">
        <f>IF(OR(E43="INACTIVE",P43=""),0,IF(AY43="NONE",0,IF(AY43="FLAT",AZ43,IF(AY43="PER_UNIT",Q43*BA43,IF(AY43="MANUAL",IF(U43="",0,U43),0)))))</f>
        <v/>
      </c>
      <c r="U43" s="36" t="n"/>
      <c r="V43" s="36" t="n"/>
      <c r="W43" s="36" t="n"/>
      <c r="X43" s="42">
        <f>IF(E43="INACTIVE",0,D43+K43+L43+S43+T43+IF(V43="",0,V43)+IF(W43="",0,W43))</f>
        <v/>
      </c>
      <c r="Y43" s="36" t="n"/>
      <c r="Z43" s="42">
        <f>IF(E43="INACTIVE","_",IF(AND(G43&gt;0,H43&gt;0,H43&lt;G43),"[!]น้ำ reset ","")&amp;IF(AND(O43&gt;0,P43&gt;0,P43&lt;O43),"[!]ไฟ reset ","")&amp;IF(AND(F43="MANUAL",J43=""),"[X]units น้ำ ","")&amp;IF(AND(N43="MANUAL",R43=""),"[X]units ไฟ ","")&amp;IF(D43=0,"[!]ค่าเช่า=0",""))</f>
        <v/>
      </c>
      <c r="AA43" s="41">
        <f>IF(C43&lt;&gt;"",C43,CONFIG!$B$6)</f>
        <v/>
      </c>
      <c r="AB43" s="41">
        <f>IF(F43&lt;&gt;"",F43,IFERROR(VLOOKUP(AA43,RULES!$A:$C,3,0),CONFIG!$B$7))</f>
        <v/>
      </c>
      <c r="AC43" s="41">
        <f>IF(IFERROR(VLOOKUP(AA43,RULES!$A:$D,4,0),"")="",CONFIG!$B$10,VLOOKUP(AA43,RULES!$A:$D,4,0))</f>
        <v/>
      </c>
      <c r="AD43" s="41">
        <f>IF(IFERROR(VLOOKUP(AA43,RULES!$A:$E,5,0),"")="",CONFIG!$B$11,VLOOKUP(AA43,RULES!$A:$E,5,0))</f>
        <v/>
      </c>
      <c r="AE43" s="41">
        <f>IFERROR(VLOOKUP(AA43,RULES!$A:$F,6,0)*1,0)</f>
        <v/>
      </c>
      <c r="AF43" s="41">
        <f>IFERROR(VLOOKUP(AA43,RULES!$A:$G,7,0)*1,0)</f>
        <v/>
      </c>
      <c r="AG43" s="41">
        <f>IFERROR(VLOOKUP(AA43,RULES!$A:$H,8,0)*1,0)</f>
        <v/>
      </c>
      <c r="AH43" s="41">
        <f>IFERROR(VLOOKUP(AA43,RULES!$A:$I,9,0)*1,0)</f>
        <v/>
      </c>
      <c r="AI43" s="41">
        <f>IFERROR(VLOOKUP(AA43,RULES!$A:$J,10,0)*1,0)</f>
        <v/>
      </c>
      <c r="AJ43" s="41">
        <f>IFERROR(IF(VLOOKUP(AA43,RULES!$A:$K,11,0)="",999999,VLOOKUP(AA43,RULES!$A:$K,11,0)*1),999999)</f>
        <v/>
      </c>
      <c r="AK43" s="41">
        <f>IFERROR(VLOOKUP(AA43,RULES!$A:$L,12,0)*1,0)</f>
        <v/>
      </c>
      <c r="AL43" s="41">
        <f>IFERROR(VLOOKUP(AA43,RULES!$A:$M,13,0),"NONE")</f>
        <v/>
      </c>
      <c r="AM43" s="41">
        <f>IFERROR(VLOOKUP(AA43,RULES!$A:$N,14,0)*1,0)</f>
        <v/>
      </c>
      <c r="AN43" s="41">
        <f>IFERROR(VLOOKUP(AA43,RULES!$A:$O,15,0)*1,0)</f>
        <v/>
      </c>
      <c r="AO43" s="41">
        <f>IF(N43&lt;&gt;"",N43,IFERROR(VLOOKUP(AA43,RULES!$A:$P,16,0),CONFIG!$B$8))</f>
        <v/>
      </c>
      <c r="AP43" s="41">
        <f>IF(IFERROR(VLOOKUP(AA43,RULES!$A:$Q,17,0),"")="",CONFIG!$B$13,VLOOKUP(AA43,RULES!$A:$Q,17,0))</f>
        <v/>
      </c>
      <c r="AQ43" s="41">
        <f>IF(IFERROR(VLOOKUP(AA43,RULES!$A:$R,18,0),"")="",CONFIG!$B$14,VLOOKUP(AA43,RULES!$A:$R,18,0))</f>
        <v/>
      </c>
      <c r="AR43" s="41">
        <f>IFERROR(VLOOKUP(AA43,RULES!$A:$S,19,0)*1,0)</f>
        <v/>
      </c>
      <c r="AS43" s="41">
        <f>IFERROR(VLOOKUP(AA43,RULES!$A:$T,20,0)*1,0)</f>
        <v/>
      </c>
      <c r="AT43" s="41">
        <f>IFERROR(VLOOKUP(AA43,RULES!$A:$U,21,0)*1,0)</f>
        <v/>
      </c>
      <c r="AU43" s="41">
        <f>IFERROR(VLOOKUP(AA43,RULES!$A:$V,22,0)*1,0)</f>
        <v/>
      </c>
      <c r="AV43" s="41">
        <f>IFERROR(VLOOKUP(AA43,RULES!$A:$W,23,0)*1,0)</f>
        <v/>
      </c>
      <c r="AW43" s="41">
        <f>IFERROR(IF(VLOOKUP(AA43,RULES!$A:$X,24,0)="",999999,VLOOKUP(AA43,RULES!$A:$X,24,0)*1),999999)</f>
        <v/>
      </c>
      <c r="AX43" s="41">
        <f>IFERROR(VLOOKUP(AA43,RULES!$A:$Y,25,0)*1,0)</f>
        <v/>
      </c>
      <c r="AY43" s="41">
        <f>IFERROR(VLOOKUP(AA43,RULES!$A:$Z,26,0),"NONE")</f>
        <v/>
      </c>
      <c r="AZ43" s="41">
        <f>IFERROR(VLOOKUP(AA43,RULES!$A:$AA,27,0)*1,0)</f>
        <v/>
      </c>
      <c r="BA43" s="41">
        <f>IFERROR(VLOOKUP(AA43,RULES!$A:$AB,28,0)*1,0)</f>
        <v/>
      </c>
    </row>
    <row r="44" ht="17" customHeight="1">
      <c r="A44" s="36" t="n"/>
      <c r="B44" s="48" t="inlineStr">
        <is>
          <t>ACC002</t>
        </is>
      </c>
      <c r="C44" s="48" t="inlineStr">
        <is>
          <t>DEFAULT</t>
        </is>
      </c>
      <c r="D44" s="47" t="n"/>
      <c r="E44" s="36">
        <f>IF(OR(D44="",D44=0),"INACTIVE","ACTIVE")</f>
        <v/>
      </c>
      <c r="F44" s="48" t="inlineStr">
        <is>
          <t>NORMAL</t>
        </is>
      </c>
      <c r="G44" s="36" t="n"/>
      <c r="H44" s="36" t="n"/>
      <c r="I44" s="42">
        <f>IF(OR(E44="INACTIVE",H44=""),0,MAX(0,H44-G44))</f>
        <v/>
      </c>
      <c r="J44" s="36" t="n"/>
      <c r="K44" s="42">
        <f>IF(OR(E44="INACTIVE",H44=""),0,IF(AB44="DISABLED",0,IF(AB44="FLAT",AE44,IF(AB44="MANUAL",IF(J44="",0,J44*AC44),IF(AB44="STEP",IF(I44&lt;=AF44,I44*AG44,IF(I44&lt;=AH44,AF44*AG44+(I44-AF44)*AI44,AF44*AG44+(AH44-AF44)*AI44+(I44-AH44)*AK44)),MAX(I44*AC44,AD44))))))</f>
        <v/>
      </c>
      <c r="L44" s="42">
        <f>IF(OR(E44="INACTIVE",H44=""),0,IF(AL44="NONE",0,IF(AL44="FLAT",AM44,IF(AL44="PER_UNIT",I44*AN44,IF(AL44="MANUAL",IF(M44="",0,M44),0)))))</f>
        <v/>
      </c>
      <c r="M44" s="36" t="n"/>
      <c r="N44" s="48" t="inlineStr">
        <is>
          <t>NORMAL</t>
        </is>
      </c>
      <c r="O44" s="36" t="n"/>
      <c r="P44" s="36" t="n"/>
      <c r="Q44" s="42">
        <f>IF(OR(E44="INACTIVE",P44=""),0,MAX(0,P44-O44))</f>
        <v/>
      </c>
      <c r="R44" s="36" t="n"/>
      <c r="S44" s="42">
        <f>IF(OR(E44="INACTIVE",P44=""),0,IF(AO44="DISABLED",0,IF(AO44="FLAT",AR44,IF(AO44="MANUAL",IF(R44="",0,R44*AP44),IF(AO44="STEP",IF(Q44&lt;=AS44,Q44*AT44,IF(Q44&lt;=AU44,AS44*AT44+(Q44-AS44)*AV44,AS44*AT44+(AU44-AS44)*AV44+(Q44-AU44)*AX44)),MAX(Q44*AP44,AQ44))))))</f>
        <v/>
      </c>
      <c r="T44" s="42">
        <f>IF(OR(E44="INACTIVE",P44=""),0,IF(AY44="NONE",0,IF(AY44="FLAT",AZ44,IF(AY44="PER_UNIT",Q44*BA44,IF(AY44="MANUAL",IF(U44="",0,U44),0)))))</f>
        <v/>
      </c>
      <c r="U44" s="36" t="n"/>
      <c r="V44" s="36" t="n"/>
      <c r="W44" s="36" t="n"/>
      <c r="X44" s="42">
        <f>IF(E44="INACTIVE",0,D44+K44+L44+S44+T44+IF(V44="",0,V44)+IF(W44="",0,W44))</f>
        <v/>
      </c>
      <c r="Y44" s="36" t="n"/>
      <c r="Z44" s="42">
        <f>IF(E44="INACTIVE","_",IF(AND(G44&gt;0,H44&gt;0,H44&lt;G44),"[!]น้ำ reset ","")&amp;IF(AND(O44&gt;0,P44&gt;0,P44&lt;O44),"[!]ไฟ reset ","")&amp;IF(AND(F44="MANUAL",J44=""),"[X]units น้ำ ","")&amp;IF(AND(N44="MANUAL",R44=""),"[X]units ไฟ ","")&amp;IF(D44=0,"[!]ค่าเช่า=0",""))</f>
        <v/>
      </c>
      <c r="AA44" s="41">
        <f>IF(C44&lt;&gt;"",C44,CONFIG!$B$6)</f>
        <v/>
      </c>
      <c r="AB44" s="41">
        <f>IF(F44&lt;&gt;"",F44,IFERROR(VLOOKUP(AA44,RULES!$A:$C,3,0),CONFIG!$B$7))</f>
        <v/>
      </c>
      <c r="AC44" s="41">
        <f>IF(IFERROR(VLOOKUP(AA44,RULES!$A:$D,4,0),"")="",CONFIG!$B$10,VLOOKUP(AA44,RULES!$A:$D,4,0))</f>
        <v/>
      </c>
      <c r="AD44" s="41">
        <f>IF(IFERROR(VLOOKUP(AA44,RULES!$A:$E,5,0),"")="",CONFIG!$B$11,VLOOKUP(AA44,RULES!$A:$E,5,0))</f>
        <v/>
      </c>
      <c r="AE44" s="41">
        <f>IFERROR(VLOOKUP(AA44,RULES!$A:$F,6,0)*1,0)</f>
        <v/>
      </c>
      <c r="AF44" s="41">
        <f>IFERROR(VLOOKUP(AA44,RULES!$A:$G,7,0)*1,0)</f>
        <v/>
      </c>
      <c r="AG44" s="41">
        <f>IFERROR(VLOOKUP(AA44,RULES!$A:$H,8,0)*1,0)</f>
        <v/>
      </c>
      <c r="AH44" s="41">
        <f>IFERROR(VLOOKUP(AA44,RULES!$A:$I,9,0)*1,0)</f>
        <v/>
      </c>
      <c r="AI44" s="41">
        <f>IFERROR(VLOOKUP(AA44,RULES!$A:$J,10,0)*1,0)</f>
        <v/>
      </c>
      <c r="AJ44" s="41">
        <f>IFERROR(IF(VLOOKUP(AA44,RULES!$A:$K,11,0)="",999999,VLOOKUP(AA44,RULES!$A:$K,11,0)*1),999999)</f>
        <v/>
      </c>
      <c r="AK44" s="41">
        <f>IFERROR(VLOOKUP(AA44,RULES!$A:$L,12,0)*1,0)</f>
        <v/>
      </c>
      <c r="AL44" s="41">
        <f>IFERROR(VLOOKUP(AA44,RULES!$A:$M,13,0),"NONE")</f>
        <v/>
      </c>
      <c r="AM44" s="41">
        <f>IFERROR(VLOOKUP(AA44,RULES!$A:$N,14,0)*1,0)</f>
        <v/>
      </c>
      <c r="AN44" s="41">
        <f>IFERROR(VLOOKUP(AA44,RULES!$A:$O,15,0)*1,0)</f>
        <v/>
      </c>
      <c r="AO44" s="41">
        <f>IF(N44&lt;&gt;"",N44,IFERROR(VLOOKUP(AA44,RULES!$A:$P,16,0),CONFIG!$B$8))</f>
        <v/>
      </c>
      <c r="AP44" s="41">
        <f>IF(IFERROR(VLOOKUP(AA44,RULES!$A:$Q,17,0),"")="",CONFIG!$B$13,VLOOKUP(AA44,RULES!$A:$Q,17,0))</f>
        <v/>
      </c>
      <c r="AQ44" s="41">
        <f>IF(IFERROR(VLOOKUP(AA44,RULES!$A:$R,18,0),"")="",CONFIG!$B$14,VLOOKUP(AA44,RULES!$A:$R,18,0))</f>
        <v/>
      </c>
      <c r="AR44" s="41">
        <f>IFERROR(VLOOKUP(AA44,RULES!$A:$S,19,0)*1,0)</f>
        <v/>
      </c>
      <c r="AS44" s="41">
        <f>IFERROR(VLOOKUP(AA44,RULES!$A:$T,20,0)*1,0)</f>
        <v/>
      </c>
      <c r="AT44" s="41">
        <f>IFERROR(VLOOKUP(AA44,RULES!$A:$U,21,0)*1,0)</f>
        <v/>
      </c>
      <c r="AU44" s="41">
        <f>IFERROR(VLOOKUP(AA44,RULES!$A:$V,22,0)*1,0)</f>
        <v/>
      </c>
      <c r="AV44" s="41">
        <f>IFERROR(VLOOKUP(AA44,RULES!$A:$W,23,0)*1,0)</f>
        <v/>
      </c>
      <c r="AW44" s="41">
        <f>IFERROR(IF(VLOOKUP(AA44,RULES!$A:$X,24,0)="",999999,VLOOKUP(AA44,RULES!$A:$X,24,0)*1),999999)</f>
        <v/>
      </c>
      <c r="AX44" s="41">
        <f>IFERROR(VLOOKUP(AA44,RULES!$A:$Y,25,0)*1,0)</f>
        <v/>
      </c>
      <c r="AY44" s="41">
        <f>IFERROR(VLOOKUP(AA44,RULES!$A:$Z,26,0),"NONE")</f>
        <v/>
      </c>
      <c r="AZ44" s="41">
        <f>IFERROR(VLOOKUP(AA44,RULES!$A:$AA,27,0)*1,0)</f>
        <v/>
      </c>
      <c r="BA44" s="41">
        <f>IFERROR(VLOOKUP(AA44,RULES!$A:$AB,28,0)*1,0)</f>
        <v/>
      </c>
    </row>
    <row r="45" ht="17" customHeight="1">
      <c r="A45" s="36" t="n"/>
      <c r="B45" s="48" t="inlineStr">
        <is>
          <t>ACC002</t>
        </is>
      </c>
      <c r="C45" s="48" t="inlineStr">
        <is>
          <t>DEFAULT</t>
        </is>
      </c>
      <c r="D45" s="47" t="n"/>
      <c r="E45" s="36">
        <f>IF(OR(D45="",D45=0),"INACTIVE","ACTIVE")</f>
        <v/>
      </c>
      <c r="F45" s="48" t="inlineStr">
        <is>
          <t>NORMAL</t>
        </is>
      </c>
      <c r="G45" s="36" t="n"/>
      <c r="H45" s="36" t="n"/>
      <c r="I45" s="42">
        <f>IF(OR(E45="INACTIVE",H45=""),0,MAX(0,H45-G45))</f>
        <v/>
      </c>
      <c r="J45" s="36" t="n"/>
      <c r="K45" s="42">
        <f>IF(OR(E45="INACTIVE",H45=""),0,IF(AB45="DISABLED",0,IF(AB45="FLAT",AE45,IF(AB45="MANUAL",IF(J45="",0,J45*AC45),IF(AB45="STEP",IF(I45&lt;=AF45,I45*AG45,IF(I45&lt;=AH45,AF45*AG45+(I45-AF45)*AI45,AF45*AG45+(AH45-AF45)*AI45+(I45-AH45)*AK45)),MAX(I45*AC45,AD45))))))</f>
        <v/>
      </c>
      <c r="L45" s="42">
        <f>IF(OR(E45="INACTIVE",H45=""),0,IF(AL45="NONE",0,IF(AL45="FLAT",AM45,IF(AL45="PER_UNIT",I45*AN45,IF(AL45="MANUAL",IF(M45="",0,M45),0)))))</f>
        <v/>
      </c>
      <c r="M45" s="36" t="n"/>
      <c r="N45" s="48" t="inlineStr">
        <is>
          <t>NORMAL</t>
        </is>
      </c>
      <c r="O45" s="36" t="n"/>
      <c r="P45" s="36" t="n"/>
      <c r="Q45" s="42">
        <f>IF(OR(E45="INACTIVE",P45=""),0,MAX(0,P45-O45))</f>
        <v/>
      </c>
      <c r="R45" s="36" t="n"/>
      <c r="S45" s="42">
        <f>IF(OR(E45="INACTIVE",P45=""),0,IF(AO45="DISABLED",0,IF(AO45="FLAT",AR45,IF(AO45="MANUAL",IF(R45="",0,R45*AP45),IF(AO45="STEP",IF(Q45&lt;=AS45,Q45*AT45,IF(Q45&lt;=AU45,AS45*AT45+(Q45-AS45)*AV45,AS45*AT45+(AU45-AS45)*AV45+(Q45-AU45)*AX45)),MAX(Q45*AP45,AQ45))))))</f>
        <v/>
      </c>
      <c r="T45" s="42">
        <f>IF(OR(E45="INACTIVE",P45=""),0,IF(AY45="NONE",0,IF(AY45="FLAT",AZ45,IF(AY45="PER_UNIT",Q45*BA45,IF(AY45="MANUAL",IF(U45="",0,U45),0)))))</f>
        <v/>
      </c>
      <c r="U45" s="36" t="n"/>
      <c r="V45" s="36" t="n"/>
      <c r="W45" s="36" t="n"/>
      <c r="X45" s="42">
        <f>IF(E45="INACTIVE",0,D45+K45+L45+S45+T45+IF(V45="",0,V45)+IF(W45="",0,W45))</f>
        <v/>
      </c>
      <c r="Y45" s="36" t="n"/>
      <c r="Z45" s="42">
        <f>IF(E45="INACTIVE","_",IF(AND(G45&gt;0,H45&gt;0,H45&lt;G45),"[!]น้ำ reset ","")&amp;IF(AND(O45&gt;0,P45&gt;0,P45&lt;O45),"[!]ไฟ reset ","")&amp;IF(AND(F45="MANUAL",J45=""),"[X]units น้ำ ","")&amp;IF(AND(N45="MANUAL",R45=""),"[X]units ไฟ ","")&amp;IF(D45=0,"[!]ค่าเช่า=0",""))</f>
        <v/>
      </c>
      <c r="AA45" s="41">
        <f>IF(C45&lt;&gt;"",C45,CONFIG!$B$6)</f>
        <v/>
      </c>
      <c r="AB45" s="41">
        <f>IF(F45&lt;&gt;"",F45,IFERROR(VLOOKUP(AA45,RULES!$A:$C,3,0),CONFIG!$B$7))</f>
        <v/>
      </c>
      <c r="AC45" s="41">
        <f>IF(IFERROR(VLOOKUP(AA45,RULES!$A:$D,4,0),"")="",CONFIG!$B$10,VLOOKUP(AA45,RULES!$A:$D,4,0))</f>
        <v/>
      </c>
      <c r="AD45" s="41">
        <f>IF(IFERROR(VLOOKUP(AA45,RULES!$A:$E,5,0),"")="",CONFIG!$B$11,VLOOKUP(AA45,RULES!$A:$E,5,0))</f>
        <v/>
      </c>
      <c r="AE45" s="41">
        <f>IFERROR(VLOOKUP(AA45,RULES!$A:$F,6,0)*1,0)</f>
        <v/>
      </c>
      <c r="AF45" s="41">
        <f>IFERROR(VLOOKUP(AA45,RULES!$A:$G,7,0)*1,0)</f>
        <v/>
      </c>
      <c r="AG45" s="41">
        <f>IFERROR(VLOOKUP(AA45,RULES!$A:$H,8,0)*1,0)</f>
        <v/>
      </c>
      <c r="AH45" s="41">
        <f>IFERROR(VLOOKUP(AA45,RULES!$A:$I,9,0)*1,0)</f>
        <v/>
      </c>
      <c r="AI45" s="41">
        <f>IFERROR(VLOOKUP(AA45,RULES!$A:$J,10,0)*1,0)</f>
        <v/>
      </c>
      <c r="AJ45" s="41">
        <f>IFERROR(IF(VLOOKUP(AA45,RULES!$A:$K,11,0)="",999999,VLOOKUP(AA45,RULES!$A:$K,11,0)*1),999999)</f>
        <v/>
      </c>
      <c r="AK45" s="41">
        <f>IFERROR(VLOOKUP(AA45,RULES!$A:$L,12,0)*1,0)</f>
        <v/>
      </c>
      <c r="AL45" s="41">
        <f>IFERROR(VLOOKUP(AA45,RULES!$A:$M,13,0),"NONE")</f>
        <v/>
      </c>
      <c r="AM45" s="41">
        <f>IFERROR(VLOOKUP(AA45,RULES!$A:$N,14,0)*1,0)</f>
        <v/>
      </c>
      <c r="AN45" s="41">
        <f>IFERROR(VLOOKUP(AA45,RULES!$A:$O,15,0)*1,0)</f>
        <v/>
      </c>
      <c r="AO45" s="41">
        <f>IF(N45&lt;&gt;"",N45,IFERROR(VLOOKUP(AA45,RULES!$A:$P,16,0),CONFIG!$B$8))</f>
        <v/>
      </c>
      <c r="AP45" s="41">
        <f>IF(IFERROR(VLOOKUP(AA45,RULES!$A:$Q,17,0),"")="",CONFIG!$B$13,VLOOKUP(AA45,RULES!$A:$Q,17,0))</f>
        <v/>
      </c>
      <c r="AQ45" s="41">
        <f>IF(IFERROR(VLOOKUP(AA45,RULES!$A:$R,18,0),"")="",CONFIG!$B$14,VLOOKUP(AA45,RULES!$A:$R,18,0))</f>
        <v/>
      </c>
      <c r="AR45" s="41">
        <f>IFERROR(VLOOKUP(AA45,RULES!$A:$S,19,0)*1,0)</f>
        <v/>
      </c>
      <c r="AS45" s="41">
        <f>IFERROR(VLOOKUP(AA45,RULES!$A:$T,20,0)*1,0)</f>
        <v/>
      </c>
      <c r="AT45" s="41">
        <f>IFERROR(VLOOKUP(AA45,RULES!$A:$U,21,0)*1,0)</f>
        <v/>
      </c>
      <c r="AU45" s="41">
        <f>IFERROR(VLOOKUP(AA45,RULES!$A:$V,22,0)*1,0)</f>
        <v/>
      </c>
      <c r="AV45" s="41">
        <f>IFERROR(VLOOKUP(AA45,RULES!$A:$W,23,0)*1,0)</f>
        <v/>
      </c>
      <c r="AW45" s="41">
        <f>IFERROR(IF(VLOOKUP(AA45,RULES!$A:$X,24,0)="",999999,VLOOKUP(AA45,RULES!$A:$X,24,0)*1),999999)</f>
        <v/>
      </c>
      <c r="AX45" s="41">
        <f>IFERROR(VLOOKUP(AA45,RULES!$A:$Y,25,0)*1,0)</f>
        <v/>
      </c>
      <c r="AY45" s="41">
        <f>IFERROR(VLOOKUP(AA45,RULES!$A:$Z,26,0),"NONE")</f>
        <v/>
      </c>
      <c r="AZ45" s="41">
        <f>IFERROR(VLOOKUP(AA45,RULES!$A:$AA,27,0)*1,0)</f>
        <v/>
      </c>
      <c r="BA45" s="41">
        <f>IFERROR(VLOOKUP(AA45,RULES!$A:$AB,28,0)*1,0)</f>
        <v/>
      </c>
    </row>
    <row r="46" ht="22" customHeight="1">
      <c r="A46" s="43" t="inlineStr">
        <is>
          <t>Summary Floor 2</t>
        </is>
      </c>
      <c r="B46" s="46" t="n"/>
      <c r="C46" s="44" t="n"/>
      <c r="D46" s="44" t="n"/>
      <c r="E46" s="43">
        <f>COUNTIF(E4:E35,"ACTIVE")&amp;" / "&amp;COUNTIF(E4:E35,"INACTIVE")</f>
        <v/>
      </c>
      <c r="F46" s="44" t="n"/>
      <c r="G46" s="44" t="n"/>
      <c r="H46" s="44" t="n"/>
      <c r="I46" s="44" t="n"/>
      <c r="J46" s="44" t="n"/>
      <c r="K46" s="45">
        <f>SUM(K4:K35)</f>
        <v/>
      </c>
      <c r="L46" s="45">
        <f>SUM(L4:L35)</f>
        <v/>
      </c>
      <c r="M46" s="44" t="n"/>
      <c r="N46" s="44" t="n"/>
      <c r="O46" s="44" t="n"/>
      <c r="P46" s="44" t="n"/>
      <c r="Q46" s="44" t="n"/>
      <c r="R46" s="44" t="n"/>
      <c r="S46" s="45">
        <f>SUM(S4:S35)</f>
        <v/>
      </c>
      <c r="T46" s="45">
        <f>SUM(T4:T35)</f>
        <v/>
      </c>
      <c r="U46" s="44" t="n"/>
      <c r="V46" s="44" t="n"/>
      <c r="W46" s="44" t="n"/>
      <c r="X46" s="45">
        <f>SUM(X4:X35)</f>
        <v/>
      </c>
      <c r="Y46" s="44" t="n"/>
      <c r="Z46" s="44" t="n"/>
    </row>
  </sheetData>
  <mergeCells count="3">
    <mergeCell ref="A1:Z1"/>
    <mergeCell ref="A36:B36"/>
    <mergeCell ref="A46:B46"/>
  </mergeCells>
  <conditionalFormatting sqref="A4:Z46">
    <cfRule type="expression" priority="22" dxfId="11">
      <formula>=$E4="INACTIVE"</formula>
    </cfRule>
  </conditionalFormatting>
  <conditionalFormatting sqref="E4:E46">
    <cfRule type="expression" priority="23" dxfId="12">
      <formula>=E4="ACTIVE"</formula>
    </cfRule>
    <cfRule type="expression" priority="24" dxfId="13">
      <formula>=E4="INACTIVE"</formula>
    </cfRule>
  </conditionalFormatting>
  <conditionalFormatting sqref="F4:F46">
    <cfRule type="expression" priority="25" dxfId="14">
      <formula>=F4="NORMAL"</formula>
    </cfRule>
    <cfRule type="expression" priority="26" dxfId="15">
      <formula>=F4="MANUAL"</formula>
    </cfRule>
    <cfRule type="expression" priority="27" dxfId="16">
      <formula>=F4="DISABLED"</formula>
    </cfRule>
    <cfRule type="expression" priority="28" dxfId="17">
      <formula>=F4="FLAT"</formula>
    </cfRule>
    <cfRule type="expression" priority="29" dxfId="18">
      <formula>=F4="STEP"</formula>
    </cfRule>
  </conditionalFormatting>
  <conditionalFormatting sqref="N4:N46">
    <cfRule type="expression" priority="30" dxfId="14">
      <formula>=N4="NORMAL"</formula>
    </cfRule>
    <cfRule type="expression" priority="31" dxfId="15">
      <formula>=N4="MANUAL"</formula>
    </cfRule>
    <cfRule type="expression" priority="32" dxfId="16">
      <formula>=N4="DISABLED"</formula>
    </cfRule>
    <cfRule type="expression" priority="33" dxfId="17">
      <formula>=N4="FLAT"</formula>
    </cfRule>
    <cfRule type="expression" priority="34" dxfId="18">
      <formula>=N4="STEP"</formula>
    </cfRule>
  </conditionalFormatting>
  <conditionalFormatting sqref="Z4:Z46">
    <cfRule type="expression" priority="35" dxfId="19">
      <formula>=ISNUMBER(SEARCH("[X]",Z4))</formula>
    </cfRule>
    <cfRule type="expression" priority="36" dxfId="20">
      <formula>=ISNUMBER(SEARCH("[!]",Z4))</formula>
    </cfRule>
    <cfRule type="expression" priority="37" dxfId="16">
      <formula>=Z4="_"</formula>
    </cfRule>
    <cfRule type="expression" priority="38" dxfId="14">
      <formula>=AND(Z4="",E4="ACTIVE")</formula>
    </cfRule>
  </conditionalFormatting>
  <conditionalFormatting sqref="B4:B46">
    <cfRule type="expression" priority="39" dxfId="21">
      <formula>=B4&lt;&gt;""</formula>
    </cfRule>
  </conditionalFormatting>
  <conditionalFormatting sqref="C4:C46">
    <cfRule type="expression" priority="40" dxfId="21">
      <formula>=AND(C4&lt;&gt;"",C4&lt;&gt;"DEFAULT")</formula>
    </cfRule>
  </conditionalFormatting>
  <conditionalFormatting sqref="J4:J46">
    <cfRule type="expression" priority="41" dxfId="19">
      <formula>=AND(AB4="MANUAL",J4="")</formula>
    </cfRule>
  </conditionalFormatting>
  <conditionalFormatting sqref="R4:R46">
    <cfRule type="expression" priority="42" dxfId="19">
      <formula>=AND(AO4="MANUAL",R4="")</formula>
    </cfRule>
  </conditionalFormatting>
  <dataValidations count="4">
    <dataValidation sqref="B4:B45" showDropDown="0" showInputMessage="0" showErrorMessage="0" allowBlank="0" type="list">
      <formula1>=ACCOUNTS!$A$2:$A$30</formula1>
    </dataValidation>
    <dataValidation sqref="C4:C45" showDropDown="0" showInputMessage="0" showErrorMessage="0" allowBlank="0" type="list">
      <formula1>=RULES!$A$2:$A$50</formula1>
    </dataValidation>
    <dataValidation sqref="F4:F45" showDropDown="0" showInputMessage="0" showErrorMessage="0" allowBlank="0" type="list">
      <formula1>"NORMAL,MANUAL,DISABLED,FLAT,STEP"</formula1>
    </dataValidation>
    <dataValidation sqref="N4:N45" showDropDown="0" showInputMessage="0" showErrorMessage="0" allowBlank="0" type="list">
      <formula1>"NORMAL,MANUAL,DISABLED,FLAT,STEP"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46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1" customWidth="1" min="12" max="12"/>
    <col width="11" customWidth="1" min="13" max="13"/>
    <col width="10" customWidth="1" min="14" max="14"/>
    <col width="8" customWidth="1" min="15" max="15"/>
    <col width="8" customWidth="1" min="16" max="16"/>
    <col width="8" customWidth="1" min="17" max="17"/>
    <col width="10" customWidth="1" min="18" max="18"/>
    <col width="10" customWidth="1" min="19" max="19"/>
    <col width="11" customWidth="1" min="20" max="20"/>
    <col width="11" customWidth="1" min="21" max="21"/>
    <col width="9" customWidth="1" min="22" max="22"/>
    <col width="9" customWidth="1" min="23" max="23"/>
    <col width="11" customWidth="1" min="24" max="24"/>
    <col width="16" customWidth="1" min="25" max="25"/>
    <col width="22" customWidth="1" min="26" max="26"/>
    <col hidden="1" width="0.5" customWidth="1" min="27" max="27"/>
    <col hidden="1" width="0.5" customWidth="1" min="28" max="28"/>
    <col hidden="1" width="0.5" customWidth="1" min="29" max="29"/>
    <col hidden="1" width="0.5" customWidth="1" min="30" max="30"/>
    <col hidden="1" width="0.5" customWidth="1" min="31" max="31"/>
    <col hidden="1" width="0.5" customWidth="1" min="32" max="32"/>
    <col hidden="1" width="0.5" customWidth="1" min="33" max="33"/>
    <col hidden="1" width="0.5" customWidth="1" min="34" max="34"/>
    <col hidden="1" width="0.5" customWidth="1" min="35" max="35"/>
    <col hidden="1" width="0.5" customWidth="1" min="36" max="36"/>
    <col hidden="1" width="0.5" customWidth="1" min="37" max="37"/>
    <col hidden="1" width="0.5" customWidth="1" min="38" max="38"/>
    <col hidden="1" width="0.5" customWidth="1" min="39" max="39"/>
    <col hidden="1" width="0.5" customWidth="1" min="40" max="40"/>
    <col hidden="1" width="0.5" customWidth="1" min="41" max="41"/>
    <col hidden="1" width="0.5" customWidth="1" min="42" max="42"/>
    <col hidden="1" width="0.5" customWidth="1" min="43" max="43"/>
    <col hidden="1" width="0.5" customWidth="1" min="44" max="44"/>
    <col hidden="1" width="0.5" customWidth="1" min="45" max="45"/>
    <col hidden="1" width="0.5" customWidth="1" min="46" max="46"/>
    <col hidden="1" width="0.5" customWidth="1" min="47" max="47"/>
    <col hidden="1" width="0.5" customWidth="1" min="48" max="48"/>
    <col hidden="1" width="0.5" customWidth="1" min="49" max="49"/>
    <col hidden="1" width="0.5" customWidth="1" min="50" max="50"/>
    <col hidden="1" width="0.5" customWidth="1" min="51" max="51"/>
    <col hidden="1" width="0.5" customWidth="1" min="52" max="52"/>
    <col hidden="1" width="0.5" customWidth="1" min="53" max="53"/>
  </cols>
  <sheetData>
    <row r="1" ht="28" customHeight="1">
      <c r="A1" s="1" t="inlineStr">
        <is>
          <t>ข้อมูลบิล ชั้น 3</t>
        </is>
      </c>
    </row>
    <row r="2" ht="20" customHeight="1">
      <c r="A2" s="9" t="inlineStr">
        <is>
          <t>room</t>
        </is>
      </c>
      <c r="B2" s="9" t="inlineStr">
        <is>
          <t>account_id</t>
        </is>
      </c>
      <c r="C2" s="9" t="inlineStr">
        <is>
          <t>rule_code</t>
        </is>
      </c>
      <c r="D2" s="9" t="inlineStr">
        <is>
          <t>rent_amount</t>
        </is>
      </c>
      <c r="E2" s="9" t="inlineStr">
        <is>
          <t>room_status</t>
        </is>
      </c>
      <c r="F2" s="9" t="inlineStr">
        <is>
          <t>water_mode</t>
        </is>
      </c>
      <c r="G2" s="9" t="inlineStr">
        <is>
          <t>water_prev</t>
        </is>
      </c>
      <c r="H2" s="9" t="inlineStr">
        <is>
          <t>water_curr</t>
        </is>
      </c>
      <c r="I2" s="9" t="inlineStr">
        <is>
          <t>water_units</t>
        </is>
      </c>
      <c r="J2" s="9" t="inlineStr">
        <is>
          <t>water_units_manual</t>
        </is>
      </c>
      <c r="K2" s="9" t="inlineStr">
        <is>
          <t>water_charge</t>
        </is>
      </c>
      <c r="L2" s="9" t="inlineStr">
        <is>
          <t>water_fee</t>
        </is>
      </c>
      <c r="M2" s="9" t="inlineStr">
        <is>
          <t>water_fee_manual</t>
        </is>
      </c>
      <c r="N2" s="9" t="inlineStr">
        <is>
          <t>electric_mode</t>
        </is>
      </c>
      <c r="O2" s="9" t="inlineStr">
        <is>
          <t>electric_prev</t>
        </is>
      </c>
      <c r="P2" s="9" t="inlineStr">
        <is>
          <t>electric_curr</t>
        </is>
      </c>
      <c r="Q2" s="9" t="inlineStr">
        <is>
          <t>electric_units</t>
        </is>
      </c>
      <c r="R2" s="9" t="inlineStr">
        <is>
          <t>electric_units_manual</t>
        </is>
      </c>
      <c r="S2" s="9" t="inlineStr">
        <is>
          <t>electric_charge</t>
        </is>
      </c>
      <c r="T2" s="9" t="inlineStr">
        <is>
          <t>electric_fee</t>
        </is>
      </c>
      <c r="U2" s="9" t="inlineStr">
        <is>
          <t>electric_fee_manual</t>
        </is>
      </c>
      <c r="V2" s="9" t="inlineStr">
        <is>
          <t>furniture_fee</t>
        </is>
      </c>
      <c r="W2" s="9" t="inlineStr">
        <is>
          <t>other_fee</t>
        </is>
      </c>
      <c r="X2" s="9" t="inlineStr">
        <is>
          <t>total_due</t>
        </is>
      </c>
      <c r="Y2" s="9" t="inlineStr">
        <is>
          <t>note</t>
        </is>
      </c>
      <c r="Z2" s="9" t="inlineStr">
        <is>
          <t>check_notes</t>
        </is>
      </c>
      <c r="AA2" s="21" t="inlineStr">
        <is>
          <t>_helpers (hidden)</t>
        </is>
      </c>
    </row>
    <row r="3" ht="22" customHeight="1">
      <c r="A3" s="10" t="inlineStr">
        <is>
          <t>เลขห้อง</t>
        </is>
      </c>
      <c r="B3" s="10" t="inlineStr">
        <is>
          <t>บัญชีรับเงิน</t>
        </is>
      </c>
      <c r="C3" s="10" t="inlineStr">
        <is>
          <t>กฎ billing</t>
        </is>
      </c>
      <c r="D3" s="10" t="inlineStr">
        <is>
          <t>ค่าเช่า (กรอกเอง)</t>
        </is>
      </c>
      <c r="E3" s="10" t="inlineStr">
        <is>
          <t>สถานะ</t>
        </is>
      </c>
      <c r="F3" s="10" t="inlineStr">
        <is>
          <t>โหมดน้ำ</t>
        </is>
      </c>
      <c r="G3" s="10" t="inlineStr">
        <is>
          <t>น้ำก่อน</t>
        </is>
      </c>
      <c r="H3" s="10" t="inlineStr">
        <is>
          <t>น้ำหลัง</t>
        </is>
      </c>
      <c r="I3" s="10" t="inlineStr">
        <is>
          <t>ใช้น้ำ</t>
        </is>
      </c>
      <c r="J3" s="10" t="inlineStr">
        <is>
          <t>units น้ำ(manual)</t>
        </is>
      </c>
      <c r="K3" s="10" t="inlineStr">
        <is>
          <t>ค่าน้ำ</t>
        </is>
      </c>
      <c r="L3" s="10" t="inlineStr">
        <is>
          <t>ค่าบริการน้ำ</t>
        </is>
      </c>
      <c r="M3" s="10" t="inlineStr">
        <is>
          <t>ค่าบริการน้ำ(M)</t>
        </is>
      </c>
      <c r="N3" s="10" t="inlineStr">
        <is>
          <t>โหมดไฟ</t>
        </is>
      </c>
      <c r="O3" s="10" t="inlineStr">
        <is>
          <t>ไฟก่อน</t>
        </is>
      </c>
      <c r="P3" s="10" t="inlineStr">
        <is>
          <t>ไฟหลัง</t>
        </is>
      </c>
      <c r="Q3" s="10" t="inlineStr">
        <is>
          <t>ใช้ไฟ</t>
        </is>
      </c>
      <c r="R3" s="10" t="inlineStr">
        <is>
          <t>units ไฟ(manual)</t>
        </is>
      </c>
      <c r="S3" s="10" t="inlineStr">
        <is>
          <t>ค่าไฟ</t>
        </is>
      </c>
      <c r="T3" s="10" t="inlineStr">
        <is>
          <t>ค่าบริการไฟ</t>
        </is>
      </c>
      <c r="U3" s="10" t="inlineStr">
        <is>
          <t>ค่าบริการไฟ(M)</t>
        </is>
      </c>
      <c r="V3" s="10" t="inlineStr">
        <is>
          <t>ค่าเฟอร์</t>
        </is>
      </c>
      <c r="W3" s="10" t="inlineStr">
        <is>
          <t>อื่นๆ</t>
        </is>
      </c>
      <c r="X3" s="10" t="inlineStr">
        <is>
          <t>รวมเงิน</t>
        </is>
      </c>
      <c r="Y3" s="10" t="inlineStr">
        <is>
          <t>หมายเหตุ</t>
        </is>
      </c>
      <c r="Z3" s="10" t="inlineStr">
        <is>
          <t>ตรวจสอบ</t>
        </is>
      </c>
    </row>
    <row r="4" ht="17" customHeight="1">
      <c r="A4" s="22" t="inlineStr">
        <is>
          <t>3301</t>
        </is>
      </c>
      <c r="B4" s="48" t="inlineStr">
        <is>
          <t>ACC003</t>
        </is>
      </c>
      <c r="C4" s="48" t="inlineStr">
        <is>
          <t>DEFAULT</t>
        </is>
      </c>
      <c r="D4" s="47" t="n"/>
      <c r="E4" s="22">
        <f>IF(OR(D4="",D4=0),"INACTIVE","ACTIVE")</f>
        <v/>
      </c>
      <c r="F4" s="48" t="inlineStr">
        <is>
          <t>NORMAL</t>
        </is>
      </c>
      <c r="G4" s="25" t="n"/>
      <c r="H4" s="25" t="n"/>
      <c r="I4" s="26">
        <f>IF(OR(E4="INACTIVE",H4=""),0,MAX(0,H4-G4))</f>
        <v/>
      </c>
      <c r="J4" s="23" t="n"/>
      <c r="K4" s="26">
        <f>IF(OR(E4="INACTIVE",H4=""),0,IF(AB4="DISABLED",0,IF(AB4="FLAT",AE4,IF(AB4="MANUAL",IF(J4="",0,J4*AC4),IF(AB4="STEP",IF(I4&lt;=AF4,I4*AG4,IF(I4&lt;=AH4,AF4*AG4+(I4-AF4)*AI4,AF4*AG4+(AH4-AF4)*AI4+(I4-AH4)*AK4)),MAX(I4*AC4,AD4))))))</f>
        <v/>
      </c>
      <c r="L4" s="26">
        <f>IF(OR(E4="INACTIVE",H4=""),0,IF(AL4="NONE",0,IF(AL4="FLAT",AM4,IF(AL4="PER_UNIT",I4*AN4,IF(AL4="MANUAL",IF(M4="",0,M4),0)))))</f>
        <v/>
      </c>
      <c r="M4" s="23" t="n"/>
      <c r="N4" s="48" t="inlineStr">
        <is>
          <t>NORMAL</t>
        </is>
      </c>
      <c r="O4" s="25" t="n"/>
      <c r="P4" s="25" t="n"/>
      <c r="Q4" s="26">
        <f>IF(OR(E4="INACTIVE",P4=""),0,MAX(0,P4-O4))</f>
        <v/>
      </c>
      <c r="R4" s="23" t="n"/>
      <c r="S4" s="26">
        <f>IF(OR(E4="INACTIVE",P4=""),0,IF(AO4="DISABLED",0,IF(AO4="FLAT",AR4,IF(AO4="MANUAL",IF(R4="",0,R4*AP4),IF(AO4="STEP",IF(Q4&lt;=AS4,Q4*AT4,IF(Q4&lt;=AU4,AS4*AT4+(Q4-AS4)*AV4,AS4*AT4+(AU4-AS4)*AV4+(Q4-AU4)*AX4)),MAX(Q4*AP4,AQ4))))))</f>
        <v/>
      </c>
      <c r="T4" s="26">
        <f>IF(OR(E4="INACTIVE",P4=""),0,IF(AY4="NONE",0,IF(AY4="FLAT",AZ4,IF(AY4="PER_UNIT",Q4*BA4,IF(AY4="MANUAL",IF(U4="",0,U4),0)))))</f>
        <v/>
      </c>
      <c r="U4" s="23" t="n"/>
      <c r="V4" s="25" t="n"/>
      <c r="W4" s="25" t="n"/>
      <c r="X4" s="26">
        <f>IF(E4="INACTIVE",0,D4+K4+L4+S4+T4+IF(V4="",0,V4)+IF(W4="",0,W4))</f>
        <v/>
      </c>
      <c r="Y4" s="27" t="n"/>
      <c r="Z4" s="28">
        <f>IF(E4="INACTIVE","_",IF(AND(G4&gt;0,H4&gt;0,H4&lt;G4),"[!]น้ำ reset ","")&amp;IF(AND(O4&gt;0,P4&gt;0,P4&lt;O4),"[!]ไฟ reset ","")&amp;IF(AND(F4="MANUAL",J4=""),"[X]units น้ำ ","")&amp;IF(AND(N4="MANUAL",R4=""),"[X]units ไฟ ","")&amp;IF(D4=0,"[!]ค่าเช่า=0",""))</f>
        <v/>
      </c>
      <c r="AA4" s="29">
        <f>IF(C4&lt;&gt;"",C4,CONFIG!$B$6)</f>
        <v/>
      </c>
      <c r="AB4" s="29">
        <f>IF(F4&lt;&gt;"",F4,IFERROR(VLOOKUP(AA4,RULES!$A:$C,3,0),CONFIG!$B$7))</f>
        <v/>
      </c>
      <c r="AC4" s="29">
        <f>IF(IFERROR(VLOOKUP(AA4,RULES!$A:$D,4,0),"")="",CONFIG!$B$10,VLOOKUP(AA4,RULES!$A:$D,4,0))</f>
        <v/>
      </c>
      <c r="AD4" s="29">
        <f>IF(IFERROR(VLOOKUP(AA4,RULES!$A:$E,5,0),"")="",CONFIG!$B$11,VLOOKUP(AA4,RULES!$A:$E,5,0))</f>
        <v/>
      </c>
      <c r="AE4" s="29">
        <f>IFERROR(VLOOKUP(AA4,RULES!$A:$F,6,0)*1,0)</f>
        <v/>
      </c>
      <c r="AF4" s="29">
        <f>IFERROR(VLOOKUP(AA4,RULES!$A:$G,7,0)*1,0)</f>
        <v/>
      </c>
      <c r="AG4" s="29">
        <f>IFERROR(VLOOKUP(AA4,RULES!$A:$H,8,0)*1,0)</f>
        <v/>
      </c>
      <c r="AH4" s="29">
        <f>IFERROR(VLOOKUP(AA4,RULES!$A:$I,9,0)*1,0)</f>
        <v/>
      </c>
      <c r="AI4" s="29">
        <f>IFERROR(VLOOKUP(AA4,RULES!$A:$J,10,0)*1,0)</f>
        <v/>
      </c>
      <c r="AJ4" s="29">
        <f>IFERROR(IF(VLOOKUP(AA4,RULES!$A:$K,11,0)="",999999,VLOOKUP(AA4,RULES!$A:$K,11,0)*1),999999)</f>
        <v/>
      </c>
      <c r="AK4" s="29">
        <f>IFERROR(VLOOKUP(AA4,RULES!$A:$L,12,0)*1,0)</f>
        <v/>
      </c>
      <c r="AL4" s="29">
        <f>IFERROR(VLOOKUP(AA4,RULES!$A:$M,13,0),"NONE")</f>
        <v/>
      </c>
      <c r="AM4" s="29">
        <f>IFERROR(VLOOKUP(AA4,RULES!$A:$N,14,0)*1,0)</f>
        <v/>
      </c>
      <c r="AN4" s="29">
        <f>IFERROR(VLOOKUP(AA4,RULES!$A:$O,15,0)*1,0)</f>
        <v/>
      </c>
      <c r="AO4" s="29">
        <f>IF(N4&lt;&gt;"",N4,IFERROR(VLOOKUP(AA4,RULES!$A:$P,16,0),CONFIG!$B$8))</f>
        <v/>
      </c>
      <c r="AP4" s="29">
        <f>IF(IFERROR(VLOOKUP(AA4,RULES!$A:$Q,17,0),"")="",CONFIG!$B$13,VLOOKUP(AA4,RULES!$A:$Q,17,0))</f>
        <v/>
      </c>
      <c r="AQ4" s="29">
        <f>IF(IFERROR(VLOOKUP(AA4,RULES!$A:$R,18,0),"")="",CONFIG!$B$14,VLOOKUP(AA4,RULES!$A:$R,18,0))</f>
        <v/>
      </c>
      <c r="AR4" s="29">
        <f>IFERROR(VLOOKUP(AA4,RULES!$A:$S,19,0)*1,0)</f>
        <v/>
      </c>
      <c r="AS4" s="29">
        <f>IFERROR(VLOOKUP(AA4,RULES!$A:$T,20,0)*1,0)</f>
        <v/>
      </c>
      <c r="AT4" s="29">
        <f>IFERROR(VLOOKUP(AA4,RULES!$A:$U,21,0)*1,0)</f>
        <v/>
      </c>
      <c r="AU4" s="29">
        <f>IFERROR(VLOOKUP(AA4,RULES!$A:$V,22,0)*1,0)</f>
        <v/>
      </c>
      <c r="AV4" s="29">
        <f>IFERROR(VLOOKUP(AA4,RULES!$A:$W,23,0)*1,0)</f>
        <v/>
      </c>
      <c r="AW4" s="29">
        <f>IFERROR(IF(VLOOKUP(AA4,RULES!$A:$X,24,0)="",999999,VLOOKUP(AA4,RULES!$A:$X,24,0)*1),999999)</f>
        <v/>
      </c>
      <c r="AX4" s="29">
        <f>IFERROR(VLOOKUP(AA4,RULES!$A:$Y,25,0)*1,0)</f>
        <v/>
      </c>
      <c r="AY4" s="29">
        <f>IFERROR(VLOOKUP(AA4,RULES!$A:$Z,26,0),"NONE")</f>
        <v/>
      </c>
      <c r="AZ4" s="29">
        <f>IFERROR(VLOOKUP(AA4,RULES!$A:$AA,27,0)*1,0)</f>
        <v/>
      </c>
      <c r="BA4" s="29">
        <f>IFERROR(VLOOKUP(AA4,RULES!$A:$AB,28,0)*1,0)</f>
        <v/>
      </c>
    </row>
    <row r="5" ht="17" customHeight="1">
      <c r="A5" s="22" t="inlineStr">
        <is>
          <t>3302</t>
        </is>
      </c>
      <c r="B5" s="48" t="inlineStr">
        <is>
          <t>ACC003</t>
        </is>
      </c>
      <c r="C5" s="48" t="inlineStr">
        <is>
          <t>DEFAULT</t>
        </is>
      </c>
      <c r="D5" s="47" t="n"/>
      <c r="E5" s="22">
        <f>IF(OR(D5="",D5=0),"INACTIVE","ACTIVE")</f>
        <v/>
      </c>
      <c r="F5" s="48" t="inlineStr">
        <is>
          <t>NORMAL</t>
        </is>
      </c>
      <c r="G5" s="25" t="n"/>
      <c r="H5" s="25" t="n"/>
      <c r="I5" s="26">
        <f>IF(OR(E5="INACTIVE",H5=""),0,MAX(0,H5-G5))</f>
        <v/>
      </c>
      <c r="J5" s="23" t="n"/>
      <c r="K5" s="26">
        <f>IF(OR(E5="INACTIVE",H5=""),0,IF(AB5="DISABLED",0,IF(AB5="FLAT",AE5,IF(AB5="MANUAL",IF(J5="",0,J5*AC5),IF(AB5="STEP",IF(I5&lt;=AF5,I5*AG5,IF(I5&lt;=AH5,AF5*AG5+(I5-AF5)*AI5,AF5*AG5+(AH5-AF5)*AI5+(I5-AH5)*AK5)),MAX(I5*AC5,AD5))))))</f>
        <v/>
      </c>
      <c r="L5" s="26">
        <f>IF(OR(E5="INACTIVE",H5=""),0,IF(AL5="NONE",0,IF(AL5="FLAT",AM5,IF(AL5="PER_UNIT",I5*AN5,IF(AL5="MANUAL",IF(M5="",0,M5),0)))))</f>
        <v/>
      </c>
      <c r="M5" s="23" t="n"/>
      <c r="N5" s="48" t="inlineStr">
        <is>
          <t>NORMAL</t>
        </is>
      </c>
      <c r="O5" s="25" t="n"/>
      <c r="P5" s="25" t="n"/>
      <c r="Q5" s="26">
        <f>IF(OR(E5="INACTIVE",P5=""),0,MAX(0,P5-O5))</f>
        <v/>
      </c>
      <c r="R5" s="23" t="n"/>
      <c r="S5" s="26">
        <f>IF(OR(E5="INACTIVE",P5=""),0,IF(AO5="DISABLED",0,IF(AO5="FLAT",AR5,IF(AO5="MANUAL",IF(R5="",0,R5*AP5),IF(AO5="STEP",IF(Q5&lt;=AS5,Q5*AT5,IF(Q5&lt;=AU5,AS5*AT5+(Q5-AS5)*AV5,AS5*AT5+(AU5-AS5)*AV5+(Q5-AU5)*AX5)),MAX(Q5*AP5,AQ5))))))</f>
        <v/>
      </c>
      <c r="T5" s="26">
        <f>IF(OR(E5="INACTIVE",P5=""),0,IF(AY5="NONE",0,IF(AY5="FLAT",AZ5,IF(AY5="PER_UNIT",Q5*BA5,IF(AY5="MANUAL",IF(U5="",0,U5),0)))))</f>
        <v/>
      </c>
      <c r="U5" s="23" t="n"/>
      <c r="V5" s="25" t="n"/>
      <c r="W5" s="25" t="n"/>
      <c r="X5" s="26">
        <f>IF(E5="INACTIVE",0,D5+K5+L5+S5+T5+IF(V5="",0,V5)+IF(W5="",0,W5))</f>
        <v/>
      </c>
      <c r="Y5" s="27" t="n"/>
      <c r="Z5" s="28">
        <f>IF(E5="INACTIVE","_",IF(AND(G5&gt;0,H5&gt;0,H5&lt;G5),"[!]น้ำ reset ","")&amp;IF(AND(O5&gt;0,P5&gt;0,P5&lt;O5),"[!]ไฟ reset ","")&amp;IF(AND(F5="MANUAL",J5=""),"[X]units น้ำ ","")&amp;IF(AND(N5="MANUAL",R5=""),"[X]units ไฟ ","")&amp;IF(D5=0,"[!]ค่าเช่า=0",""))</f>
        <v/>
      </c>
      <c r="AA5" s="29">
        <f>IF(C5&lt;&gt;"",C5,CONFIG!$B$6)</f>
        <v/>
      </c>
      <c r="AB5" s="29">
        <f>IF(F5&lt;&gt;"",F5,IFERROR(VLOOKUP(AA5,RULES!$A:$C,3,0),CONFIG!$B$7))</f>
        <v/>
      </c>
      <c r="AC5" s="29">
        <f>IF(IFERROR(VLOOKUP(AA5,RULES!$A:$D,4,0),"")="",CONFIG!$B$10,VLOOKUP(AA5,RULES!$A:$D,4,0))</f>
        <v/>
      </c>
      <c r="AD5" s="29">
        <f>IF(IFERROR(VLOOKUP(AA5,RULES!$A:$E,5,0),"")="",CONFIG!$B$11,VLOOKUP(AA5,RULES!$A:$E,5,0))</f>
        <v/>
      </c>
      <c r="AE5" s="29">
        <f>IFERROR(VLOOKUP(AA5,RULES!$A:$F,6,0)*1,0)</f>
        <v/>
      </c>
      <c r="AF5" s="29">
        <f>IFERROR(VLOOKUP(AA5,RULES!$A:$G,7,0)*1,0)</f>
        <v/>
      </c>
      <c r="AG5" s="29">
        <f>IFERROR(VLOOKUP(AA5,RULES!$A:$H,8,0)*1,0)</f>
        <v/>
      </c>
      <c r="AH5" s="29">
        <f>IFERROR(VLOOKUP(AA5,RULES!$A:$I,9,0)*1,0)</f>
        <v/>
      </c>
      <c r="AI5" s="29">
        <f>IFERROR(VLOOKUP(AA5,RULES!$A:$J,10,0)*1,0)</f>
        <v/>
      </c>
      <c r="AJ5" s="29">
        <f>IFERROR(IF(VLOOKUP(AA5,RULES!$A:$K,11,0)="",999999,VLOOKUP(AA5,RULES!$A:$K,11,0)*1),999999)</f>
        <v/>
      </c>
      <c r="AK5" s="29">
        <f>IFERROR(VLOOKUP(AA5,RULES!$A:$L,12,0)*1,0)</f>
        <v/>
      </c>
      <c r="AL5" s="29">
        <f>IFERROR(VLOOKUP(AA5,RULES!$A:$M,13,0),"NONE")</f>
        <v/>
      </c>
      <c r="AM5" s="29">
        <f>IFERROR(VLOOKUP(AA5,RULES!$A:$N,14,0)*1,0)</f>
        <v/>
      </c>
      <c r="AN5" s="29">
        <f>IFERROR(VLOOKUP(AA5,RULES!$A:$O,15,0)*1,0)</f>
        <v/>
      </c>
      <c r="AO5" s="29">
        <f>IF(N5&lt;&gt;"",N5,IFERROR(VLOOKUP(AA5,RULES!$A:$P,16,0),CONFIG!$B$8))</f>
        <v/>
      </c>
      <c r="AP5" s="29">
        <f>IF(IFERROR(VLOOKUP(AA5,RULES!$A:$Q,17,0),"")="",CONFIG!$B$13,VLOOKUP(AA5,RULES!$A:$Q,17,0))</f>
        <v/>
      </c>
      <c r="AQ5" s="29">
        <f>IF(IFERROR(VLOOKUP(AA5,RULES!$A:$R,18,0),"")="",CONFIG!$B$14,VLOOKUP(AA5,RULES!$A:$R,18,0))</f>
        <v/>
      </c>
      <c r="AR5" s="29">
        <f>IFERROR(VLOOKUP(AA5,RULES!$A:$S,19,0)*1,0)</f>
        <v/>
      </c>
      <c r="AS5" s="29">
        <f>IFERROR(VLOOKUP(AA5,RULES!$A:$T,20,0)*1,0)</f>
        <v/>
      </c>
      <c r="AT5" s="29">
        <f>IFERROR(VLOOKUP(AA5,RULES!$A:$U,21,0)*1,0)</f>
        <v/>
      </c>
      <c r="AU5" s="29">
        <f>IFERROR(VLOOKUP(AA5,RULES!$A:$V,22,0)*1,0)</f>
        <v/>
      </c>
      <c r="AV5" s="29">
        <f>IFERROR(VLOOKUP(AA5,RULES!$A:$W,23,0)*1,0)</f>
        <v/>
      </c>
      <c r="AW5" s="29">
        <f>IFERROR(IF(VLOOKUP(AA5,RULES!$A:$X,24,0)="",999999,VLOOKUP(AA5,RULES!$A:$X,24,0)*1),999999)</f>
        <v/>
      </c>
      <c r="AX5" s="29">
        <f>IFERROR(VLOOKUP(AA5,RULES!$A:$Y,25,0)*1,0)</f>
        <v/>
      </c>
      <c r="AY5" s="29">
        <f>IFERROR(VLOOKUP(AA5,RULES!$A:$Z,26,0),"NONE")</f>
        <v/>
      </c>
      <c r="AZ5" s="29">
        <f>IFERROR(VLOOKUP(AA5,RULES!$A:$AA,27,0)*1,0)</f>
        <v/>
      </c>
      <c r="BA5" s="29">
        <f>IFERROR(VLOOKUP(AA5,RULES!$A:$AB,28,0)*1,0)</f>
        <v/>
      </c>
    </row>
    <row r="6" ht="17" customHeight="1">
      <c r="A6" s="22" t="inlineStr">
        <is>
          <t>3303</t>
        </is>
      </c>
      <c r="B6" s="48" t="inlineStr">
        <is>
          <t>ACC003</t>
        </is>
      </c>
      <c r="C6" s="48" t="inlineStr">
        <is>
          <t>DEFAULT</t>
        </is>
      </c>
      <c r="D6" s="47" t="n"/>
      <c r="E6" s="22">
        <f>IF(OR(D6="",D6=0),"INACTIVE","ACTIVE")</f>
        <v/>
      </c>
      <c r="F6" s="48" t="inlineStr">
        <is>
          <t>NORMAL</t>
        </is>
      </c>
      <c r="G6" s="25" t="n"/>
      <c r="H6" s="25" t="n"/>
      <c r="I6" s="26">
        <f>IF(OR(E6="INACTIVE",H6=""),0,MAX(0,H6-G6))</f>
        <v/>
      </c>
      <c r="J6" s="23" t="n"/>
      <c r="K6" s="26">
        <f>IF(OR(E6="INACTIVE",H6=""),0,IF(AB6="DISABLED",0,IF(AB6="FLAT",AE6,IF(AB6="MANUAL",IF(J6="",0,J6*AC6),IF(AB6="STEP",IF(I6&lt;=AF6,I6*AG6,IF(I6&lt;=AH6,AF6*AG6+(I6-AF6)*AI6,AF6*AG6+(AH6-AF6)*AI6+(I6-AH6)*AK6)),MAX(I6*AC6,AD6))))))</f>
        <v/>
      </c>
      <c r="L6" s="26">
        <f>IF(OR(E6="INACTIVE",H6=""),0,IF(AL6="NONE",0,IF(AL6="FLAT",AM6,IF(AL6="PER_UNIT",I6*AN6,IF(AL6="MANUAL",IF(M6="",0,M6),0)))))</f>
        <v/>
      </c>
      <c r="M6" s="23" t="n"/>
      <c r="N6" s="48" t="inlineStr">
        <is>
          <t>NORMAL</t>
        </is>
      </c>
      <c r="O6" s="25" t="n"/>
      <c r="P6" s="25" t="n"/>
      <c r="Q6" s="26">
        <f>IF(OR(E6="INACTIVE",P6=""),0,MAX(0,P6-O6))</f>
        <v/>
      </c>
      <c r="R6" s="23" t="n"/>
      <c r="S6" s="26">
        <f>IF(OR(E6="INACTIVE",P6=""),0,IF(AO6="DISABLED",0,IF(AO6="FLAT",AR6,IF(AO6="MANUAL",IF(R6="",0,R6*AP6),IF(AO6="STEP",IF(Q6&lt;=AS6,Q6*AT6,IF(Q6&lt;=AU6,AS6*AT6+(Q6-AS6)*AV6,AS6*AT6+(AU6-AS6)*AV6+(Q6-AU6)*AX6)),MAX(Q6*AP6,AQ6))))))</f>
        <v/>
      </c>
      <c r="T6" s="26">
        <f>IF(OR(E6="INACTIVE",P6=""),0,IF(AY6="NONE",0,IF(AY6="FLAT",AZ6,IF(AY6="PER_UNIT",Q6*BA6,IF(AY6="MANUAL",IF(U6="",0,U6),0)))))</f>
        <v/>
      </c>
      <c r="U6" s="23" t="n"/>
      <c r="V6" s="25" t="n"/>
      <c r="W6" s="25" t="n"/>
      <c r="X6" s="26">
        <f>IF(E6="INACTIVE",0,D6+K6+L6+S6+T6+IF(V6="",0,V6)+IF(W6="",0,W6))</f>
        <v/>
      </c>
      <c r="Y6" s="27" t="n"/>
      <c r="Z6" s="28">
        <f>IF(E6="INACTIVE","_",IF(AND(G6&gt;0,H6&gt;0,H6&lt;G6),"[!]น้ำ reset ","")&amp;IF(AND(O6&gt;0,P6&gt;0,P6&lt;O6),"[!]ไฟ reset ","")&amp;IF(AND(F6="MANUAL",J6=""),"[X]units น้ำ ","")&amp;IF(AND(N6="MANUAL",R6=""),"[X]units ไฟ ","")&amp;IF(D6=0,"[!]ค่าเช่า=0",""))</f>
        <v/>
      </c>
      <c r="AA6" s="29">
        <f>IF(C6&lt;&gt;"",C6,CONFIG!$B$6)</f>
        <v/>
      </c>
      <c r="AB6" s="29">
        <f>IF(F6&lt;&gt;"",F6,IFERROR(VLOOKUP(AA6,RULES!$A:$C,3,0),CONFIG!$B$7))</f>
        <v/>
      </c>
      <c r="AC6" s="29">
        <f>IF(IFERROR(VLOOKUP(AA6,RULES!$A:$D,4,0),"")="",CONFIG!$B$10,VLOOKUP(AA6,RULES!$A:$D,4,0))</f>
        <v/>
      </c>
      <c r="AD6" s="29">
        <f>IF(IFERROR(VLOOKUP(AA6,RULES!$A:$E,5,0),"")="",CONFIG!$B$11,VLOOKUP(AA6,RULES!$A:$E,5,0))</f>
        <v/>
      </c>
      <c r="AE6" s="29">
        <f>IFERROR(VLOOKUP(AA6,RULES!$A:$F,6,0)*1,0)</f>
        <v/>
      </c>
      <c r="AF6" s="29">
        <f>IFERROR(VLOOKUP(AA6,RULES!$A:$G,7,0)*1,0)</f>
        <v/>
      </c>
      <c r="AG6" s="29">
        <f>IFERROR(VLOOKUP(AA6,RULES!$A:$H,8,0)*1,0)</f>
        <v/>
      </c>
      <c r="AH6" s="29">
        <f>IFERROR(VLOOKUP(AA6,RULES!$A:$I,9,0)*1,0)</f>
        <v/>
      </c>
      <c r="AI6" s="29">
        <f>IFERROR(VLOOKUP(AA6,RULES!$A:$J,10,0)*1,0)</f>
        <v/>
      </c>
      <c r="AJ6" s="29">
        <f>IFERROR(IF(VLOOKUP(AA6,RULES!$A:$K,11,0)="",999999,VLOOKUP(AA6,RULES!$A:$K,11,0)*1),999999)</f>
        <v/>
      </c>
      <c r="AK6" s="29">
        <f>IFERROR(VLOOKUP(AA6,RULES!$A:$L,12,0)*1,0)</f>
        <v/>
      </c>
      <c r="AL6" s="29">
        <f>IFERROR(VLOOKUP(AA6,RULES!$A:$M,13,0),"NONE")</f>
        <v/>
      </c>
      <c r="AM6" s="29">
        <f>IFERROR(VLOOKUP(AA6,RULES!$A:$N,14,0)*1,0)</f>
        <v/>
      </c>
      <c r="AN6" s="29">
        <f>IFERROR(VLOOKUP(AA6,RULES!$A:$O,15,0)*1,0)</f>
        <v/>
      </c>
      <c r="AO6" s="29">
        <f>IF(N6&lt;&gt;"",N6,IFERROR(VLOOKUP(AA6,RULES!$A:$P,16,0),CONFIG!$B$8))</f>
        <v/>
      </c>
      <c r="AP6" s="29">
        <f>IF(IFERROR(VLOOKUP(AA6,RULES!$A:$Q,17,0),"")="",CONFIG!$B$13,VLOOKUP(AA6,RULES!$A:$Q,17,0))</f>
        <v/>
      </c>
      <c r="AQ6" s="29">
        <f>IF(IFERROR(VLOOKUP(AA6,RULES!$A:$R,18,0),"")="",CONFIG!$B$14,VLOOKUP(AA6,RULES!$A:$R,18,0))</f>
        <v/>
      </c>
      <c r="AR6" s="29">
        <f>IFERROR(VLOOKUP(AA6,RULES!$A:$S,19,0)*1,0)</f>
        <v/>
      </c>
      <c r="AS6" s="29">
        <f>IFERROR(VLOOKUP(AA6,RULES!$A:$T,20,0)*1,0)</f>
        <v/>
      </c>
      <c r="AT6" s="29">
        <f>IFERROR(VLOOKUP(AA6,RULES!$A:$U,21,0)*1,0)</f>
        <v/>
      </c>
      <c r="AU6" s="29">
        <f>IFERROR(VLOOKUP(AA6,RULES!$A:$V,22,0)*1,0)</f>
        <v/>
      </c>
      <c r="AV6" s="29">
        <f>IFERROR(VLOOKUP(AA6,RULES!$A:$W,23,0)*1,0)</f>
        <v/>
      </c>
      <c r="AW6" s="29">
        <f>IFERROR(IF(VLOOKUP(AA6,RULES!$A:$X,24,0)="",999999,VLOOKUP(AA6,RULES!$A:$X,24,0)*1),999999)</f>
        <v/>
      </c>
      <c r="AX6" s="29">
        <f>IFERROR(VLOOKUP(AA6,RULES!$A:$Y,25,0)*1,0)</f>
        <v/>
      </c>
      <c r="AY6" s="29">
        <f>IFERROR(VLOOKUP(AA6,RULES!$A:$Z,26,0),"NONE")</f>
        <v/>
      </c>
      <c r="AZ6" s="29">
        <f>IFERROR(VLOOKUP(AA6,RULES!$A:$AA,27,0)*1,0)</f>
        <v/>
      </c>
      <c r="BA6" s="29">
        <f>IFERROR(VLOOKUP(AA6,RULES!$A:$AB,28,0)*1,0)</f>
        <v/>
      </c>
    </row>
    <row r="7" ht="17" customHeight="1">
      <c r="A7" s="22" t="inlineStr">
        <is>
          <t>3304</t>
        </is>
      </c>
      <c r="B7" s="48" t="inlineStr">
        <is>
          <t>ACC003</t>
        </is>
      </c>
      <c r="C7" s="48" t="inlineStr">
        <is>
          <t>DEFAULT</t>
        </is>
      </c>
      <c r="D7" s="47" t="n"/>
      <c r="E7" s="22">
        <f>IF(OR(D7="",D7=0),"INACTIVE","ACTIVE")</f>
        <v/>
      </c>
      <c r="F7" s="48" t="inlineStr">
        <is>
          <t>NORMAL</t>
        </is>
      </c>
      <c r="G7" s="25" t="n"/>
      <c r="H7" s="25" t="n"/>
      <c r="I7" s="26">
        <f>IF(OR(E7="INACTIVE",H7=""),0,MAX(0,H7-G7))</f>
        <v/>
      </c>
      <c r="J7" s="23" t="n"/>
      <c r="K7" s="26">
        <f>IF(OR(E7="INACTIVE",H7=""),0,IF(AB7="DISABLED",0,IF(AB7="FLAT",AE7,IF(AB7="MANUAL",IF(J7="",0,J7*AC7),IF(AB7="STEP",IF(I7&lt;=AF7,I7*AG7,IF(I7&lt;=AH7,AF7*AG7+(I7-AF7)*AI7,AF7*AG7+(AH7-AF7)*AI7+(I7-AH7)*AK7)),MAX(I7*AC7,AD7))))))</f>
        <v/>
      </c>
      <c r="L7" s="26">
        <f>IF(OR(E7="INACTIVE",H7=""),0,IF(AL7="NONE",0,IF(AL7="FLAT",AM7,IF(AL7="PER_UNIT",I7*AN7,IF(AL7="MANUAL",IF(M7="",0,M7),0)))))</f>
        <v/>
      </c>
      <c r="M7" s="23" t="n"/>
      <c r="N7" s="48" t="inlineStr">
        <is>
          <t>NORMAL</t>
        </is>
      </c>
      <c r="O7" s="25" t="n"/>
      <c r="P7" s="25" t="n"/>
      <c r="Q7" s="26">
        <f>IF(OR(E7="INACTIVE",P7=""),0,MAX(0,P7-O7))</f>
        <v/>
      </c>
      <c r="R7" s="23" t="n"/>
      <c r="S7" s="26">
        <f>IF(OR(E7="INACTIVE",P7=""),0,IF(AO7="DISABLED",0,IF(AO7="FLAT",AR7,IF(AO7="MANUAL",IF(R7="",0,R7*AP7),IF(AO7="STEP",IF(Q7&lt;=AS7,Q7*AT7,IF(Q7&lt;=AU7,AS7*AT7+(Q7-AS7)*AV7,AS7*AT7+(AU7-AS7)*AV7+(Q7-AU7)*AX7)),MAX(Q7*AP7,AQ7))))))</f>
        <v/>
      </c>
      <c r="T7" s="26">
        <f>IF(OR(E7="INACTIVE",P7=""),0,IF(AY7="NONE",0,IF(AY7="FLAT",AZ7,IF(AY7="PER_UNIT",Q7*BA7,IF(AY7="MANUAL",IF(U7="",0,U7),0)))))</f>
        <v/>
      </c>
      <c r="U7" s="23" t="n"/>
      <c r="V7" s="25" t="n"/>
      <c r="W7" s="25" t="n"/>
      <c r="X7" s="26">
        <f>IF(E7="INACTIVE",0,D7+K7+L7+S7+T7+IF(V7="",0,V7)+IF(W7="",0,W7))</f>
        <v/>
      </c>
      <c r="Y7" s="27" t="n"/>
      <c r="Z7" s="28">
        <f>IF(E7="INACTIVE","_",IF(AND(G7&gt;0,H7&gt;0,H7&lt;G7),"[!]น้ำ reset ","")&amp;IF(AND(O7&gt;0,P7&gt;0,P7&lt;O7),"[!]ไฟ reset ","")&amp;IF(AND(F7="MANUAL",J7=""),"[X]units น้ำ ","")&amp;IF(AND(N7="MANUAL",R7=""),"[X]units ไฟ ","")&amp;IF(D7=0,"[!]ค่าเช่า=0",""))</f>
        <v/>
      </c>
      <c r="AA7" s="29">
        <f>IF(C7&lt;&gt;"",C7,CONFIG!$B$6)</f>
        <v/>
      </c>
      <c r="AB7" s="29">
        <f>IF(F7&lt;&gt;"",F7,IFERROR(VLOOKUP(AA7,RULES!$A:$C,3,0),CONFIG!$B$7))</f>
        <v/>
      </c>
      <c r="AC7" s="29">
        <f>IF(IFERROR(VLOOKUP(AA7,RULES!$A:$D,4,0),"")="",CONFIG!$B$10,VLOOKUP(AA7,RULES!$A:$D,4,0))</f>
        <v/>
      </c>
      <c r="AD7" s="29">
        <f>IF(IFERROR(VLOOKUP(AA7,RULES!$A:$E,5,0),"")="",CONFIG!$B$11,VLOOKUP(AA7,RULES!$A:$E,5,0))</f>
        <v/>
      </c>
      <c r="AE7" s="29">
        <f>IFERROR(VLOOKUP(AA7,RULES!$A:$F,6,0)*1,0)</f>
        <v/>
      </c>
      <c r="AF7" s="29">
        <f>IFERROR(VLOOKUP(AA7,RULES!$A:$G,7,0)*1,0)</f>
        <v/>
      </c>
      <c r="AG7" s="29">
        <f>IFERROR(VLOOKUP(AA7,RULES!$A:$H,8,0)*1,0)</f>
        <v/>
      </c>
      <c r="AH7" s="29">
        <f>IFERROR(VLOOKUP(AA7,RULES!$A:$I,9,0)*1,0)</f>
        <v/>
      </c>
      <c r="AI7" s="29">
        <f>IFERROR(VLOOKUP(AA7,RULES!$A:$J,10,0)*1,0)</f>
        <v/>
      </c>
      <c r="AJ7" s="29">
        <f>IFERROR(IF(VLOOKUP(AA7,RULES!$A:$K,11,0)="",999999,VLOOKUP(AA7,RULES!$A:$K,11,0)*1),999999)</f>
        <v/>
      </c>
      <c r="AK7" s="29">
        <f>IFERROR(VLOOKUP(AA7,RULES!$A:$L,12,0)*1,0)</f>
        <v/>
      </c>
      <c r="AL7" s="29">
        <f>IFERROR(VLOOKUP(AA7,RULES!$A:$M,13,0),"NONE")</f>
        <v/>
      </c>
      <c r="AM7" s="29">
        <f>IFERROR(VLOOKUP(AA7,RULES!$A:$N,14,0)*1,0)</f>
        <v/>
      </c>
      <c r="AN7" s="29">
        <f>IFERROR(VLOOKUP(AA7,RULES!$A:$O,15,0)*1,0)</f>
        <v/>
      </c>
      <c r="AO7" s="29">
        <f>IF(N7&lt;&gt;"",N7,IFERROR(VLOOKUP(AA7,RULES!$A:$P,16,0),CONFIG!$B$8))</f>
        <v/>
      </c>
      <c r="AP7" s="29">
        <f>IF(IFERROR(VLOOKUP(AA7,RULES!$A:$Q,17,0),"")="",CONFIG!$B$13,VLOOKUP(AA7,RULES!$A:$Q,17,0))</f>
        <v/>
      </c>
      <c r="AQ7" s="29">
        <f>IF(IFERROR(VLOOKUP(AA7,RULES!$A:$R,18,0),"")="",CONFIG!$B$14,VLOOKUP(AA7,RULES!$A:$R,18,0))</f>
        <v/>
      </c>
      <c r="AR7" s="29">
        <f>IFERROR(VLOOKUP(AA7,RULES!$A:$S,19,0)*1,0)</f>
        <v/>
      </c>
      <c r="AS7" s="29">
        <f>IFERROR(VLOOKUP(AA7,RULES!$A:$T,20,0)*1,0)</f>
        <v/>
      </c>
      <c r="AT7" s="29">
        <f>IFERROR(VLOOKUP(AA7,RULES!$A:$U,21,0)*1,0)</f>
        <v/>
      </c>
      <c r="AU7" s="29">
        <f>IFERROR(VLOOKUP(AA7,RULES!$A:$V,22,0)*1,0)</f>
        <v/>
      </c>
      <c r="AV7" s="29">
        <f>IFERROR(VLOOKUP(AA7,RULES!$A:$W,23,0)*1,0)</f>
        <v/>
      </c>
      <c r="AW7" s="29">
        <f>IFERROR(IF(VLOOKUP(AA7,RULES!$A:$X,24,0)="",999999,VLOOKUP(AA7,RULES!$A:$X,24,0)*1),999999)</f>
        <v/>
      </c>
      <c r="AX7" s="29">
        <f>IFERROR(VLOOKUP(AA7,RULES!$A:$Y,25,0)*1,0)</f>
        <v/>
      </c>
      <c r="AY7" s="29">
        <f>IFERROR(VLOOKUP(AA7,RULES!$A:$Z,26,0),"NONE")</f>
        <v/>
      </c>
      <c r="AZ7" s="29">
        <f>IFERROR(VLOOKUP(AA7,RULES!$A:$AA,27,0)*1,0)</f>
        <v/>
      </c>
      <c r="BA7" s="29">
        <f>IFERROR(VLOOKUP(AA7,RULES!$A:$AB,28,0)*1,0)</f>
        <v/>
      </c>
    </row>
    <row r="8" ht="17" customHeight="1">
      <c r="A8" s="22" t="inlineStr">
        <is>
          <t>3305</t>
        </is>
      </c>
      <c r="B8" s="48" t="inlineStr">
        <is>
          <t>ACC003</t>
        </is>
      </c>
      <c r="C8" s="48" t="inlineStr">
        <is>
          <t>DEFAULT</t>
        </is>
      </c>
      <c r="D8" s="47" t="n"/>
      <c r="E8" s="22">
        <f>IF(OR(D8="",D8=0),"INACTIVE","ACTIVE")</f>
        <v/>
      </c>
      <c r="F8" s="48" t="inlineStr">
        <is>
          <t>NORMAL</t>
        </is>
      </c>
      <c r="G8" s="25" t="n"/>
      <c r="H8" s="25" t="n"/>
      <c r="I8" s="26">
        <f>IF(OR(E8="INACTIVE",H8=""),0,MAX(0,H8-G8))</f>
        <v/>
      </c>
      <c r="J8" s="23" t="n"/>
      <c r="K8" s="26">
        <f>IF(OR(E8="INACTIVE",H8=""),0,IF(AB8="DISABLED",0,IF(AB8="FLAT",AE8,IF(AB8="MANUAL",IF(J8="",0,J8*AC8),IF(AB8="STEP",IF(I8&lt;=AF8,I8*AG8,IF(I8&lt;=AH8,AF8*AG8+(I8-AF8)*AI8,AF8*AG8+(AH8-AF8)*AI8+(I8-AH8)*AK8)),MAX(I8*AC8,AD8))))))</f>
        <v/>
      </c>
      <c r="L8" s="26">
        <f>IF(OR(E8="INACTIVE",H8=""),0,IF(AL8="NONE",0,IF(AL8="FLAT",AM8,IF(AL8="PER_UNIT",I8*AN8,IF(AL8="MANUAL",IF(M8="",0,M8),0)))))</f>
        <v/>
      </c>
      <c r="M8" s="23" t="n"/>
      <c r="N8" s="48" t="inlineStr">
        <is>
          <t>NORMAL</t>
        </is>
      </c>
      <c r="O8" s="25" t="n"/>
      <c r="P8" s="25" t="n"/>
      <c r="Q8" s="26">
        <f>IF(OR(E8="INACTIVE",P8=""),0,MAX(0,P8-O8))</f>
        <v/>
      </c>
      <c r="R8" s="23" t="n"/>
      <c r="S8" s="26">
        <f>IF(OR(E8="INACTIVE",P8=""),0,IF(AO8="DISABLED",0,IF(AO8="FLAT",AR8,IF(AO8="MANUAL",IF(R8="",0,R8*AP8),IF(AO8="STEP",IF(Q8&lt;=AS8,Q8*AT8,IF(Q8&lt;=AU8,AS8*AT8+(Q8-AS8)*AV8,AS8*AT8+(AU8-AS8)*AV8+(Q8-AU8)*AX8)),MAX(Q8*AP8,AQ8))))))</f>
        <v/>
      </c>
      <c r="T8" s="26">
        <f>IF(OR(E8="INACTIVE",P8=""),0,IF(AY8="NONE",0,IF(AY8="FLAT",AZ8,IF(AY8="PER_UNIT",Q8*BA8,IF(AY8="MANUAL",IF(U8="",0,U8),0)))))</f>
        <v/>
      </c>
      <c r="U8" s="23" t="n"/>
      <c r="V8" s="25" t="n"/>
      <c r="W8" s="25" t="n"/>
      <c r="X8" s="26">
        <f>IF(E8="INACTIVE",0,D8+K8+L8+S8+T8+IF(V8="",0,V8)+IF(W8="",0,W8))</f>
        <v/>
      </c>
      <c r="Y8" s="27" t="n"/>
      <c r="Z8" s="28">
        <f>IF(E8="INACTIVE","_",IF(AND(G8&gt;0,H8&gt;0,H8&lt;G8),"[!]น้ำ reset ","")&amp;IF(AND(O8&gt;0,P8&gt;0,P8&lt;O8),"[!]ไฟ reset ","")&amp;IF(AND(F8="MANUAL",J8=""),"[X]units น้ำ ","")&amp;IF(AND(N8="MANUAL",R8=""),"[X]units ไฟ ","")&amp;IF(D8=0,"[!]ค่าเช่า=0",""))</f>
        <v/>
      </c>
      <c r="AA8" s="29">
        <f>IF(C8&lt;&gt;"",C8,CONFIG!$B$6)</f>
        <v/>
      </c>
      <c r="AB8" s="29">
        <f>IF(F8&lt;&gt;"",F8,IFERROR(VLOOKUP(AA8,RULES!$A:$C,3,0),CONFIG!$B$7))</f>
        <v/>
      </c>
      <c r="AC8" s="29">
        <f>IF(IFERROR(VLOOKUP(AA8,RULES!$A:$D,4,0),"")="",CONFIG!$B$10,VLOOKUP(AA8,RULES!$A:$D,4,0))</f>
        <v/>
      </c>
      <c r="AD8" s="29">
        <f>IF(IFERROR(VLOOKUP(AA8,RULES!$A:$E,5,0),"")="",CONFIG!$B$11,VLOOKUP(AA8,RULES!$A:$E,5,0))</f>
        <v/>
      </c>
      <c r="AE8" s="29">
        <f>IFERROR(VLOOKUP(AA8,RULES!$A:$F,6,0)*1,0)</f>
        <v/>
      </c>
      <c r="AF8" s="29">
        <f>IFERROR(VLOOKUP(AA8,RULES!$A:$G,7,0)*1,0)</f>
        <v/>
      </c>
      <c r="AG8" s="29">
        <f>IFERROR(VLOOKUP(AA8,RULES!$A:$H,8,0)*1,0)</f>
        <v/>
      </c>
      <c r="AH8" s="29">
        <f>IFERROR(VLOOKUP(AA8,RULES!$A:$I,9,0)*1,0)</f>
        <v/>
      </c>
      <c r="AI8" s="29">
        <f>IFERROR(VLOOKUP(AA8,RULES!$A:$J,10,0)*1,0)</f>
        <v/>
      </c>
      <c r="AJ8" s="29">
        <f>IFERROR(IF(VLOOKUP(AA8,RULES!$A:$K,11,0)="",999999,VLOOKUP(AA8,RULES!$A:$K,11,0)*1),999999)</f>
        <v/>
      </c>
      <c r="AK8" s="29">
        <f>IFERROR(VLOOKUP(AA8,RULES!$A:$L,12,0)*1,0)</f>
        <v/>
      </c>
      <c r="AL8" s="29">
        <f>IFERROR(VLOOKUP(AA8,RULES!$A:$M,13,0),"NONE")</f>
        <v/>
      </c>
      <c r="AM8" s="29">
        <f>IFERROR(VLOOKUP(AA8,RULES!$A:$N,14,0)*1,0)</f>
        <v/>
      </c>
      <c r="AN8" s="29">
        <f>IFERROR(VLOOKUP(AA8,RULES!$A:$O,15,0)*1,0)</f>
        <v/>
      </c>
      <c r="AO8" s="29">
        <f>IF(N8&lt;&gt;"",N8,IFERROR(VLOOKUP(AA8,RULES!$A:$P,16,0),CONFIG!$B$8))</f>
        <v/>
      </c>
      <c r="AP8" s="29">
        <f>IF(IFERROR(VLOOKUP(AA8,RULES!$A:$Q,17,0),"")="",CONFIG!$B$13,VLOOKUP(AA8,RULES!$A:$Q,17,0))</f>
        <v/>
      </c>
      <c r="AQ8" s="29">
        <f>IF(IFERROR(VLOOKUP(AA8,RULES!$A:$R,18,0),"")="",CONFIG!$B$14,VLOOKUP(AA8,RULES!$A:$R,18,0))</f>
        <v/>
      </c>
      <c r="AR8" s="29">
        <f>IFERROR(VLOOKUP(AA8,RULES!$A:$S,19,0)*1,0)</f>
        <v/>
      </c>
      <c r="AS8" s="29">
        <f>IFERROR(VLOOKUP(AA8,RULES!$A:$T,20,0)*1,0)</f>
        <v/>
      </c>
      <c r="AT8" s="29">
        <f>IFERROR(VLOOKUP(AA8,RULES!$A:$U,21,0)*1,0)</f>
        <v/>
      </c>
      <c r="AU8" s="29">
        <f>IFERROR(VLOOKUP(AA8,RULES!$A:$V,22,0)*1,0)</f>
        <v/>
      </c>
      <c r="AV8" s="29">
        <f>IFERROR(VLOOKUP(AA8,RULES!$A:$W,23,0)*1,0)</f>
        <v/>
      </c>
      <c r="AW8" s="29">
        <f>IFERROR(IF(VLOOKUP(AA8,RULES!$A:$X,24,0)="",999999,VLOOKUP(AA8,RULES!$A:$X,24,0)*1),999999)</f>
        <v/>
      </c>
      <c r="AX8" s="29">
        <f>IFERROR(VLOOKUP(AA8,RULES!$A:$Y,25,0)*1,0)</f>
        <v/>
      </c>
      <c r="AY8" s="29">
        <f>IFERROR(VLOOKUP(AA8,RULES!$A:$Z,26,0),"NONE")</f>
        <v/>
      </c>
      <c r="AZ8" s="29">
        <f>IFERROR(VLOOKUP(AA8,RULES!$A:$AA,27,0)*1,0)</f>
        <v/>
      </c>
      <c r="BA8" s="29">
        <f>IFERROR(VLOOKUP(AA8,RULES!$A:$AB,28,0)*1,0)</f>
        <v/>
      </c>
    </row>
    <row r="9" ht="17" customHeight="1">
      <c r="A9" s="22" t="inlineStr">
        <is>
          <t>3306</t>
        </is>
      </c>
      <c r="B9" s="48" t="inlineStr">
        <is>
          <t>ACC003</t>
        </is>
      </c>
      <c r="C9" s="48" t="inlineStr">
        <is>
          <t>DEFAULT</t>
        </is>
      </c>
      <c r="D9" s="47" t="n"/>
      <c r="E9" s="22">
        <f>IF(OR(D9="",D9=0),"INACTIVE","ACTIVE")</f>
        <v/>
      </c>
      <c r="F9" s="48" t="inlineStr">
        <is>
          <t>NORMAL</t>
        </is>
      </c>
      <c r="G9" s="25" t="n"/>
      <c r="H9" s="25" t="n"/>
      <c r="I9" s="26">
        <f>IF(OR(E9="INACTIVE",H9=""),0,MAX(0,H9-G9))</f>
        <v/>
      </c>
      <c r="J9" s="23" t="n"/>
      <c r="K9" s="26">
        <f>IF(OR(E9="INACTIVE",H9=""),0,IF(AB9="DISABLED",0,IF(AB9="FLAT",AE9,IF(AB9="MANUAL",IF(J9="",0,J9*AC9),IF(AB9="STEP",IF(I9&lt;=AF9,I9*AG9,IF(I9&lt;=AH9,AF9*AG9+(I9-AF9)*AI9,AF9*AG9+(AH9-AF9)*AI9+(I9-AH9)*AK9)),MAX(I9*AC9,AD9))))))</f>
        <v/>
      </c>
      <c r="L9" s="26">
        <f>IF(OR(E9="INACTIVE",H9=""),0,IF(AL9="NONE",0,IF(AL9="FLAT",AM9,IF(AL9="PER_UNIT",I9*AN9,IF(AL9="MANUAL",IF(M9="",0,M9),0)))))</f>
        <v/>
      </c>
      <c r="M9" s="23" t="n"/>
      <c r="N9" s="48" t="inlineStr">
        <is>
          <t>NORMAL</t>
        </is>
      </c>
      <c r="O9" s="25" t="n"/>
      <c r="P9" s="25" t="n"/>
      <c r="Q9" s="26">
        <f>IF(OR(E9="INACTIVE",P9=""),0,MAX(0,P9-O9))</f>
        <v/>
      </c>
      <c r="R9" s="23" t="n"/>
      <c r="S9" s="26">
        <f>IF(OR(E9="INACTIVE",P9=""),0,IF(AO9="DISABLED",0,IF(AO9="FLAT",AR9,IF(AO9="MANUAL",IF(R9="",0,R9*AP9),IF(AO9="STEP",IF(Q9&lt;=AS9,Q9*AT9,IF(Q9&lt;=AU9,AS9*AT9+(Q9-AS9)*AV9,AS9*AT9+(AU9-AS9)*AV9+(Q9-AU9)*AX9)),MAX(Q9*AP9,AQ9))))))</f>
        <v/>
      </c>
      <c r="T9" s="26">
        <f>IF(OR(E9="INACTIVE",P9=""),0,IF(AY9="NONE",0,IF(AY9="FLAT",AZ9,IF(AY9="PER_UNIT",Q9*BA9,IF(AY9="MANUAL",IF(U9="",0,U9),0)))))</f>
        <v/>
      </c>
      <c r="U9" s="23" t="n"/>
      <c r="V9" s="25" t="n"/>
      <c r="W9" s="25" t="n"/>
      <c r="X9" s="26">
        <f>IF(E9="INACTIVE",0,D9+K9+L9+S9+T9+IF(V9="",0,V9)+IF(W9="",0,W9))</f>
        <v/>
      </c>
      <c r="Y9" s="27" t="n"/>
      <c r="Z9" s="28">
        <f>IF(E9="INACTIVE","_",IF(AND(G9&gt;0,H9&gt;0,H9&lt;G9),"[!]น้ำ reset ","")&amp;IF(AND(O9&gt;0,P9&gt;0,P9&lt;O9),"[!]ไฟ reset ","")&amp;IF(AND(F9="MANUAL",J9=""),"[X]units น้ำ ","")&amp;IF(AND(N9="MANUAL",R9=""),"[X]units ไฟ ","")&amp;IF(D9=0,"[!]ค่าเช่า=0",""))</f>
        <v/>
      </c>
      <c r="AA9" s="29">
        <f>IF(C9&lt;&gt;"",C9,CONFIG!$B$6)</f>
        <v/>
      </c>
      <c r="AB9" s="29">
        <f>IF(F9&lt;&gt;"",F9,IFERROR(VLOOKUP(AA9,RULES!$A:$C,3,0),CONFIG!$B$7))</f>
        <v/>
      </c>
      <c r="AC9" s="29">
        <f>IF(IFERROR(VLOOKUP(AA9,RULES!$A:$D,4,0),"")="",CONFIG!$B$10,VLOOKUP(AA9,RULES!$A:$D,4,0))</f>
        <v/>
      </c>
      <c r="AD9" s="29">
        <f>IF(IFERROR(VLOOKUP(AA9,RULES!$A:$E,5,0),"")="",CONFIG!$B$11,VLOOKUP(AA9,RULES!$A:$E,5,0))</f>
        <v/>
      </c>
      <c r="AE9" s="29">
        <f>IFERROR(VLOOKUP(AA9,RULES!$A:$F,6,0)*1,0)</f>
        <v/>
      </c>
      <c r="AF9" s="29">
        <f>IFERROR(VLOOKUP(AA9,RULES!$A:$G,7,0)*1,0)</f>
        <v/>
      </c>
      <c r="AG9" s="29">
        <f>IFERROR(VLOOKUP(AA9,RULES!$A:$H,8,0)*1,0)</f>
        <v/>
      </c>
      <c r="AH9" s="29">
        <f>IFERROR(VLOOKUP(AA9,RULES!$A:$I,9,0)*1,0)</f>
        <v/>
      </c>
      <c r="AI9" s="29">
        <f>IFERROR(VLOOKUP(AA9,RULES!$A:$J,10,0)*1,0)</f>
        <v/>
      </c>
      <c r="AJ9" s="29">
        <f>IFERROR(IF(VLOOKUP(AA9,RULES!$A:$K,11,0)="",999999,VLOOKUP(AA9,RULES!$A:$K,11,0)*1),999999)</f>
        <v/>
      </c>
      <c r="AK9" s="29">
        <f>IFERROR(VLOOKUP(AA9,RULES!$A:$L,12,0)*1,0)</f>
        <v/>
      </c>
      <c r="AL9" s="29">
        <f>IFERROR(VLOOKUP(AA9,RULES!$A:$M,13,0),"NONE")</f>
        <v/>
      </c>
      <c r="AM9" s="29">
        <f>IFERROR(VLOOKUP(AA9,RULES!$A:$N,14,0)*1,0)</f>
        <v/>
      </c>
      <c r="AN9" s="29">
        <f>IFERROR(VLOOKUP(AA9,RULES!$A:$O,15,0)*1,0)</f>
        <v/>
      </c>
      <c r="AO9" s="29">
        <f>IF(N9&lt;&gt;"",N9,IFERROR(VLOOKUP(AA9,RULES!$A:$P,16,0),CONFIG!$B$8))</f>
        <v/>
      </c>
      <c r="AP9" s="29">
        <f>IF(IFERROR(VLOOKUP(AA9,RULES!$A:$Q,17,0),"")="",CONFIG!$B$13,VLOOKUP(AA9,RULES!$A:$Q,17,0))</f>
        <v/>
      </c>
      <c r="AQ9" s="29">
        <f>IF(IFERROR(VLOOKUP(AA9,RULES!$A:$R,18,0),"")="",CONFIG!$B$14,VLOOKUP(AA9,RULES!$A:$R,18,0))</f>
        <v/>
      </c>
      <c r="AR9" s="29">
        <f>IFERROR(VLOOKUP(AA9,RULES!$A:$S,19,0)*1,0)</f>
        <v/>
      </c>
      <c r="AS9" s="29">
        <f>IFERROR(VLOOKUP(AA9,RULES!$A:$T,20,0)*1,0)</f>
        <v/>
      </c>
      <c r="AT9" s="29">
        <f>IFERROR(VLOOKUP(AA9,RULES!$A:$U,21,0)*1,0)</f>
        <v/>
      </c>
      <c r="AU9" s="29">
        <f>IFERROR(VLOOKUP(AA9,RULES!$A:$V,22,0)*1,0)</f>
        <v/>
      </c>
      <c r="AV9" s="29">
        <f>IFERROR(VLOOKUP(AA9,RULES!$A:$W,23,0)*1,0)</f>
        <v/>
      </c>
      <c r="AW9" s="29">
        <f>IFERROR(IF(VLOOKUP(AA9,RULES!$A:$X,24,0)="",999999,VLOOKUP(AA9,RULES!$A:$X,24,0)*1),999999)</f>
        <v/>
      </c>
      <c r="AX9" s="29">
        <f>IFERROR(VLOOKUP(AA9,RULES!$A:$Y,25,0)*1,0)</f>
        <v/>
      </c>
      <c r="AY9" s="29">
        <f>IFERROR(VLOOKUP(AA9,RULES!$A:$Z,26,0),"NONE")</f>
        <v/>
      </c>
      <c r="AZ9" s="29">
        <f>IFERROR(VLOOKUP(AA9,RULES!$A:$AA,27,0)*1,0)</f>
        <v/>
      </c>
      <c r="BA9" s="29">
        <f>IFERROR(VLOOKUP(AA9,RULES!$A:$AB,28,0)*1,0)</f>
        <v/>
      </c>
    </row>
    <row r="10" ht="17" customHeight="1">
      <c r="A10" s="22" t="inlineStr">
        <is>
          <t>3307</t>
        </is>
      </c>
      <c r="B10" s="48" t="inlineStr">
        <is>
          <t>ACC003</t>
        </is>
      </c>
      <c r="C10" s="48" t="inlineStr">
        <is>
          <t>DEFAULT</t>
        </is>
      </c>
      <c r="D10" s="47" t="n"/>
      <c r="E10" s="22">
        <f>IF(OR(D10="",D10=0),"INACTIVE","ACTIVE")</f>
        <v/>
      </c>
      <c r="F10" s="48" t="inlineStr">
        <is>
          <t>NORMAL</t>
        </is>
      </c>
      <c r="G10" s="25" t="n"/>
      <c r="H10" s="25" t="n"/>
      <c r="I10" s="26">
        <f>IF(OR(E10="INACTIVE",H10=""),0,MAX(0,H10-G10))</f>
        <v/>
      </c>
      <c r="J10" s="23" t="n"/>
      <c r="K10" s="26">
        <f>IF(OR(E10="INACTIVE",H10=""),0,IF(AB10="DISABLED",0,IF(AB10="FLAT",AE10,IF(AB10="MANUAL",IF(J10="",0,J10*AC10),IF(AB10="STEP",IF(I10&lt;=AF10,I10*AG10,IF(I10&lt;=AH10,AF10*AG10+(I10-AF10)*AI10,AF10*AG10+(AH10-AF10)*AI10+(I10-AH10)*AK10)),MAX(I10*AC10,AD10))))))</f>
        <v/>
      </c>
      <c r="L10" s="26">
        <f>IF(OR(E10="INACTIVE",H10=""),0,IF(AL10="NONE",0,IF(AL10="FLAT",AM10,IF(AL10="PER_UNIT",I10*AN10,IF(AL10="MANUAL",IF(M10="",0,M10),0)))))</f>
        <v/>
      </c>
      <c r="M10" s="23" t="n"/>
      <c r="N10" s="48" t="inlineStr">
        <is>
          <t>NORMAL</t>
        </is>
      </c>
      <c r="O10" s="25" t="n"/>
      <c r="P10" s="25" t="n"/>
      <c r="Q10" s="26">
        <f>IF(OR(E10="INACTIVE",P10=""),0,MAX(0,P10-O10))</f>
        <v/>
      </c>
      <c r="R10" s="23" t="n"/>
      <c r="S10" s="26">
        <f>IF(OR(E10="INACTIVE",P10=""),0,IF(AO10="DISABLED",0,IF(AO10="FLAT",AR10,IF(AO10="MANUAL",IF(R10="",0,R10*AP10),IF(AO10="STEP",IF(Q10&lt;=AS10,Q10*AT10,IF(Q10&lt;=AU10,AS10*AT10+(Q10-AS10)*AV10,AS10*AT10+(AU10-AS10)*AV10+(Q10-AU10)*AX10)),MAX(Q10*AP10,AQ10))))))</f>
        <v/>
      </c>
      <c r="T10" s="26">
        <f>IF(OR(E10="INACTIVE",P10=""),0,IF(AY10="NONE",0,IF(AY10="FLAT",AZ10,IF(AY10="PER_UNIT",Q10*BA10,IF(AY10="MANUAL",IF(U10="",0,U10),0)))))</f>
        <v/>
      </c>
      <c r="U10" s="23" t="n"/>
      <c r="V10" s="25" t="n"/>
      <c r="W10" s="25" t="n"/>
      <c r="X10" s="26">
        <f>IF(E10="INACTIVE",0,D10+K10+L10+S10+T10+IF(V10="",0,V10)+IF(W10="",0,W10))</f>
        <v/>
      </c>
      <c r="Y10" s="27" t="n"/>
      <c r="Z10" s="28">
        <f>IF(E10="INACTIVE","_",IF(AND(G10&gt;0,H10&gt;0,H10&lt;G10),"[!]น้ำ reset ","")&amp;IF(AND(O10&gt;0,P10&gt;0,P10&lt;O10),"[!]ไฟ reset ","")&amp;IF(AND(F10="MANUAL",J10=""),"[X]units น้ำ ","")&amp;IF(AND(N10="MANUAL",R10=""),"[X]units ไฟ ","")&amp;IF(D10=0,"[!]ค่าเช่า=0",""))</f>
        <v/>
      </c>
      <c r="AA10" s="29">
        <f>IF(C10&lt;&gt;"",C10,CONFIG!$B$6)</f>
        <v/>
      </c>
      <c r="AB10" s="29">
        <f>IF(F10&lt;&gt;"",F10,IFERROR(VLOOKUP(AA10,RULES!$A:$C,3,0),CONFIG!$B$7))</f>
        <v/>
      </c>
      <c r="AC10" s="29">
        <f>IF(IFERROR(VLOOKUP(AA10,RULES!$A:$D,4,0),"")="",CONFIG!$B$10,VLOOKUP(AA10,RULES!$A:$D,4,0))</f>
        <v/>
      </c>
      <c r="AD10" s="29">
        <f>IF(IFERROR(VLOOKUP(AA10,RULES!$A:$E,5,0),"")="",CONFIG!$B$11,VLOOKUP(AA10,RULES!$A:$E,5,0))</f>
        <v/>
      </c>
      <c r="AE10" s="29">
        <f>IFERROR(VLOOKUP(AA10,RULES!$A:$F,6,0)*1,0)</f>
        <v/>
      </c>
      <c r="AF10" s="29">
        <f>IFERROR(VLOOKUP(AA10,RULES!$A:$G,7,0)*1,0)</f>
        <v/>
      </c>
      <c r="AG10" s="29">
        <f>IFERROR(VLOOKUP(AA10,RULES!$A:$H,8,0)*1,0)</f>
        <v/>
      </c>
      <c r="AH10" s="29">
        <f>IFERROR(VLOOKUP(AA10,RULES!$A:$I,9,0)*1,0)</f>
        <v/>
      </c>
      <c r="AI10" s="29">
        <f>IFERROR(VLOOKUP(AA10,RULES!$A:$J,10,0)*1,0)</f>
        <v/>
      </c>
      <c r="AJ10" s="29">
        <f>IFERROR(IF(VLOOKUP(AA10,RULES!$A:$K,11,0)="",999999,VLOOKUP(AA10,RULES!$A:$K,11,0)*1),999999)</f>
        <v/>
      </c>
      <c r="AK10" s="29">
        <f>IFERROR(VLOOKUP(AA10,RULES!$A:$L,12,0)*1,0)</f>
        <v/>
      </c>
      <c r="AL10" s="29">
        <f>IFERROR(VLOOKUP(AA10,RULES!$A:$M,13,0),"NONE")</f>
        <v/>
      </c>
      <c r="AM10" s="29">
        <f>IFERROR(VLOOKUP(AA10,RULES!$A:$N,14,0)*1,0)</f>
        <v/>
      </c>
      <c r="AN10" s="29">
        <f>IFERROR(VLOOKUP(AA10,RULES!$A:$O,15,0)*1,0)</f>
        <v/>
      </c>
      <c r="AO10" s="29">
        <f>IF(N10&lt;&gt;"",N10,IFERROR(VLOOKUP(AA10,RULES!$A:$P,16,0),CONFIG!$B$8))</f>
        <v/>
      </c>
      <c r="AP10" s="29">
        <f>IF(IFERROR(VLOOKUP(AA10,RULES!$A:$Q,17,0),"")="",CONFIG!$B$13,VLOOKUP(AA10,RULES!$A:$Q,17,0))</f>
        <v/>
      </c>
      <c r="AQ10" s="29">
        <f>IF(IFERROR(VLOOKUP(AA10,RULES!$A:$R,18,0),"")="",CONFIG!$B$14,VLOOKUP(AA10,RULES!$A:$R,18,0))</f>
        <v/>
      </c>
      <c r="AR10" s="29">
        <f>IFERROR(VLOOKUP(AA10,RULES!$A:$S,19,0)*1,0)</f>
        <v/>
      </c>
      <c r="AS10" s="29">
        <f>IFERROR(VLOOKUP(AA10,RULES!$A:$T,20,0)*1,0)</f>
        <v/>
      </c>
      <c r="AT10" s="29">
        <f>IFERROR(VLOOKUP(AA10,RULES!$A:$U,21,0)*1,0)</f>
        <v/>
      </c>
      <c r="AU10" s="29">
        <f>IFERROR(VLOOKUP(AA10,RULES!$A:$V,22,0)*1,0)</f>
        <v/>
      </c>
      <c r="AV10" s="29">
        <f>IFERROR(VLOOKUP(AA10,RULES!$A:$W,23,0)*1,0)</f>
        <v/>
      </c>
      <c r="AW10" s="29">
        <f>IFERROR(IF(VLOOKUP(AA10,RULES!$A:$X,24,0)="",999999,VLOOKUP(AA10,RULES!$A:$X,24,0)*1),999999)</f>
        <v/>
      </c>
      <c r="AX10" s="29">
        <f>IFERROR(VLOOKUP(AA10,RULES!$A:$Y,25,0)*1,0)</f>
        <v/>
      </c>
      <c r="AY10" s="29">
        <f>IFERROR(VLOOKUP(AA10,RULES!$A:$Z,26,0),"NONE")</f>
        <v/>
      </c>
      <c r="AZ10" s="29">
        <f>IFERROR(VLOOKUP(AA10,RULES!$A:$AA,27,0)*1,0)</f>
        <v/>
      </c>
      <c r="BA10" s="29">
        <f>IFERROR(VLOOKUP(AA10,RULES!$A:$AB,28,0)*1,0)</f>
        <v/>
      </c>
    </row>
    <row r="11" ht="17" customHeight="1">
      <c r="A11" s="22" t="inlineStr">
        <is>
          <t>3308</t>
        </is>
      </c>
      <c r="B11" s="48" t="inlineStr">
        <is>
          <t>ACC003</t>
        </is>
      </c>
      <c r="C11" s="48" t="inlineStr">
        <is>
          <t>DEFAULT</t>
        </is>
      </c>
      <c r="D11" s="47" t="n"/>
      <c r="E11" s="22">
        <f>IF(OR(D11="",D11=0),"INACTIVE","ACTIVE")</f>
        <v/>
      </c>
      <c r="F11" s="48" t="inlineStr">
        <is>
          <t>NORMAL</t>
        </is>
      </c>
      <c r="G11" s="25" t="n"/>
      <c r="H11" s="25" t="n"/>
      <c r="I11" s="26">
        <f>IF(OR(E11="INACTIVE",H11=""),0,MAX(0,H11-G11))</f>
        <v/>
      </c>
      <c r="J11" s="23" t="n"/>
      <c r="K11" s="26">
        <f>IF(OR(E11="INACTIVE",H11=""),0,IF(AB11="DISABLED",0,IF(AB11="FLAT",AE11,IF(AB11="MANUAL",IF(J11="",0,J11*AC11),IF(AB11="STEP",IF(I11&lt;=AF11,I11*AG11,IF(I11&lt;=AH11,AF11*AG11+(I11-AF11)*AI11,AF11*AG11+(AH11-AF11)*AI11+(I11-AH11)*AK11)),MAX(I11*AC11,AD11))))))</f>
        <v/>
      </c>
      <c r="L11" s="26">
        <f>IF(OR(E11="INACTIVE",H11=""),0,IF(AL11="NONE",0,IF(AL11="FLAT",AM11,IF(AL11="PER_UNIT",I11*AN11,IF(AL11="MANUAL",IF(M11="",0,M11),0)))))</f>
        <v/>
      </c>
      <c r="M11" s="23" t="n"/>
      <c r="N11" s="48" t="inlineStr">
        <is>
          <t>NORMAL</t>
        </is>
      </c>
      <c r="O11" s="25" t="n"/>
      <c r="P11" s="25" t="n"/>
      <c r="Q11" s="26">
        <f>IF(OR(E11="INACTIVE",P11=""),0,MAX(0,P11-O11))</f>
        <v/>
      </c>
      <c r="R11" s="23" t="n"/>
      <c r="S11" s="26">
        <f>IF(OR(E11="INACTIVE",P11=""),0,IF(AO11="DISABLED",0,IF(AO11="FLAT",AR11,IF(AO11="MANUAL",IF(R11="",0,R11*AP11),IF(AO11="STEP",IF(Q11&lt;=AS11,Q11*AT11,IF(Q11&lt;=AU11,AS11*AT11+(Q11-AS11)*AV11,AS11*AT11+(AU11-AS11)*AV11+(Q11-AU11)*AX11)),MAX(Q11*AP11,AQ11))))))</f>
        <v/>
      </c>
      <c r="T11" s="26">
        <f>IF(OR(E11="INACTIVE",P11=""),0,IF(AY11="NONE",0,IF(AY11="FLAT",AZ11,IF(AY11="PER_UNIT",Q11*BA11,IF(AY11="MANUAL",IF(U11="",0,U11),0)))))</f>
        <v/>
      </c>
      <c r="U11" s="23" t="n"/>
      <c r="V11" s="25" t="n"/>
      <c r="W11" s="25" t="n"/>
      <c r="X11" s="26">
        <f>IF(E11="INACTIVE",0,D11+K11+L11+S11+T11+IF(V11="",0,V11)+IF(W11="",0,W11))</f>
        <v/>
      </c>
      <c r="Y11" s="27" t="n"/>
      <c r="Z11" s="28">
        <f>IF(E11="INACTIVE","_",IF(AND(G11&gt;0,H11&gt;0,H11&lt;G11),"[!]น้ำ reset ","")&amp;IF(AND(O11&gt;0,P11&gt;0,P11&lt;O11),"[!]ไฟ reset ","")&amp;IF(AND(F11="MANUAL",J11=""),"[X]units น้ำ ","")&amp;IF(AND(N11="MANUAL",R11=""),"[X]units ไฟ ","")&amp;IF(D11=0,"[!]ค่าเช่า=0",""))</f>
        <v/>
      </c>
      <c r="AA11" s="29">
        <f>IF(C11&lt;&gt;"",C11,CONFIG!$B$6)</f>
        <v/>
      </c>
      <c r="AB11" s="29">
        <f>IF(F11&lt;&gt;"",F11,IFERROR(VLOOKUP(AA11,RULES!$A:$C,3,0),CONFIG!$B$7))</f>
        <v/>
      </c>
      <c r="AC11" s="29">
        <f>IF(IFERROR(VLOOKUP(AA11,RULES!$A:$D,4,0),"")="",CONFIG!$B$10,VLOOKUP(AA11,RULES!$A:$D,4,0))</f>
        <v/>
      </c>
      <c r="AD11" s="29">
        <f>IF(IFERROR(VLOOKUP(AA11,RULES!$A:$E,5,0),"")="",CONFIG!$B$11,VLOOKUP(AA11,RULES!$A:$E,5,0))</f>
        <v/>
      </c>
      <c r="AE11" s="29">
        <f>IFERROR(VLOOKUP(AA11,RULES!$A:$F,6,0)*1,0)</f>
        <v/>
      </c>
      <c r="AF11" s="29">
        <f>IFERROR(VLOOKUP(AA11,RULES!$A:$G,7,0)*1,0)</f>
        <v/>
      </c>
      <c r="AG11" s="29">
        <f>IFERROR(VLOOKUP(AA11,RULES!$A:$H,8,0)*1,0)</f>
        <v/>
      </c>
      <c r="AH11" s="29">
        <f>IFERROR(VLOOKUP(AA11,RULES!$A:$I,9,0)*1,0)</f>
        <v/>
      </c>
      <c r="AI11" s="29">
        <f>IFERROR(VLOOKUP(AA11,RULES!$A:$J,10,0)*1,0)</f>
        <v/>
      </c>
      <c r="AJ11" s="29">
        <f>IFERROR(IF(VLOOKUP(AA11,RULES!$A:$K,11,0)="",999999,VLOOKUP(AA11,RULES!$A:$K,11,0)*1),999999)</f>
        <v/>
      </c>
      <c r="AK11" s="29">
        <f>IFERROR(VLOOKUP(AA11,RULES!$A:$L,12,0)*1,0)</f>
        <v/>
      </c>
      <c r="AL11" s="29">
        <f>IFERROR(VLOOKUP(AA11,RULES!$A:$M,13,0),"NONE")</f>
        <v/>
      </c>
      <c r="AM11" s="29">
        <f>IFERROR(VLOOKUP(AA11,RULES!$A:$N,14,0)*1,0)</f>
        <v/>
      </c>
      <c r="AN11" s="29">
        <f>IFERROR(VLOOKUP(AA11,RULES!$A:$O,15,0)*1,0)</f>
        <v/>
      </c>
      <c r="AO11" s="29">
        <f>IF(N11&lt;&gt;"",N11,IFERROR(VLOOKUP(AA11,RULES!$A:$P,16,0),CONFIG!$B$8))</f>
        <v/>
      </c>
      <c r="AP11" s="29">
        <f>IF(IFERROR(VLOOKUP(AA11,RULES!$A:$Q,17,0),"")="",CONFIG!$B$13,VLOOKUP(AA11,RULES!$A:$Q,17,0))</f>
        <v/>
      </c>
      <c r="AQ11" s="29">
        <f>IF(IFERROR(VLOOKUP(AA11,RULES!$A:$R,18,0),"")="",CONFIG!$B$14,VLOOKUP(AA11,RULES!$A:$R,18,0))</f>
        <v/>
      </c>
      <c r="AR11" s="29">
        <f>IFERROR(VLOOKUP(AA11,RULES!$A:$S,19,0)*1,0)</f>
        <v/>
      </c>
      <c r="AS11" s="29">
        <f>IFERROR(VLOOKUP(AA11,RULES!$A:$T,20,0)*1,0)</f>
        <v/>
      </c>
      <c r="AT11" s="29">
        <f>IFERROR(VLOOKUP(AA11,RULES!$A:$U,21,0)*1,0)</f>
        <v/>
      </c>
      <c r="AU11" s="29">
        <f>IFERROR(VLOOKUP(AA11,RULES!$A:$V,22,0)*1,0)</f>
        <v/>
      </c>
      <c r="AV11" s="29">
        <f>IFERROR(VLOOKUP(AA11,RULES!$A:$W,23,0)*1,0)</f>
        <v/>
      </c>
      <c r="AW11" s="29">
        <f>IFERROR(IF(VLOOKUP(AA11,RULES!$A:$X,24,0)="",999999,VLOOKUP(AA11,RULES!$A:$X,24,0)*1),999999)</f>
        <v/>
      </c>
      <c r="AX11" s="29">
        <f>IFERROR(VLOOKUP(AA11,RULES!$A:$Y,25,0)*1,0)</f>
        <v/>
      </c>
      <c r="AY11" s="29">
        <f>IFERROR(VLOOKUP(AA11,RULES!$A:$Z,26,0),"NONE")</f>
        <v/>
      </c>
      <c r="AZ11" s="29">
        <f>IFERROR(VLOOKUP(AA11,RULES!$A:$AA,27,0)*1,0)</f>
        <v/>
      </c>
      <c r="BA11" s="29">
        <f>IFERROR(VLOOKUP(AA11,RULES!$A:$AB,28,0)*1,0)</f>
        <v/>
      </c>
    </row>
    <row r="12" ht="17" customHeight="1">
      <c r="A12" s="22" t="inlineStr">
        <is>
          <t>3309</t>
        </is>
      </c>
      <c r="B12" s="48" t="inlineStr">
        <is>
          <t>ACC003</t>
        </is>
      </c>
      <c r="C12" s="48" t="inlineStr">
        <is>
          <t>DEFAULT</t>
        </is>
      </c>
      <c r="D12" s="47" t="n"/>
      <c r="E12" s="22">
        <f>IF(OR(D12="",D12=0),"INACTIVE","ACTIVE")</f>
        <v/>
      </c>
      <c r="F12" s="48" t="inlineStr">
        <is>
          <t>NORMAL</t>
        </is>
      </c>
      <c r="G12" s="25" t="n"/>
      <c r="H12" s="25" t="n"/>
      <c r="I12" s="26">
        <f>IF(OR(E12="INACTIVE",H12=""),0,MAX(0,H12-G12))</f>
        <v/>
      </c>
      <c r="J12" s="23" t="n"/>
      <c r="K12" s="26">
        <f>IF(OR(E12="INACTIVE",H12=""),0,IF(AB12="DISABLED",0,IF(AB12="FLAT",AE12,IF(AB12="MANUAL",IF(J12="",0,J12*AC12),IF(AB12="STEP",IF(I12&lt;=AF12,I12*AG12,IF(I12&lt;=AH12,AF12*AG12+(I12-AF12)*AI12,AF12*AG12+(AH12-AF12)*AI12+(I12-AH12)*AK12)),MAX(I12*AC12,AD12))))))</f>
        <v/>
      </c>
      <c r="L12" s="26">
        <f>IF(OR(E12="INACTIVE",H12=""),0,IF(AL12="NONE",0,IF(AL12="FLAT",AM12,IF(AL12="PER_UNIT",I12*AN12,IF(AL12="MANUAL",IF(M12="",0,M12),0)))))</f>
        <v/>
      </c>
      <c r="M12" s="23" t="n"/>
      <c r="N12" s="48" t="inlineStr">
        <is>
          <t>NORMAL</t>
        </is>
      </c>
      <c r="O12" s="25" t="n"/>
      <c r="P12" s="25" t="n"/>
      <c r="Q12" s="26">
        <f>IF(OR(E12="INACTIVE",P12=""),0,MAX(0,P12-O12))</f>
        <v/>
      </c>
      <c r="R12" s="23" t="n"/>
      <c r="S12" s="26">
        <f>IF(OR(E12="INACTIVE",P12=""),0,IF(AO12="DISABLED",0,IF(AO12="FLAT",AR12,IF(AO12="MANUAL",IF(R12="",0,R12*AP12),IF(AO12="STEP",IF(Q12&lt;=AS12,Q12*AT12,IF(Q12&lt;=AU12,AS12*AT12+(Q12-AS12)*AV12,AS12*AT12+(AU12-AS12)*AV12+(Q12-AU12)*AX12)),MAX(Q12*AP12,AQ12))))))</f>
        <v/>
      </c>
      <c r="T12" s="26">
        <f>IF(OR(E12="INACTIVE",P12=""),0,IF(AY12="NONE",0,IF(AY12="FLAT",AZ12,IF(AY12="PER_UNIT",Q12*BA12,IF(AY12="MANUAL",IF(U12="",0,U12),0)))))</f>
        <v/>
      </c>
      <c r="U12" s="23" t="n"/>
      <c r="V12" s="25" t="n"/>
      <c r="W12" s="25" t="n"/>
      <c r="X12" s="26">
        <f>IF(E12="INACTIVE",0,D12+K12+L12+S12+T12+IF(V12="",0,V12)+IF(W12="",0,W12))</f>
        <v/>
      </c>
      <c r="Y12" s="27" t="n"/>
      <c r="Z12" s="28">
        <f>IF(E12="INACTIVE","_",IF(AND(G12&gt;0,H12&gt;0,H12&lt;G12),"[!]น้ำ reset ","")&amp;IF(AND(O12&gt;0,P12&gt;0,P12&lt;O12),"[!]ไฟ reset ","")&amp;IF(AND(F12="MANUAL",J12=""),"[X]units น้ำ ","")&amp;IF(AND(N12="MANUAL",R12=""),"[X]units ไฟ ","")&amp;IF(D12=0,"[!]ค่าเช่า=0",""))</f>
        <v/>
      </c>
      <c r="AA12" s="29">
        <f>IF(C12&lt;&gt;"",C12,CONFIG!$B$6)</f>
        <v/>
      </c>
      <c r="AB12" s="29">
        <f>IF(F12&lt;&gt;"",F12,IFERROR(VLOOKUP(AA12,RULES!$A:$C,3,0),CONFIG!$B$7))</f>
        <v/>
      </c>
      <c r="AC12" s="29">
        <f>IF(IFERROR(VLOOKUP(AA12,RULES!$A:$D,4,0),"")="",CONFIG!$B$10,VLOOKUP(AA12,RULES!$A:$D,4,0))</f>
        <v/>
      </c>
      <c r="AD12" s="29">
        <f>IF(IFERROR(VLOOKUP(AA12,RULES!$A:$E,5,0),"")="",CONFIG!$B$11,VLOOKUP(AA12,RULES!$A:$E,5,0))</f>
        <v/>
      </c>
      <c r="AE12" s="29">
        <f>IFERROR(VLOOKUP(AA12,RULES!$A:$F,6,0)*1,0)</f>
        <v/>
      </c>
      <c r="AF12" s="29">
        <f>IFERROR(VLOOKUP(AA12,RULES!$A:$G,7,0)*1,0)</f>
        <v/>
      </c>
      <c r="AG12" s="29">
        <f>IFERROR(VLOOKUP(AA12,RULES!$A:$H,8,0)*1,0)</f>
        <v/>
      </c>
      <c r="AH12" s="29">
        <f>IFERROR(VLOOKUP(AA12,RULES!$A:$I,9,0)*1,0)</f>
        <v/>
      </c>
      <c r="AI12" s="29">
        <f>IFERROR(VLOOKUP(AA12,RULES!$A:$J,10,0)*1,0)</f>
        <v/>
      </c>
      <c r="AJ12" s="29">
        <f>IFERROR(IF(VLOOKUP(AA12,RULES!$A:$K,11,0)="",999999,VLOOKUP(AA12,RULES!$A:$K,11,0)*1),999999)</f>
        <v/>
      </c>
      <c r="AK12" s="29">
        <f>IFERROR(VLOOKUP(AA12,RULES!$A:$L,12,0)*1,0)</f>
        <v/>
      </c>
      <c r="AL12" s="29">
        <f>IFERROR(VLOOKUP(AA12,RULES!$A:$M,13,0),"NONE")</f>
        <v/>
      </c>
      <c r="AM12" s="29">
        <f>IFERROR(VLOOKUP(AA12,RULES!$A:$N,14,0)*1,0)</f>
        <v/>
      </c>
      <c r="AN12" s="29">
        <f>IFERROR(VLOOKUP(AA12,RULES!$A:$O,15,0)*1,0)</f>
        <v/>
      </c>
      <c r="AO12" s="29">
        <f>IF(N12&lt;&gt;"",N12,IFERROR(VLOOKUP(AA12,RULES!$A:$P,16,0),CONFIG!$B$8))</f>
        <v/>
      </c>
      <c r="AP12" s="29">
        <f>IF(IFERROR(VLOOKUP(AA12,RULES!$A:$Q,17,0),"")="",CONFIG!$B$13,VLOOKUP(AA12,RULES!$A:$Q,17,0))</f>
        <v/>
      </c>
      <c r="AQ12" s="29">
        <f>IF(IFERROR(VLOOKUP(AA12,RULES!$A:$R,18,0),"")="",CONFIG!$B$14,VLOOKUP(AA12,RULES!$A:$R,18,0))</f>
        <v/>
      </c>
      <c r="AR12" s="29">
        <f>IFERROR(VLOOKUP(AA12,RULES!$A:$S,19,0)*1,0)</f>
        <v/>
      </c>
      <c r="AS12" s="29">
        <f>IFERROR(VLOOKUP(AA12,RULES!$A:$T,20,0)*1,0)</f>
        <v/>
      </c>
      <c r="AT12" s="29">
        <f>IFERROR(VLOOKUP(AA12,RULES!$A:$U,21,0)*1,0)</f>
        <v/>
      </c>
      <c r="AU12" s="29">
        <f>IFERROR(VLOOKUP(AA12,RULES!$A:$V,22,0)*1,0)</f>
        <v/>
      </c>
      <c r="AV12" s="29">
        <f>IFERROR(VLOOKUP(AA12,RULES!$A:$W,23,0)*1,0)</f>
        <v/>
      </c>
      <c r="AW12" s="29">
        <f>IFERROR(IF(VLOOKUP(AA12,RULES!$A:$X,24,0)="",999999,VLOOKUP(AA12,RULES!$A:$X,24,0)*1),999999)</f>
        <v/>
      </c>
      <c r="AX12" s="29">
        <f>IFERROR(VLOOKUP(AA12,RULES!$A:$Y,25,0)*1,0)</f>
        <v/>
      </c>
      <c r="AY12" s="29">
        <f>IFERROR(VLOOKUP(AA12,RULES!$A:$Z,26,0),"NONE")</f>
        <v/>
      </c>
      <c r="AZ12" s="29">
        <f>IFERROR(VLOOKUP(AA12,RULES!$A:$AA,27,0)*1,0)</f>
        <v/>
      </c>
      <c r="BA12" s="29">
        <f>IFERROR(VLOOKUP(AA12,RULES!$A:$AB,28,0)*1,0)</f>
        <v/>
      </c>
    </row>
    <row r="13" ht="17" customHeight="1">
      <c r="A13" s="22" t="inlineStr">
        <is>
          <t>3310</t>
        </is>
      </c>
      <c r="B13" s="48" t="inlineStr">
        <is>
          <t>ACC003</t>
        </is>
      </c>
      <c r="C13" s="48" t="inlineStr">
        <is>
          <t>DEFAULT</t>
        </is>
      </c>
      <c r="D13" s="47" t="n"/>
      <c r="E13" s="22">
        <f>IF(OR(D13="",D13=0),"INACTIVE","ACTIVE")</f>
        <v/>
      </c>
      <c r="F13" s="48" t="inlineStr">
        <is>
          <t>NORMAL</t>
        </is>
      </c>
      <c r="G13" s="25" t="n"/>
      <c r="H13" s="25" t="n"/>
      <c r="I13" s="26">
        <f>IF(OR(E13="INACTIVE",H13=""),0,MAX(0,H13-G13))</f>
        <v/>
      </c>
      <c r="J13" s="23" t="n"/>
      <c r="K13" s="26">
        <f>IF(OR(E13="INACTIVE",H13=""),0,IF(AB13="DISABLED",0,IF(AB13="FLAT",AE13,IF(AB13="MANUAL",IF(J13="",0,J13*AC13),IF(AB13="STEP",IF(I13&lt;=AF13,I13*AG13,IF(I13&lt;=AH13,AF13*AG13+(I13-AF13)*AI13,AF13*AG13+(AH13-AF13)*AI13+(I13-AH13)*AK13)),MAX(I13*AC13,AD13))))))</f>
        <v/>
      </c>
      <c r="L13" s="26">
        <f>IF(OR(E13="INACTIVE",H13=""),0,IF(AL13="NONE",0,IF(AL13="FLAT",AM13,IF(AL13="PER_UNIT",I13*AN13,IF(AL13="MANUAL",IF(M13="",0,M13),0)))))</f>
        <v/>
      </c>
      <c r="M13" s="23" t="n"/>
      <c r="N13" s="48" t="inlineStr">
        <is>
          <t>NORMAL</t>
        </is>
      </c>
      <c r="O13" s="25" t="n"/>
      <c r="P13" s="25" t="n"/>
      <c r="Q13" s="26">
        <f>IF(OR(E13="INACTIVE",P13=""),0,MAX(0,P13-O13))</f>
        <v/>
      </c>
      <c r="R13" s="23" t="n"/>
      <c r="S13" s="26">
        <f>IF(OR(E13="INACTIVE",P13=""),0,IF(AO13="DISABLED",0,IF(AO13="FLAT",AR13,IF(AO13="MANUAL",IF(R13="",0,R13*AP13),IF(AO13="STEP",IF(Q13&lt;=AS13,Q13*AT13,IF(Q13&lt;=AU13,AS13*AT13+(Q13-AS13)*AV13,AS13*AT13+(AU13-AS13)*AV13+(Q13-AU13)*AX13)),MAX(Q13*AP13,AQ13))))))</f>
        <v/>
      </c>
      <c r="T13" s="26">
        <f>IF(OR(E13="INACTIVE",P13=""),0,IF(AY13="NONE",0,IF(AY13="FLAT",AZ13,IF(AY13="PER_UNIT",Q13*BA13,IF(AY13="MANUAL",IF(U13="",0,U13),0)))))</f>
        <v/>
      </c>
      <c r="U13" s="23" t="n"/>
      <c r="V13" s="25" t="n"/>
      <c r="W13" s="25" t="n"/>
      <c r="X13" s="26">
        <f>IF(E13="INACTIVE",0,D13+K13+L13+S13+T13+IF(V13="",0,V13)+IF(W13="",0,W13))</f>
        <v/>
      </c>
      <c r="Y13" s="27" t="n"/>
      <c r="Z13" s="28">
        <f>IF(E13="INACTIVE","_",IF(AND(G13&gt;0,H13&gt;0,H13&lt;G13),"[!]น้ำ reset ","")&amp;IF(AND(O13&gt;0,P13&gt;0,P13&lt;O13),"[!]ไฟ reset ","")&amp;IF(AND(F13="MANUAL",J13=""),"[X]units น้ำ ","")&amp;IF(AND(N13="MANUAL",R13=""),"[X]units ไฟ ","")&amp;IF(D13=0,"[!]ค่าเช่า=0",""))</f>
        <v/>
      </c>
      <c r="AA13" s="29">
        <f>IF(C13&lt;&gt;"",C13,CONFIG!$B$6)</f>
        <v/>
      </c>
      <c r="AB13" s="29">
        <f>IF(F13&lt;&gt;"",F13,IFERROR(VLOOKUP(AA13,RULES!$A:$C,3,0),CONFIG!$B$7))</f>
        <v/>
      </c>
      <c r="AC13" s="29">
        <f>IF(IFERROR(VLOOKUP(AA13,RULES!$A:$D,4,0),"")="",CONFIG!$B$10,VLOOKUP(AA13,RULES!$A:$D,4,0))</f>
        <v/>
      </c>
      <c r="AD13" s="29">
        <f>IF(IFERROR(VLOOKUP(AA13,RULES!$A:$E,5,0),"")="",CONFIG!$B$11,VLOOKUP(AA13,RULES!$A:$E,5,0))</f>
        <v/>
      </c>
      <c r="AE13" s="29">
        <f>IFERROR(VLOOKUP(AA13,RULES!$A:$F,6,0)*1,0)</f>
        <v/>
      </c>
      <c r="AF13" s="29">
        <f>IFERROR(VLOOKUP(AA13,RULES!$A:$G,7,0)*1,0)</f>
        <v/>
      </c>
      <c r="AG13" s="29">
        <f>IFERROR(VLOOKUP(AA13,RULES!$A:$H,8,0)*1,0)</f>
        <v/>
      </c>
      <c r="AH13" s="29">
        <f>IFERROR(VLOOKUP(AA13,RULES!$A:$I,9,0)*1,0)</f>
        <v/>
      </c>
      <c r="AI13" s="29">
        <f>IFERROR(VLOOKUP(AA13,RULES!$A:$J,10,0)*1,0)</f>
        <v/>
      </c>
      <c r="AJ13" s="29">
        <f>IFERROR(IF(VLOOKUP(AA13,RULES!$A:$K,11,0)="",999999,VLOOKUP(AA13,RULES!$A:$K,11,0)*1),999999)</f>
        <v/>
      </c>
      <c r="AK13" s="29">
        <f>IFERROR(VLOOKUP(AA13,RULES!$A:$L,12,0)*1,0)</f>
        <v/>
      </c>
      <c r="AL13" s="29">
        <f>IFERROR(VLOOKUP(AA13,RULES!$A:$M,13,0),"NONE")</f>
        <v/>
      </c>
      <c r="AM13" s="29">
        <f>IFERROR(VLOOKUP(AA13,RULES!$A:$N,14,0)*1,0)</f>
        <v/>
      </c>
      <c r="AN13" s="29">
        <f>IFERROR(VLOOKUP(AA13,RULES!$A:$O,15,0)*1,0)</f>
        <v/>
      </c>
      <c r="AO13" s="29">
        <f>IF(N13&lt;&gt;"",N13,IFERROR(VLOOKUP(AA13,RULES!$A:$P,16,0),CONFIG!$B$8))</f>
        <v/>
      </c>
      <c r="AP13" s="29">
        <f>IF(IFERROR(VLOOKUP(AA13,RULES!$A:$Q,17,0),"")="",CONFIG!$B$13,VLOOKUP(AA13,RULES!$A:$Q,17,0))</f>
        <v/>
      </c>
      <c r="AQ13" s="29">
        <f>IF(IFERROR(VLOOKUP(AA13,RULES!$A:$R,18,0),"")="",CONFIG!$B$14,VLOOKUP(AA13,RULES!$A:$R,18,0))</f>
        <v/>
      </c>
      <c r="AR13" s="29">
        <f>IFERROR(VLOOKUP(AA13,RULES!$A:$S,19,0)*1,0)</f>
        <v/>
      </c>
      <c r="AS13" s="29">
        <f>IFERROR(VLOOKUP(AA13,RULES!$A:$T,20,0)*1,0)</f>
        <v/>
      </c>
      <c r="AT13" s="29">
        <f>IFERROR(VLOOKUP(AA13,RULES!$A:$U,21,0)*1,0)</f>
        <v/>
      </c>
      <c r="AU13" s="29">
        <f>IFERROR(VLOOKUP(AA13,RULES!$A:$V,22,0)*1,0)</f>
        <v/>
      </c>
      <c r="AV13" s="29">
        <f>IFERROR(VLOOKUP(AA13,RULES!$A:$W,23,0)*1,0)</f>
        <v/>
      </c>
      <c r="AW13" s="29">
        <f>IFERROR(IF(VLOOKUP(AA13,RULES!$A:$X,24,0)="",999999,VLOOKUP(AA13,RULES!$A:$X,24,0)*1),999999)</f>
        <v/>
      </c>
      <c r="AX13" s="29">
        <f>IFERROR(VLOOKUP(AA13,RULES!$A:$Y,25,0)*1,0)</f>
        <v/>
      </c>
      <c r="AY13" s="29">
        <f>IFERROR(VLOOKUP(AA13,RULES!$A:$Z,26,0),"NONE")</f>
        <v/>
      </c>
      <c r="AZ13" s="29">
        <f>IFERROR(VLOOKUP(AA13,RULES!$A:$AA,27,0)*1,0)</f>
        <v/>
      </c>
      <c r="BA13" s="29">
        <f>IFERROR(VLOOKUP(AA13,RULES!$A:$AB,28,0)*1,0)</f>
        <v/>
      </c>
    </row>
    <row r="14" ht="17" customHeight="1">
      <c r="A14" s="22" t="inlineStr">
        <is>
          <t>3311</t>
        </is>
      </c>
      <c r="B14" s="48" t="inlineStr">
        <is>
          <t>ACC003</t>
        </is>
      </c>
      <c r="C14" s="48" t="inlineStr">
        <is>
          <t>DEFAULT</t>
        </is>
      </c>
      <c r="D14" s="47" t="n"/>
      <c r="E14" s="22">
        <f>IF(OR(D14="",D14=0),"INACTIVE","ACTIVE")</f>
        <v/>
      </c>
      <c r="F14" s="48" t="inlineStr">
        <is>
          <t>NORMAL</t>
        </is>
      </c>
      <c r="G14" s="25" t="n"/>
      <c r="H14" s="25" t="n"/>
      <c r="I14" s="26">
        <f>IF(OR(E14="INACTIVE",H14=""),0,MAX(0,H14-G14))</f>
        <v/>
      </c>
      <c r="J14" s="23" t="n"/>
      <c r="K14" s="26">
        <f>IF(OR(E14="INACTIVE",H14=""),0,IF(AB14="DISABLED",0,IF(AB14="FLAT",AE14,IF(AB14="MANUAL",IF(J14="",0,J14*AC14),IF(AB14="STEP",IF(I14&lt;=AF14,I14*AG14,IF(I14&lt;=AH14,AF14*AG14+(I14-AF14)*AI14,AF14*AG14+(AH14-AF14)*AI14+(I14-AH14)*AK14)),MAX(I14*AC14,AD14))))))</f>
        <v/>
      </c>
      <c r="L14" s="26">
        <f>IF(OR(E14="INACTIVE",H14=""),0,IF(AL14="NONE",0,IF(AL14="FLAT",AM14,IF(AL14="PER_UNIT",I14*AN14,IF(AL14="MANUAL",IF(M14="",0,M14),0)))))</f>
        <v/>
      </c>
      <c r="M14" s="23" t="n"/>
      <c r="N14" s="48" t="inlineStr">
        <is>
          <t>NORMAL</t>
        </is>
      </c>
      <c r="O14" s="25" t="n"/>
      <c r="P14" s="25" t="n"/>
      <c r="Q14" s="26">
        <f>IF(OR(E14="INACTIVE",P14=""),0,MAX(0,P14-O14))</f>
        <v/>
      </c>
      <c r="R14" s="23" t="n"/>
      <c r="S14" s="26">
        <f>IF(OR(E14="INACTIVE",P14=""),0,IF(AO14="DISABLED",0,IF(AO14="FLAT",AR14,IF(AO14="MANUAL",IF(R14="",0,R14*AP14),IF(AO14="STEP",IF(Q14&lt;=AS14,Q14*AT14,IF(Q14&lt;=AU14,AS14*AT14+(Q14-AS14)*AV14,AS14*AT14+(AU14-AS14)*AV14+(Q14-AU14)*AX14)),MAX(Q14*AP14,AQ14))))))</f>
        <v/>
      </c>
      <c r="T14" s="26">
        <f>IF(OR(E14="INACTIVE",P14=""),0,IF(AY14="NONE",0,IF(AY14="FLAT",AZ14,IF(AY14="PER_UNIT",Q14*BA14,IF(AY14="MANUAL",IF(U14="",0,U14),0)))))</f>
        <v/>
      </c>
      <c r="U14" s="23" t="n"/>
      <c r="V14" s="25" t="n"/>
      <c r="W14" s="25" t="n"/>
      <c r="X14" s="26">
        <f>IF(E14="INACTIVE",0,D14+K14+L14+S14+T14+IF(V14="",0,V14)+IF(W14="",0,W14))</f>
        <v/>
      </c>
      <c r="Y14" s="27" t="n"/>
      <c r="Z14" s="28">
        <f>IF(E14="INACTIVE","_",IF(AND(G14&gt;0,H14&gt;0,H14&lt;G14),"[!]น้ำ reset ","")&amp;IF(AND(O14&gt;0,P14&gt;0,P14&lt;O14),"[!]ไฟ reset ","")&amp;IF(AND(F14="MANUAL",J14=""),"[X]units น้ำ ","")&amp;IF(AND(N14="MANUAL",R14=""),"[X]units ไฟ ","")&amp;IF(D14=0,"[!]ค่าเช่า=0",""))</f>
        <v/>
      </c>
      <c r="AA14" s="29">
        <f>IF(C14&lt;&gt;"",C14,CONFIG!$B$6)</f>
        <v/>
      </c>
      <c r="AB14" s="29">
        <f>IF(F14&lt;&gt;"",F14,IFERROR(VLOOKUP(AA14,RULES!$A:$C,3,0),CONFIG!$B$7))</f>
        <v/>
      </c>
      <c r="AC14" s="29">
        <f>IF(IFERROR(VLOOKUP(AA14,RULES!$A:$D,4,0),"")="",CONFIG!$B$10,VLOOKUP(AA14,RULES!$A:$D,4,0))</f>
        <v/>
      </c>
      <c r="AD14" s="29">
        <f>IF(IFERROR(VLOOKUP(AA14,RULES!$A:$E,5,0),"")="",CONFIG!$B$11,VLOOKUP(AA14,RULES!$A:$E,5,0))</f>
        <v/>
      </c>
      <c r="AE14" s="29">
        <f>IFERROR(VLOOKUP(AA14,RULES!$A:$F,6,0)*1,0)</f>
        <v/>
      </c>
      <c r="AF14" s="29">
        <f>IFERROR(VLOOKUP(AA14,RULES!$A:$G,7,0)*1,0)</f>
        <v/>
      </c>
      <c r="AG14" s="29">
        <f>IFERROR(VLOOKUP(AA14,RULES!$A:$H,8,0)*1,0)</f>
        <v/>
      </c>
      <c r="AH14" s="29">
        <f>IFERROR(VLOOKUP(AA14,RULES!$A:$I,9,0)*1,0)</f>
        <v/>
      </c>
      <c r="AI14" s="29">
        <f>IFERROR(VLOOKUP(AA14,RULES!$A:$J,10,0)*1,0)</f>
        <v/>
      </c>
      <c r="AJ14" s="29">
        <f>IFERROR(IF(VLOOKUP(AA14,RULES!$A:$K,11,0)="",999999,VLOOKUP(AA14,RULES!$A:$K,11,0)*1),999999)</f>
        <v/>
      </c>
      <c r="AK14" s="29">
        <f>IFERROR(VLOOKUP(AA14,RULES!$A:$L,12,0)*1,0)</f>
        <v/>
      </c>
      <c r="AL14" s="29">
        <f>IFERROR(VLOOKUP(AA14,RULES!$A:$M,13,0),"NONE")</f>
        <v/>
      </c>
      <c r="AM14" s="29">
        <f>IFERROR(VLOOKUP(AA14,RULES!$A:$N,14,0)*1,0)</f>
        <v/>
      </c>
      <c r="AN14" s="29">
        <f>IFERROR(VLOOKUP(AA14,RULES!$A:$O,15,0)*1,0)</f>
        <v/>
      </c>
      <c r="AO14" s="29">
        <f>IF(N14&lt;&gt;"",N14,IFERROR(VLOOKUP(AA14,RULES!$A:$P,16,0),CONFIG!$B$8))</f>
        <v/>
      </c>
      <c r="AP14" s="29">
        <f>IF(IFERROR(VLOOKUP(AA14,RULES!$A:$Q,17,0),"")="",CONFIG!$B$13,VLOOKUP(AA14,RULES!$A:$Q,17,0))</f>
        <v/>
      </c>
      <c r="AQ14" s="29">
        <f>IF(IFERROR(VLOOKUP(AA14,RULES!$A:$R,18,0),"")="",CONFIG!$B$14,VLOOKUP(AA14,RULES!$A:$R,18,0))</f>
        <v/>
      </c>
      <c r="AR14" s="29">
        <f>IFERROR(VLOOKUP(AA14,RULES!$A:$S,19,0)*1,0)</f>
        <v/>
      </c>
      <c r="AS14" s="29">
        <f>IFERROR(VLOOKUP(AA14,RULES!$A:$T,20,0)*1,0)</f>
        <v/>
      </c>
      <c r="AT14" s="29">
        <f>IFERROR(VLOOKUP(AA14,RULES!$A:$U,21,0)*1,0)</f>
        <v/>
      </c>
      <c r="AU14" s="29">
        <f>IFERROR(VLOOKUP(AA14,RULES!$A:$V,22,0)*1,0)</f>
        <v/>
      </c>
      <c r="AV14" s="29">
        <f>IFERROR(VLOOKUP(AA14,RULES!$A:$W,23,0)*1,0)</f>
        <v/>
      </c>
      <c r="AW14" s="29">
        <f>IFERROR(IF(VLOOKUP(AA14,RULES!$A:$X,24,0)="",999999,VLOOKUP(AA14,RULES!$A:$X,24,0)*1),999999)</f>
        <v/>
      </c>
      <c r="AX14" s="29">
        <f>IFERROR(VLOOKUP(AA14,RULES!$A:$Y,25,0)*1,0)</f>
        <v/>
      </c>
      <c r="AY14" s="29">
        <f>IFERROR(VLOOKUP(AA14,RULES!$A:$Z,26,0),"NONE")</f>
        <v/>
      </c>
      <c r="AZ14" s="29">
        <f>IFERROR(VLOOKUP(AA14,RULES!$A:$AA,27,0)*1,0)</f>
        <v/>
      </c>
      <c r="BA14" s="29">
        <f>IFERROR(VLOOKUP(AA14,RULES!$A:$AB,28,0)*1,0)</f>
        <v/>
      </c>
    </row>
    <row r="15" ht="17" customHeight="1">
      <c r="A15" s="22" t="inlineStr">
        <is>
          <t>3312</t>
        </is>
      </c>
      <c r="B15" s="48" t="inlineStr">
        <is>
          <t>ACC003</t>
        </is>
      </c>
      <c r="C15" s="48" t="inlineStr">
        <is>
          <t>DEFAULT</t>
        </is>
      </c>
      <c r="D15" s="47" t="n"/>
      <c r="E15" s="22">
        <f>IF(OR(D15="",D15=0),"INACTIVE","ACTIVE")</f>
        <v/>
      </c>
      <c r="F15" s="48" t="inlineStr">
        <is>
          <t>NORMAL</t>
        </is>
      </c>
      <c r="G15" s="25" t="n"/>
      <c r="H15" s="25" t="n"/>
      <c r="I15" s="26">
        <f>IF(OR(E15="INACTIVE",H15=""),0,MAX(0,H15-G15))</f>
        <v/>
      </c>
      <c r="J15" s="23" t="n"/>
      <c r="K15" s="26">
        <f>IF(OR(E15="INACTIVE",H15=""),0,IF(AB15="DISABLED",0,IF(AB15="FLAT",AE15,IF(AB15="MANUAL",IF(J15="",0,J15*AC15),IF(AB15="STEP",IF(I15&lt;=AF15,I15*AG15,IF(I15&lt;=AH15,AF15*AG15+(I15-AF15)*AI15,AF15*AG15+(AH15-AF15)*AI15+(I15-AH15)*AK15)),MAX(I15*AC15,AD15))))))</f>
        <v/>
      </c>
      <c r="L15" s="26">
        <f>IF(OR(E15="INACTIVE",H15=""),0,IF(AL15="NONE",0,IF(AL15="FLAT",AM15,IF(AL15="PER_UNIT",I15*AN15,IF(AL15="MANUAL",IF(M15="",0,M15),0)))))</f>
        <v/>
      </c>
      <c r="M15" s="23" t="n"/>
      <c r="N15" s="48" t="inlineStr">
        <is>
          <t>NORMAL</t>
        </is>
      </c>
      <c r="O15" s="25" t="n"/>
      <c r="P15" s="25" t="n"/>
      <c r="Q15" s="26">
        <f>IF(OR(E15="INACTIVE",P15=""),0,MAX(0,P15-O15))</f>
        <v/>
      </c>
      <c r="R15" s="23" t="n"/>
      <c r="S15" s="26">
        <f>IF(OR(E15="INACTIVE",P15=""),0,IF(AO15="DISABLED",0,IF(AO15="FLAT",AR15,IF(AO15="MANUAL",IF(R15="",0,R15*AP15),IF(AO15="STEP",IF(Q15&lt;=AS15,Q15*AT15,IF(Q15&lt;=AU15,AS15*AT15+(Q15-AS15)*AV15,AS15*AT15+(AU15-AS15)*AV15+(Q15-AU15)*AX15)),MAX(Q15*AP15,AQ15))))))</f>
        <v/>
      </c>
      <c r="T15" s="26">
        <f>IF(OR(E15="INACTIVE",P15=""),0,IF(AY15="NONE",0,IF(AY15="FLAT",AZ15,IF(AY15="PER_UNIT",Q15*BA15,IF(AY15="MANUAL",IF(U15="",0,U15),0)))))</f>
        <v/>
      </c>
      <c r="U15" s="23" t="n"/>
      <c r="V15" s="25" t="n"/>
      <c r="W15" s="25" t="n"/>
      <c r="X15" s="26">
        <f>IF(E15="INACTIVE",0,D15+K15+L15+S15+T15+IF(V15="",0,V15)+IF(W15="",0,W15))</f>
        <v/>
      </c>
      <c r="Y15" s="27" t="n"/>
      <c r="Z15" s="28">
        <f>IF(E15="INACTIVE","_",IF(AND(G15&gt;0,H15&gt;0,H15&lt;G15),"[!]น้ำ reset ","")&amp;IF(AND(O15&gt;0,P15&gt;0,P15&lt;O15),"[!]ไฟ reset ","")&amp;IF(AND(F15="MANUAL",J15=""),"[X]units น้ำ ","")&amp;IF(AND(N15="MANUAL",R15=""),"[X]units ไฟ ","")&amp;IF(D15=0,"[!]ค่าเช่า=0",""))</f>
        <v/>
      </c>
      <c r="AA15" s="29">
        <f>IF(C15&lt;&gt;"",C15,CONFIG!$B$6)</f>
        <v/>
      </c>
      <c r="AB15" s="29">
        <f>IF(F15&lt;&gt;"",F15,IFERROR(VLOOKUP(AA15,RULES!$A:$C,3,0),CONFIG!$B$7))</f>
        <v/>
      </c>
      <c r="AC15" s="29">
        <f>IF(IFERROR(VLOOKUP(AA15,RULES!$A:$D,4,0),"")="",CONFIG!$B$10,VLOOKUP(AA15,RULES!$A:$D,4,0))</f>
        <v/>
      </c>
      <c r="AD15" s="29">
        <f>IF(IFERROR(VLOOKUP(AA15,RULES!$A:$E,5,0),"")="",CONFIG!$B$11,VLOOKUP(AA15,RULES!$A:$E,5,0))</f>
        <v/>
      </c>
      <c r="AE15" s="29">
        <f>IFERROR(VLOOKUP(AA15,RULES!$A:$F,6,0)*1,0)</f>
        <v/>
      </c>
      <c r="AF15" s="29">
        <f>IFERROR(VLOOKUP(AA15,RULES!$A:$G,7,0)*1,0)</f>
        <v/>
      </c>
      <c r="AG15" s="29">
        <f>IFERROR(VLOOKUP(AA15,RULES!$A:$H,8,0)*1,0)</f>
        <v/>
      </c>
      <c r="AH15" s="29">
        <f>IFERROR(VLOOKUP(AA15,RULES!$A:$I,9,0)*1,0)</f>
        <v/>
      </c>
      <c r="AI15" s="29">
        <f>IFERROR(VLOOKUP(AA15,RULES!$A:$J,10,0)*1,0)</f>
        <v/>
      </c>
      <c r="AJ15" s="29">
        <f>IFERROR(IF(VLOOKUP(AA15,RULES!$A:$K,11,0)="",999999,VLOOKUP(AA15,RULES!$A:$K,11,0)*1),999999)</f>
        <v/>
      </c>
      <c r="AK15" s="29">
        <f>IFERROR(VLOOKUP(AA15,RULES!$A:$L,12,0)*1,0)</f>
        <v/>
      </c>
      <c r="AL15" s="29">
        <f>IFERROR(VLOOKUP(AA15,RULES!$A:$M,13,0),"NONE")</f>
        <v/>
      </c>
      <c r="AM15" s="29">
        <f>IFERROR(VLOOKUP(AA15,RULES!$A:$N,14,0)*1,0)</f>
        <v/>
      </c>
      <c r="AN15" s="29">
        <f>IFERROR(VLOOKUP(AA15,RULES!$A:$O,15,0)*1,0)</f>
        <v/>
      </c>
      <c r="AO15" s="29">
        <f>IF(N15&lt;&gt;"",N15,IFERROR(VLOOKUP(AA15,RULES!$A:$P,16,0),CONFIG!$B$8))</f>
        <v/>
      </c>
      <c r="AP15" s="29">
        <f>IF(IFERROR(VLOOKUP(AA15,RULES!$A:$Q,17,0),"")="",CONFIG!$B$13,VLOOKUP(AA15,RULES!$A:$Q,17,0))</f>
        <v/>
      </c>
      <c r="AQ15" s="29">
        <f>IF(IFERROR(VLOOKUP(AA15,RULES!$A:$R,18,0),"")="",CONFIG!$B$14,VLOOKUP(AA15,RULES!$A:$R,18,0))</f>
        <v/>
      </c>
      <c r="AR15" s="29">
        <f>IFERROR(VLOOKUP(AA15,RULES!$A:$S,19,0)*1,0)</f>
        <v/>
      </c>
      <c r="AS15" s="29">
        <f>IFERROR(VLOOKUP(AA15,RULES!$A:$T,20,0)*1,0)</f>
        <v/>
      </c>
      <c r="AT15" s="29">
        <f>IFERROR(VLOOKUP(AA15,RULES!$A:$U,21,0)*1,0)</f>
        <v/>
      </c>
      <c r="AU15" s="29">
        <f>IFERROR(VLOOKUP(AA15,RULES!$A:$V,22,0)*1,0)</f>
        <v/>
      </c>
      <c r="AV15" s="29">
        <f>IFERROR(VLOOKUP(AA15,RULES!$A:$W,23,0)*1,0)</f>
        <v/>
      </c>
      <c r="AW15" s="29">
        <f>IFERROR(IF(VLOOKUP(AA15,RULES!$A:$X,24,0)="",999999,VLOOKUP(AA15,RULES!$A:$X,24,0)*1),999999)</f>
        <v/>
      </c>
      <c r="AX15" s="29">
        <f>IFERROR(VLOOKUP(AA15,RULES!$A:$Y,25,0)*1,0)</f>
        <v/>
      </c>
      <c r="AY15" s="29">
        <f>IFERROR(VLOOKUP(AA15,RULES!$A:$Z,26,0),"NONE")</f>
        <v/>
      </c>
      <c r="AZ15" s="29">
        <f>IFERROR(VLOOKUP(AA15,RULES!$A:$AA,27,0)*1,0)</f>
        <v/>
      </c>
      <c r="BA15" s="29">
        <f>IFERROR(VLOOKUP(AA15,RULES!$A:$AB,28,0)*1,0)</f>
        <v/>
      </c>
    </row>
    <row r="16" ht="17" customHeight="1">
      <c r="A16" s="22" t="inlineStr">
        <is>
          <t>3313</t>
        </is>
      </c>
      <c r="B16" s="48" t="inlineStr">
        <is>
          <t>ACC003</t>
        </is>
      </c>
      <c r="C16" s="48" t="inlineStr">
        <is>
          <t>DEFAULT</t>
        </is>
      </c>
      <c r="D16" s="47" t="n"/>
      <c r="E16" s="22">
        <f>IF(OR(D16="",D16=0),"INACTIVE","ACTIVE")</f>
        <v/>
      </c>
      <c r="F16" s="48" t="inlineStr">
        <is>
          <t>NORMAL</t>
        </is>
      </c>
      <c r="G16" s="25" t="n"/>
      <c r="H16" s="25" t="n"/>
      <c r="I16" s="26">
        <f>IF(OR(E16="INACTIVE",H16=""),0,MAX(0,H16-G16))</f>
        <v/>
      </c>
      <c r="J16" s="23" t="n"/>
      <c r="K16" s="26">
        <f>IF(OR(E16="INACTIVE",H16=""),0,IF(AB16="DISABLED",0,IF(AB16="FLAT",AE16,IF(AB16="MANUAL",IF(J16="",0,J16*AC16),IF(AB16="STEP",IF(I16&lt;=AF16,I16*AG16,IF(I16&lt;=AH16,AF16*AG16+(I16-AF16)*AI16,AF16*AG16+(AH16-AF16)*AI16+(I16-AH16)*AK16)),MAX(I16*AC16,AD16))))))</f>
        <v/>
      </c>
      <c r="L16" s="26">
        <f>IF(OR(E16="INACTIVE",H16=""),0,IF(AL16="NONE",0,IF(AL16="FLAT",AM16,IF(AL16="PER_UNIT",I16*AN16,IF(AL16="MANUAL",IF(M16="",0,M16),0)))))</f>
        <v/>
      </c>
      <c r="M16" s="23" t="n"/>
      <c r="N16" s="48" t="inlineStr">
        <is>
          <t>NORMAL</t>
        </is>
      </c>
      <c r="O16" s="25" t="n"/>
      <c r="P16" s="25" t="n"/>
      <c r="Q16" s="26">
        <f>IF(OR(E16="INACTIVE",P16=""),0,MAX(0,P16-O16))</f>
        <v/>
      </c>
      <c r="R16" s="23" t="n"/>
      <c r="S16" s="26">
        <f>IF(OR(E16="INACTIVE",P16=""),0,IF(AO16="DISABLED",0,IF(AO16="FLAT",AR16,IF(AO16="MANUAL",IF(R16="",0,R16*AP16),IF(AO16="STEP",IF(Q16&lt;=AS16,Q16*AT16,IF(Q16&lt;=AU16,AS16*AT16+(Q16-AS16)*AV16,AS16*AT16+(AU16-AS16)*AV16+(Q16-AU16)*AX16)),MAX(Q16*AP16,AQ16))))))</f>
        <v/>
      </c>
      <c r="T16" s="26">
        <f>IF(OR(E16="INACTIVE",P16=""),0,IF(AY16="NONE",0,IF(AY16="FLAT",AZ16,IF(AY16="PER_UNIT",Q16*BA16,IF(AY16="MANUAL",IF(U16="",0,U16),0)))))</f>
        <v/>
      </c>
      <c r="U16" s="23" t="n"/>
      <c r="V16" s="25" t="n"/>
      <c r="W16" s="25" t="n"/>
      <c r="X16" s="26">
        <f>IF(E16="INACTIVE",0,D16+K16+L16+S16+T16+IF(V16="",0,V16)+IF(W16="",0,W16))</f>
        <v/>
      </c>
      <c r="Y16" s="27" t="n"/>
      <c r="Z16" s="28">
        <f>IF(E16="INACTIVE","_",IF(AND(G16&gt;0,H16&gt;0,H16&lt;G16),"[!]น้ำ reset ","")&amp;IF(AND(O16&gt;0,P16&gt;0,P16&lt;O16),"[!]ไฟ reset ","")&amp;IF(AND(F16="MANUAL",J16=""),"[X]units น้ำ ","")&amp;IF(AND(N16="MANUAL",R16=""),"[X]units ไฟ ","")&amp;IF(D16=0,"[!]ค่าเช่า=0",""))</f>
        <v/>
      </c>
      <c r="AA16" s="29">
        <f>IF(C16&lt;&gt;"",C16,CONFIG!$B$6)</f>
        <v/>
      </c>
      <c r="AB16" s="29">
        <f>IF(F16&lt;&gt;"",F16,IFERROR(VLOOKUP(AA16,RULES!$A:$C,3,0),CONFIG!$B$7))</f>
        <v/>
      </c>
      <c r="AC16" s="29">
        <f>IF(IFERROR(VLOOKUP(AA16,RULES!$A:$D,4,0),"")="",CONFIG!$B$10,VLOOKUP(AA16,RULES!$A:$D,4,0))</f>
        <v/>
      </c>
      <c r="AD16" s="29">
        <f>IF(IFERROR(VLOOKUP(AA16,RULES!$A:$E,5,0),"")="",CONFIG!$B$11,VLOOKUP(AA16,RULES!$A:$E,5,0))</f>
        <v/>
      </c>
      <c r="AE16" s="29">
        <f>IFERROR(VLOOKUP(AA16,RULES!$A:$F,6,0)*1,0)</f>
        <v/>
      </c>
      <c r="AF16" s="29">
        <f>IFERROR(VLOOKUP(AA16,RULES!$A:$G,7,0)*1,0)</f>
        <v/>
      </c>
      <c r="AG16" s="29">
        <f>IFERROR(VLOOKUP(AA16,RULES!$A:$H,8,0)*1,0)</f>
        <v/>
      </c>
      <c r="AH16" s="29">
        <f>IFERROR(VLOOKUP(AA16,RULES!$A:$I,9,0)*1,0)</f>
        <v/>
      </c>
      <c r="AI16" s="29">
        <f>IFERROR(VLOOKUP(AA16,RULES!$A:$J,10,0)*1,0)</f>
        <v/>
      </c>
      <c r="AJ16" s="29">
        <f>IFERROR(IF(VLOOKUP(AA16,RULES!$A:$K,11,0)="",999999,VLOOKUP(AA16,RULES!$A:$K,11,0)*1),999999)</f>
        <v/>
      </c>
      <c r="AK16" s="29">
        <f>IFERROR(VLOOKUP(AA16,RULES!$A:$L,12,0)*1,0)</f>
        <v/>
      </c>
      <c r="AL16" s="29">
        <f>IFERROR(VLOOKUP(AA16,RULES!$A:$M,13,0),"NONE")</f>
        <v/>
      </c>
      <c r="AM16" s="29">
        <f>IFERROR(VLOOKUP(AA16,RULES!$A:$N,14,0)*1,0)</f>
        <v/>
      </c>
      <c r="AN16" s="29">
        <f>IFERROR(VLOOKUP(AA16,RULES!$A:$O,15,0)*1,0)</f>
        <v/>
      </c>
      <c r="AO16" s="29">
        <f>IF(N16&lt;&gt;"",N16,IFERROR(VLOOKUP(AA16,RULES!$A:$P,16,0),CONFIG!$B$8))</f>
        <v/>
      </c>
      <c r="AP16" s="29">
        <f>IF(IFERROR(VLOOKUP(AA16,RULES!$A:$Q,17,0),"")="",CONFIG!$B$13,VLOOKUP(AA16,RULES!$A:$Q,17,0))</f>
        <v/>
      </c>
      <c r="AQ16" s="29">
        <f>IF(IFERROR(VLOOKUP(AA16,RULES!$A:$R,18,0),"")="",CONFIG!$B$14,VLOOKUP(AA16,RULES!$A:$R,18,0))</f>
        <v/>
      </c>
      <c r="AR16" s="29">
        <f>IFERROR(VLOOKUP(AA16,RULES!$A:$S,19,0)*1,0)</f>
        <v/>
      </c>
      <c r="AS16" s="29">
        <f>IFERROR(VLOOKUP(AA16,RULES!$A:$T,20,0)*1,0)</f>
        <v/>
      </c>
      <c r="AT16" s="29">
        <f>IFERROR(VLOOKUP(AA16,RULES!$A:$U,21,0)*1,0)</f>
        <v/>
      </c>
      <c r="AU16" s="29">
        <f>IFERROR(VLOOKUP(AA16,RULES!$A:$V,22,0)*1,0)</f>
        <v/>
      </c>
      <c r="AV16" s="29">
        <f>IFERROR(VLOOKUP(AA16,RULES!$A:$W,23,0)*1,0)</f>
        <v/>
      </c>
      <c r="AW16" s="29">
        <f>IFERROR(IF(VLOOKUP(AA16,RULES!$A:$X,24,0)="",999999,VLOOKUP(AA16,RULES!$A:$X,24,0)*1),999999)</f>
        <v/>
      </c>
      <c r="AX16" s="29">
        <f>IFERROR(VLOOKUP(AA16,RULES!$A:$Y,25,0)*1,0)</f>
        <v/>
      </c>
      <c r="AY16" s="29">
        <f>IFERROR(VLOOKUP(AA16,RULES!$A:$Z,26,0),"NONE")</f>
        <v/>
      </c>
      <c r="AZ16" s="29">
        <f>IFERROR(VLOOKUP(AA16,RULES!$A:$AA,27,0)*1,0)</f>
        <v/>
      </c>
      <c r="BA16" s="29">
        <f>IFERROR(VLOOKUP(AA16,RULES!$A:$AB,28,0)*1,0)</f>
        <v/>
      </c>
    </row>
    <row r="17" ht="17" customHeight="1">
      <c r="A17" s="22" t="inlineStr">
        <is>
          <t>3314</t>
        </is>
      </c>
      <c r="B17" s="48" t="inlineStr">
        <is>
          <t>ACC003</t>
        </is>
      </c>
      <c r="C17" s="48" t="inlineStr">
        <is>
          <t>DEFAULT</t>
        </is>
      </c>
      <c r="D17" s="47" t="n"/>
      <c r="E17" s="22">
        <f>IF(OR(D17="",D17=0),"INACTIVE","ACTIVE")</f>
        <v/>
      </c>
      <c r="F17" s="48" t="inlineStr">
        <is>
          <t>NORMAL</t>
        </is>
      </c>
      <c r="G17" s="25" t="n"/>
      <c r="H17" s="25" t="n"/>
      <c r="I17" s="26">
        <f>IF(OR(E17="INACTIVE",H17=""),0,MAX(0,H17-G17))</f>
        <v/>
      </c>
      <c r="J17" s="23" t="n"/>
      <c r="K17" s="26">
        <f>IF(OR(E17="INACTIVE",H17=""),0,IF(AB17="DISABLED",0,IF(AB17="FLAT",AE17,IF(AB17="MANUAL",IF(J17="",0,J17*AC17),IF(AB17="STEP",IF(I17&lt;=AF17,I17*AG17,IF(I17&lt;=AH17,AF17*AG17+(I17-AF17)*AI17,AF17*AG17+(AH17-AF17)*AI17+(I17-AH17)*AK17)),MAX(I17*AC17,AD17))))))</f>
        <v/>
      </c>
      <c r="L17" s="26">
        <f>IF(OR(E17="INACTIVE",H17=""),0,IF(AL17="NONE",0,IF(AL17="FLAT",AM17,IF(AL17="PER_UNIT",I17*AN17,IF(AL17="MANUAL",IF(M17="",0,M17),0)))))</f>
        <v/>
      </c>
      <c r="M17" s="23" t="n"/>
      <c r="N17" s="48" t="inlineStr">
        <is>
          <t>NORMAL</t>
        </is>
      </c>
      <c r="O17" s="25" t="n"/>
      <c r="P17" s="25" t="n"/>
      <c r="Q17" s="26">
        <f>IF(OR(E17="INACTIVE",P17=""),0,MAX(0,P17-O17))</f>
        <v/>
      </c>
      <c r="R17" s="23" t="n"/>
      <c r="S17" s="26">
        <f>IF(OR(E17="INACTIVE",P17=""),0,IF(AO17="DISABLED",0,IF(AO17="FLAT",AR17,IF(AO17="MANUAL",IF(R17="",0,R17*AP17),IF(AO17="STEP",IF(Q17&lt;=AS17,Q17*AT17,IF(Q17&lt;=AU17,AS17*AT17+(Q17-AS17)*AV17,AS17*AT17+(AU17-AS17)*AV17+(Q17-AU17)*AX17)),MAX(Q17*AP17,AQ17))))))</f>
        <v/>
      </c>
      <c r="T17" s="26">
        <f>IF(OR(E17="INACTIVE",P17=""),0,IF(AY17="NONE",0,IF(AY17="FLAT",AZ17,IF(AY17="PER_UNIT",Q17*BA17,IF(AY17="MANUAL",IF(U17="",0,U17),0)))))</f>
        <v/>
      </c>
      <c r="U17" s="23" t="n"/>
      <c r="V17" s="25" t="n"/>
      <c r="W17" s="25" t="n"/>
      <c r="X17" s="26">
        <f>IF(E17="INACTIVE",0,D17+K17+L17+S17+T17+IF(V17="",0,V17)+IF(W17="",0,W17))</f>
        <v/>
      </c>
      <c r="Y17" s="27" t="n"/>
      <c r="Z17" s="28">
        <f>IF(E17="INACTIVE","_",IF(AND(G17&gt;0,H17&gt;0,H17&lt;G17),"[!]น้ำ reset ","")&amp;IF(AND(O17&gt;0,P17&gt;0,P17&lt;O17),"[!]ไฟ reset ","")&amp;IF(AND(F17="MANUAL",J17=""),"[X]units น้ำ ","")&amp;IF(AND(N17="MANUAL",R17=""),"[X]units ไฟ ","")&amp;IF(D17=0,"[!]ค่าเช่า=0",""))</f>
        <v/>
      </c>
      <c r="AA17" s="29">
        <f>IF(C17&lt;&gt;"",C17,CONFIG!$B$6)</f>
        <v/>
      </c>
      <c r="AB17" s="29">
        <f>IF(F17&lt;&gt;"",F17,IFERROR(VLOOKUP(AA17,RULES!$A:$C,3,0),CONFIG!$B$7))</f>
        <v/>
      </c>
      <c r="AC17" s="29">
        <f>IF(IFERROR(VLOOKUP(AA17,RULES!$A:$D,4,0),"")="",CONFIG!$B$10,VLOOKUP(AA17,RULES!$A:$D,4,0))</f>
        <v/>
      </c>
      <c r="AD17" s="29">
        <f>IF(IFERROR(VLOOKUP(AA17,RULES!$A:$E,5,0),"")="",CONFIG!$B$11,VLOOKUP(AA17,RULES!$A:$E,5,0))</f>
        <v/>
      </c>
      <c r="AE17" s="29">
        <f>IFERROR(VLOOKUP(AA17,RULES!$A:$F,6,0)*1,0)</f>
        <v/>
      </c>
      <c r="AF17" s="29">
        <f>IFERROR(VLOOKUP(AA17,RULES!$A:$G,7,0)*1,0)</f>
        <v/>
      </c>
      <c r="AG17" s="29">
        <f>IFERROR(VLOOKUP(AA17,RULES!$A:$H,8,0)*1,0)</f>
        <v/>
      </c>
      <c r="AH17" s="29">
        <f>IFERROR(VLOOKUP(AA17,RULES!$A:$I,9,0)*1,0)</f>
        <v/>
      </c>
      <c r="AI17" s="29">
        <f>IFERROR(VLOOKUP(AA17,RULES!$A:$J,10,0)*1,0)</f>
        <v/>
      </c>
      <c r="AJ17" s="29">
        <f>IFERROR(IF(VLOOKUP(AA17,RULES!$A:$K,11,0)="",999999,VLOOKUP(AA17,RULES!$A:$K,11,0)*1),999999)</f>
        <v/>
      </c>
      <c r="AK17" s="29">
        <f>IFERROR(VLOOKUP(AA17,RULES!$A:$L,12,0)*1,0)</f>
        <v/>
      </c>
      <c r="AL17" s="29">
        <f>IFERROR(VLOOKUP(AA17,RULES!$A:$M,13,0),"NONE")</f>
        <v/>
      </c>
      <c r="AM17" s="29">
        <f>IFERROR(VLOOKUP(AA17,RULES!$A:$N,14,0)*1,0)</f>
        <v/>
      </c>
      <c r="AN17" s="29">
        <f>IFERROR(VLOOKUP(AA17,RULES!$A:$O,15,0)*1,0)</f>
        <v/>
      </c>
      <c r="AO17" s="29">
        <f>IF(N17&lt;&gt;"",N17,IFERROR(VLOOKUP(AA17,RULES!$A:$P,16,0),CONFIG!$B$8))</f>
        <v/>
      </c>
      <c r="AP17" s="29">
        <f>IF(IFERROR(VLOOKUP(AA17,RULES!$A:$Q,17,0),"")="",CONFIG!$B$13,VLOOKUP(AA17,RULES!$A:$Q,17,0))</f>
        <v/>
      </c>
      <c r="AQ17" s="29">
        <f>IF(IFERROR(VLOOKUP(AA17,RULES!$A:$R,18,0),"")="",CONFIG!$B$14,VLOOKUP(AA17,RULES!$A:$R,18,0))</f>
        <v/>
      </c>
      <c r="AR17" s="29">
        <f>IFERROR(VLOOKUP(AA17,RULES!$A:$S,19,0)*1,0)</f>
        <v/>
      </c>
      <c r="AS17" s="29">
        <f>IFERROR(VLOOKUP(AA17,RULES!$A:$T,20,0)*1,0)</f>
        <v/>
      </c>
      <c r="AT17" s="29">
        <f>IFERROR(VLOOKUP(AA17,RULES!$A:$U,21,0)*1,0)</f>
        <v/>
      </c>
      <c r="AU17" s="29">
        <f>IFERROR(VLOOKUP(AA17,RULES!$A:$V,22,0)*1,0)</f>
        <v/>
      </c>
      <c r="AV17" s="29">
        <f>IFERROR(VLOOKUP(AA17,RULES!$A:$W,23,0)*1,0)</f>
        <v/>
      </c>
      <c r="AW17" s="29">
        <f>IFERROR(IF(VLOOKUP(AA17,RULES!$A:$X,24,0)="",999999,VLOOKUP(AA17,RULES!$A:$X,24,0)*1),999999)</f>
        <v/>
      </c>
      <c r="AX17" s="29">
        <f>IFERROR(VLOOKUP(AA17,RULES!$A:$Y,25,0)*1,0)</f>
        <v/>
      </c>
      <c r="AY17" s="29">
        <f>IFERROR(VLOOKUP(AA17,RULES!$A:$Z,26,0),"NONE")</f>
        <v/>
      </c>
      <c r="AZ17" s="29">
        <f>IFERROR(VLOOKUP(AA17,RULES!$A:$AA,27,0)*1,0)</f>
        <v/>
      </c>
      <c r="BA17" s="29">
        <f>IFERROR(VLOOKUP(AA17,RULES!$A:$AB,28,0)*1,0)</f>
        <v/>
      </c>
    </row>
    <row r="18" ht="17" customHeight="1">
      <c r="A18" s="22" t="inlineStr">
        <is>
          <t>3315</t>
        </is>
      </c>
      <c r="B18" s="48" t="inlineStr">
        <is>
          <t>ACC003</t>
        </is>
      </c>
      <c r="C18" s="48" t="inlineStr">
        <is>
          <t>DEFAULT</t>
        </is>
      </c>
      <c r="D18" s="47" t="n"/>
      <c r="E18" s="22">
        <f>IF(OR(D18="",D18=0),"INACTIVE","ACTIVE")</f>
        <v/>
      </c>
      <c r="F18" s="48" t="inlineStr">
        <is>
          <t>NORMAL</t>
        </is>
      </c>
      <c r="G18" s="25" t="n"/>
      <c r="H18" s="25" t="n"/>
      <c r="I18" s="26">
        <f>IF(OR(E18="INACTIVE",H18=""),0,MAX(0,H18-G18))</f>
        <v/>
      </c>
      <c r="J18" s="23" t="n"/>
      <c r="K18" s="26">
        <f>IF(OR(E18="INACTIVE",H18=""),0,IF(AB18="DISABLED",0,IF(AB18="FLAT",AE18,IF(AB18="MANUAL",IF(J18="",0,J18*AC18),IF(AB18="STEP",IF(I18&lt;=AF18,I18*AG18,IF(I18&lt;=AH18,AF18*AG18+(I18-AF18)*AI18,AF18*AG18+(AH18-AF18)*AI18+(I18-AH18)*AK18)),MAX(I18*AC18,AD18))))))</f>
        <v/>
      </c>
      <c r="L18" s="26">
        <f>IF(OR(E18="INACTIVE",H18=""),0,IF(AL18="NONE",0,IF(AL18="FLAT",AM18,IF(AL18="PER_UNIT",I18*AN18,IF(AL18="MANUAL",IF(M18="",0,M18),0)))))</f>
        <v/>
      </c>
      <c r="M18" s="23" t="n"/>
      <c r="N18" s="48" t="inlineStr">
        <is>
          <t>NORMAL</t>
        </is>
      </c>
      <c r="O18" s="25" t="n"/>
      <c r="P18" s="25" t="n"/>
      <c r="Q18" s="26">
        <f>IF(OR(E18="INACTIVE",P18=""),0,MAX(0,P18-O18))</f>
        <v/>
      </c>
      <c r="R18" s="23" t="n"/>
      <c r="S18" s="26">
        <f>IF(OR(E18="INACTIVE",P18=""),0,IF(AO18="DISABLED",0,IF(AO18="FLAT",AR18,IF(AO18="MANUAL",IF(R18="",0,R18*AP18),IF(AO18="STEP",IF(Q18&lt;=AS18,Q18*AT18,IF(Q18&lt;=AU18,AS18*AT18+(Q18-AS18)*AV18,AS18*AT18+(AU18-AS18)*AV18+(Q18-AU18)*AX18)),MAX(Q18*AP18,AQ18))))))</f>
        <v/>
      </c>
      <c r="T18" s="26">
        <f>IF(OR(E18="INACTIVE",P18=""),0,IF(AY18="NONE",0,IF(AY18="FLAT",AZ18,IF(AY18="PER_UNIT",Q18*BA18,IF(AY18="MANUAL",IF(U18="",0,U18),0)))))</f>
        <v/>
      </c>
      <c r="U18" s="23" t="n"/>
      <c r="V18" s="25" t="n"/>
      <c r="W18" s="25" t="n"/>
      <c r="X18" s="26">
        <f>IF(E18="INACTIVE",0,D18+K18+L18+S18+T18+IF(V18="",0,V18)+IF(W18="",0,W18))</f>
        <v/>
      </c>
      <c r="Y18" s="27" t="n"/>
      <c r="Z18" s="28">
        <f>IF(E18="INACTIVE","_",IF(AND(G18&gt;0,H18&gt;0,H18&lt;G18),"[!]น้ำ reset ","")&amp;IF(AND(O18&gt;0,P18&gt;0,P18&lt;O18),"[!]ไฟ reset ","")&amp;IF(AND(F18="MANUAL",J18=""),"[X]units น้ำ ","")&amp;IF(AND(N18="MANUAL",R18=""),"[X]units ไฟ ","")&amp;IF(D18=0,"[!]ค่าเช่า=0",""))</f>
        <v/>
      </c>
      <c r="AA18" s="29">
        <f>IF(C18&lt;&gt;"",C18,CONFIG!$B$6)</f>
        <v/>
      </c>
      <c r="AB18" s="29">
        <f>IF(F18&lt;&gt;"",F18,IFERROR(VLOOKUP(AA18,RULES!$A:$C,3,0),CONFIG!$B$7))</f>
        <v/>
      </c>
      <c r="AC18" s="29">
        <f>IF(IFERROR(VLOOKUP(AA18,RULES!$A:$D,4,0),"")="",CONFIG!$B$10,VLOOKUP(AA18,RULES!$A:$D,4,0))</f>
        <v/>
      </c>
      <c r="AD18" s="29">
        <f>IF(IFERROR(VLOOKUP(AA18,RULES!$A:$E,5,0),"")="",CONFIG!$B$11,VLOOKUP(AA18,RULES!$A:$E,5,0))</f>
        <v/>
      </c>
      <c r="AE18" s="29">
        <f>IFERROR(VLOOKUP(AA18,RULES!$A:$F,6,0)*1,0)</f>
        <v/>
      </c>
      <c r="AF18" s="29">
        <f>IFERROR(VLOOKUP(AA18,RULES!$A:$G,7,0)*1,0)</f>
        <v/>
      </c>
      <c r="AG18" s="29">
        <f>IFERROR(VLOOKUP(AA18,RULES!$A:$H,8,0)*1,0)</f>
        <v/>
      </c>
      <c r="AH18" s="29">
        <f>IFERROR(VLOOKUP(AA18,RULES!$A:$I,9,0)*1,0)</f>
        <v/>
      </c>
      <c r="AI18" s="29">
        <f>IFERROR(VLOOKUP(AA18,RULES!$A:$J,10,0)*1,0)</f>
        <v/>
      </c>
      <c r="AJ18" s="29">
        <f>IFERROR(IF(VLOOKUP(AA18,RULES!$A:$K,11,0)="",999999,VLOOKUP(AA18,RULES!$A:$K,11,0)*1),999999)</f>
        <v/>
      </c>
      <c r="AK18" s="29">
        <f>IFERROR(VLOOKUP(AA18,RULES!$A:$L,12,0)*1,0)</f>
        <v/>
      </c>
      <c r="AL18" s="29">
        <f>IFERROR(VLOOKUP(AA18,RULES!$A:$M,13,0),"NONE")</f>
        <v/>
      </c>
      <c r="AM18" s="29">
        <f>IFERROR(VLOOKUP(AA18,RULES!$A:$N,14,0)*1,0)</f>
        <v/>
      </c>
      <c r="AN18" s="29">
        <f>IFERROR(VLOOKUP(AA18,RULES!$A:$O,15,0)*1,0)</f>
        <v/>
      </c>
      <c r="AO18" s="29">
        <f>IF(N18&lt;&gt;"",N18,IFERROR(VLOOKUP(AA18,RULES!$A:$P,16,0),CONFIG!$B$8))</f>
        <v/>
      </c>
      <c r="AP18" s="29">
        <f>IF(IFERROR(VLOOKUP(AA18,RULES!$A:$Q,17,0),"")="",CONFIG!$B$13,VLOOKUP(AA18,RULES!$A:$Q,17,0))</f>
        <v/>
      </c>
      <c r="AQ18" s="29">
        <f>IF(IFERROR(VLOOKUP(AA18,RULES!$A:$R,18,0),"")="",CONFIG!$B$14,VLOOKUP(AA18,RULES!$A:$R,18,0))</f>
        <v/>
      </c>
      <c r="AR18" s="29">
        <f>IFERROR(VLOOKUP(AA18,RULES!$A:$S,19,0)*1,0)</f>
        <v/>
      </c>
      <c r="AS18" s="29">
        <f>IFERROR(VLOOKUP(AA18,RULES!$A:$T,20,0)*1,0)</f>
        <v/>
      </c>
      <c r="AT18" s="29">
        <f>IFERROR(VLOOKUP(AA18,RULES!$A:$U,21,0)*1,0)</f>
        <v/>
      </c>
      <c r="AU18" s="29">
        <f>IFERROR(VLOOKUP(AA18,RULES!$A:$V,22,0)*1,0)</f>
        <v/>
      </c>
      <c r="AV18" s="29">
        <f>IFERROR(VLOOKUP(AA18,RULES!$A:$W,23,0)*1,0)</f>
        <v/>
      </c>
      <c r="AW18" s="29">
        <f>IFERROR(IF(VLOOKUP(AA18,RULES!$A:$X,24,0)="",999999,VLOOKUP(AA18,RULES!$A:$X,24,0)*1),999999)</f>
        <v/>
      </c>
      <c r="AX18" s="29">
        <f>IFERROR(VLOOKUP(AA18,RULES!$A:$Y,25,0)*1,0)</f>
        <v/>
      </c>
      <c r="AY18" s="29">
        <f>IFERROR(VLOOKUP(AA18,RULES!$A:$Z,26,0),"NONE")</f>
        <v/>
      </c>
      <c r="AZ18" s="29">
        <f>IFERROR(VLOOKUP(AA18,RULES!$A:$AA,27,0)*1,0)</f>
        <v/>
      </c>
      <c r="BA18" s="29">
        <f>IFERROR(VLOOKUP(AA18,RULES!$A:$AB,28,0)*1,0)</f>
        <v/>
      </c>
    </row>
    <row r="19" ht="17" customHeight="1">
      <c r="A19" s="22" t="inlineStr">
        <is>
          <t>3316</t>
        </is>
      </c>
      <c r="B19" s="48" t="inlineStr">
        <is>
          <t>ACC003</t>
        </is>
      </c>
      <c r="C19" s="48" t="inlineStr">
        <is>
          <t>DEFAULT</t>
        </is>
      </c>
      <c r="D19" s="47" t="n"/>
      <c r="E19" s="22">
        <f>IF(OR(D19="",D19=0),"INACTIVE","ACTIVE")</f>
        <v/>
      </c>
      <c r="F19" s="48" t="inlineStr">
        <is>
          <t>NORMAL</t>
        </is>
      </c>
      <c r="G19" s="25" t="n"/>
      <c r="H19" s="25" t="n"/>
      <c r="I19" s="26">
        <f>IF(OR(E19="INACTIVE",H19=""),0,MAX(0,H19-G19))</f>
        <v/>
      </c>
      <c r="J19" s="23" t="n"/>
      <c r="K19" s="26">
        <f>IF(OR(E19="INACTIVE",H19=""),0,IF(AB19="DISABLED",0,IF(AB19="FLAT",AE19,IF(AB19="MANUAL",IF(J19="",0,J19*AC19),IF(AB19="STEP",IF(I19&lt;=AF19,I19*AG19,IF(I19&lt;=AH19,AF19*AG19+(I19-AF19)*AI19,AF19*AG19+(AH19-AF19)*AI19+(I19-AH19)*AK19)),MAX(I19*AC19,AD19))))))</f>
        <v/>
      </c>
      <c r="L19" s="26">
        <f>IF(OR(E19="INACTIVE",H19=""),0,IF(AL19="NONE",0,IF(AL19="FLAT",AM19,IF(AL19="PER_UNIT",I19*AN19,IF(AL19="MANUAL",IF(M19="",0,M19),0)))))</f>
        <v/>
      </c>
      <c r="M19" s="23" t="n"/>
      <c r="N19" s="48" t="inlineStr">
        <is>
          <t>NORMAL</t>
        </is>
      </c>
      <c r="O19" s="25" t="n"/>
      <c r="P19" s="25" t="n"/>
      <c r="Q19" s="26">
        <f>IF(OR(E19="INACTIVE",P19=""),0,MAX(0,P19-O19))</f>
        <v/>
      </c>
      <c r="R19" s="23" t="n"/>
      <c r="S19" s="26">
        <f>IF(OR(E19="INACTIVE",P19=""),0,IF(AO19="DISABLED",0,IF(AO19="FLAT",AR19,IF(AO19="MANUAL",IF(R19="",0,R19*AP19),IF(AO19="STEP",IF(Q19&lt;=AS19,Q19*AT19,IF(Q19&lt;=AU19,AS19*AT19+(Q19-AS19)*AV19,AS19*AT19+(AU19-AS19)*AV19+(Q19-AU19)*AX19)),MAX(Q19*AP19,AQ19))))))</f>
        <v/>
      </c>
      <c r="T19" s="26">
        <f>IF(OR(E19="INACTIVE",P19=""),0,IF(AY19="NONE",0,IF(AY19="FLAT",AZ19,IF(AY19="PER_UNIT",Q19*BA19,IF(AY19="MANUAL",IF(U19="",0,U19),0)))))</f>
        <v/>
      </c>
      <c r="U19" s="23" t="n"/>
      <c r="V19" s="25" t="n"/>
      <c r="W19" s="25" t="n"/>
      <c r="X19" s="26">
        <f>IF(E19="INACTIVE",0,D19+K19+L19+S19+T19+IF(V19="",0,V19)+IF(W19="",0,W19))</f>
        <v/>
      </c>
      <c r="Y19" s="27" t="n"/>
      <c r="Z19" s="28">
        <f>IF(E19="INACTIVE","_",IF(AND(G19&gt;0,H19&gt;0,H19&lt;G19),"[!]น้ำ reset ","")&amp;IF(AND(O19&gt;0,P19&gt;0,P19&lt;O19),"[!]ไฟ reset ","")&amp;IF(AND(F19="MANUAL",J19=""),"[X]units น้ำ ","")&amp;IF(AND(N19="MANUAL",R19=""),"[X]units ไฟ ","")&amp;IF(D19=0,"[!]ค่าเช่า=0",""))</f>
        <v/>
      </c>
      <c r="AA19" s="29">
        <f>IF(C19&lt;&gt;"",C19,CONFIG!$B$6)</f>
        <v/>
      </c>
      <c r="AB19" s="29">
        <f>IF(F19&lt;&gt;"",F19,IFERROR(VLOOKUP(AA19,RULES!$A:$C,3,0),CONFIG!$B$7))</f>
        <v/>
      </c>
      <c r="AC19" s="29">
        <f>IF(IFERROR(VLOOKUP(AA19,RULES!$A:$D,4,0),"")="",CONFIG!$B$10,VLOOKUP(AA19,RULES!$A:$D,4,0))</f>
        <v/>
      </c>
      <c r="AD19" s="29">
        <f>IF(IFERROR(VLOOKUP(AA19,RULES!$A:$E,5,0),"")="",CONFIG!$B$11,VLOOKUP(AA19,RULES!$A:$E,5,0))</f>
        <v/>
      </c>
      <c r="AE19" s="29">
        <f>IFERROR(VLOOKUP(AA19,RULES!$A:$F,6,0)*1,0)</f>
        <v/>
      </c>
      <c r="AF19" s="29">
        <f>IFERROR(VLOOKUP(AA19,RULES!$A:$G,7,0)*1,0)</f>
        <v/>
      </c>
      <c r="AG19" s="29">
        <f>IFERROR(VLOOKUP(AA19,RULES!$A:$H,8,0)*1,0)</f>
        <v/>
      </c>
      <c r="AH19" s="29">
        <f>IFERROR(VLOOKUP(AA19,RULES!$A:$I,9,0)*1,0)</f>
        <v/>
      </c>
      <c r="AI19" s="29">
        <f>IFERROR(VLOOKUP(AA19,RULES!$A:$J,10,0)*1,0)</f>
        <v/>
      </c>
      <c r="AJ19" s="29">
        <f>IFERROR(IF(VLOOKUP(AA19,RULES!$A:$K,11,0)="",999999,VLOOKUP(AA19,RULES!$A:$K,11,0)*1),999999)</f>
        <v/>
      </c>
      <c r="AK19" s="29">
        <f>IFERROR(VLOOKUP(AA19,RULES!$A:$L,12,0)*1,0)</f>
        <v/>
      </c>
      <c r="AL19" s="29">
        <f>IFERROR(VLOOKUP(AA19,RULES!$A:$M,13,0),"NONE")</f>
        <v/>
      </c>
      <c r="AM19" s="29">
        <f>IFERROR(VLOOKUP(AA19,RULES!$A:$N,14,0)*1,0)</f>
        <v/>
      </c>
      <c r="AN19" s="29">
        <f>IFERROR(VLOOKUP(AA19,RULES!$A:$O,15,0)*1,0)</f>
        <v/>
      </c>
      <c r="AO19" s="29">
        <f>IF(N19&lt;&gt;"",N19,IFERROR(VLOOKUP(AA19,RULES!$A:$P,16,0),CONFIG!$B$8))</f>
        <v/>
      </c>
      <c r="AP19" s="29">
        <f>IF(IFERROR(VLOOKUP(AA19,RULES!$A:$Q,17,0),"")="",CONFIG!$B$13,VLOOKUP(AA19,RULES!$A:$Q,17,0))</f>
        <v/>
      </c>
      <c r="AQ19" s="29">
        <f>IF(IFERROR(VLOOKUP(AA19,RULES!$A:$R,18,0),"")="",CONFIG!$B$14,VLOOKUP(AA19,RULES!$A:$R,18,0))</f>
        <v/>
      </c>
      <c r="AR19" s="29">
        <f>IFERROR(VLOOKUP(AA19,RULES!$A:$S,19,0)*1,0)</f>
        <v/>
      </c>
      <c r="AS19" s="29">
        <f>IFERROR(VLOOKUP(AA19,RULES!$A:$T,20,0)*1,0)</f>
        <v/>
      </c>
      <c r="AT19" s="29">
        <f>IFERROR(VLOOKUP(AA19,RULES!$A:$U,21,0)*1,0)</f>
        <v/>
      </c>
      <c r="AU19" s="29">
        <f>IFERROR(VLOOKUP(AA19,RULES!$A:$V,22,0)*1,0)</f>
        <v/>
      </c>
      <c r="AV19" s="29">
        <f>IFERROR(VLOOKUP(AA19,RULES!$A:$W,23,0)*1,0)</f>
        <v/>
      </c>
      <c r="AW19" s="29">
        <f>IFERROR(IF(VLOOKUP(AA19,RULES!$A:$X,24,0)="",999999,VLOOKUP(AA19,RULES!$A:$X,24,0)*1),999999)</f>
        <v/>
      </c>
      <c r="AX19" s="29">
        <f>IFERROR(VLOOKUP(AA19,RULES!$A:$Y,25,0)*1,0)</f>
        <v/>
      </c>
      <c r="AY19" s="29">
        <f>IFERROR(VLOOKUP(AA19,RULES!$A:$Z,26,0),"NONE")</f>
        <v/>
      </c>
      <c r="AZ19" s="29">
        <f>IFERROR(VLOOKUP(AA19,RULES!$A:$AA,27,0)*1,0)</f>
        <v/>
      </c>
      <c r="BA19" s="29">
        <f>IFERROR(VLOOKUP(AA19,RULES!$A:$AB,28,0)*1,0)</f>
        <v/>
      </c>
    </row>
    <row r="20" ht="17" customHeight="1">
      <c r="A20" s="22" t="inlineStr">
        <is>
          <t>3317</t>
        </is>
      </c>
      <c r="B20" s="48" t="inlineStr">
        <is>
          <t>ACC003</t>
        </is>
      </c>
      <c r="C20" s="48" t="inlineStr">
        <is>
          <t>DEFAULT</t>
        </is>
      </c>
      <c r="D20" s="47" t="n"/>
      <c r="E20" s="22">
        <f>IF(OR(D20="",D20=0),"INACTIVE","ACTIVE")</f>
        <v/>
      </c>
      <c r="F20" s="48" t="inlineStr">
        <is>
          <t>NORMAL</t>
        </is>
      </c>
      <c r="G20" s="25" t="n"/>
      <c r="H20" s="25" t="n"/>
      <c r="I20" s="26">
        <f>IF(OR(E20="INACTIVE",H20=""),0,MAX(0,H20-G20))</f>
        <v/>
      </c>
      <c r="J20" s="23" t="n"/>
      <c r="K20" s="26">
        <f>IF(OR(E20="INACTIVE",H20=""),0,IF(AB20="DISABLED",0,IF(AB20="FLAT",AE20,IF(AB20="MANUAL",IF(J20="",0,J20*AC20),IF(AB20="STEP",IF(I20&lt;=AF20,I20*AG20,IF(I20&lt;=AH20,AF20*AG20+(I20-AF20)*AI20,AF20*AG20+(AH20-AF20)*AI20+(I20-AH20)*AK20)),MAX(I20*AC20,AD20))))))</f>
        <v/>
      </c>
      <c r="L20" s="26">
        <f>IF(OR(E20="INACTIVE",H20=""),0,IF(AL20="NONE",0,IF(AL20="FLAT",AM20,IF(AL20="PER_UNIT",I20*AN20,IF(AL20="MANUAL",IF(M20="",0,M20),0)))))</f>
        <v/>
      </c>
      <c r="M20" s="23" t="n"/>
      <c r="N20" s="48" t="inlineStr">
        <is>
          <t>NORMAL</t>
        </is>
      </c>
      <c r="O20" s="25" t="n"/>
      <c r="P20" s="25" t="n"/>
      <c r="Q20" s="26">
        <f>IF(OR(E20="INACTIVE",P20=""),0,MAX(0,P20-O20))</f>
        <v/>
      </c>
      <c r="R20" s="23" t="n"/>
      <c r="S20" s="26">
        <f>IF(OR(E20="INACTIVE",P20=""),0,IF(AO20="DISABLED",0,IF(AO20="FLAT",AR20,IF(AO20="MANUAL",IF(R20="",0,R20*AP20),IF(AO20="STEP",IF(Q20&lt;=AS20,Q20*AT20,IF(Q20&lt;=AU20,AS20*AT20+(Q20-AS20)*AV20,AS20*AT20+(AU20-AS20)*AV20+(Q20-AU20)*AX20)),MAX(Q20*AP20,AQ20))))))</f>
        <v/>
      </c>
      <c r="T20" s="26">
        <f>IF(OR(E20="INACTIVE",P20=""),0,IF(AY20="NONE",0,IF(AY20="FLAT",AZ20,IF(AY20="PER_UNIT",Q20*BA20,IF(AY20="MANUAL",IF(U20="",0,U20),0)))))</f>
        <v/>
      </c>
      <c r="U20" s="23" t="n"/>
      <c r="V20" s="25" t="n"/>
      <c r="W20" s="25" t="n"/>
      <c r="X20" s="26">
        <f>IF(E20="INACTIVE",0,D20+K20+L20+S20+T20+IF(V20="",0,V20)+IF(W20="",0,W20))</f>
        <v/>
      </c>
      <c r="Y20" s="27" t="n"/>
      <c r="Z20" s="28">
        <f>IF(E20="INACTIVE","_",IF(AND(G20&gt;0,H20&gt;0,H20&lt;G20),"[!]น้ำ reset ","")&amp;IF(AND(O20&gt;0,P20&gt;0,P20&lt;O20),"[!]ไฟ reset ","")&amp;IF(AND(F20="MANUAL",J20=""),"[X]units น้ำ ","")&amp;IF(AND(N20="MANUAL",R20=""),"[X]units ไฟ ","")&amp;IF(D20=0,"[!]ค่าเช่า=0",""))</f>
        <v/>
      </c>
      <c r="AA20" s="29">
        <f>IF(C20&lt;&gt;"",C20,CONFIG!$B$6)</f>
        <v/>
      </c>
      <c r="AB20" s="29">
        <f>IF(F20&lt;&gt;"",F20,IFERROR(VLOOKUP(AA20,RULES!$A:$C,3,0),CONFIG!$B$7))</f>
        <v/>
      </c>
      <c r="AC20" s="29">
        <f>IF(IFERROR(VLOOKUP(AA20,RULES!$A:$D,4,0),"")="",CONFIG!$B$10,VLOOKUP(AA20,RULES!$A:$D,4,0))</f>
        <v/>
      </c>
      <c r="AD20" s="29">
        <f>IF(IFERROR(VLOOKUP(AA20,RULES!$A:$E,5,0),"")="",CONFIG!$B$11,VLOOKUP(AA20,RULES!$A:$E,5,0))</f>
        <v/>
      </c>
      <c r="AE20" s="29">
        <f>IFERROR(VLOOKUP(AA20,RULES!$A:$F,6,0)*1,0)</f>
        <v/>
      </c>
      <c r="AF20" s="29">
        <f>IFERROR(VLOOKUP(AA20,RULES!$A:$G,7,0)*1,0)</f>
        <v/>
      </c>
      <c r="AG20" s="29">
        <f>IFERROR(VLOOKUP(AA20,RULES!$A:$H,8,0)*1,0)</f>
        <v/>
      </c>
      <c r="AH20" s="29">
        <f>IFERROR(VLOOKUP(AA20,RULES!$A:$I,9,0)*1,0)</f>
        <v/>
      </c>
      <c r="AI20" s="29">
        <f>IFERROR(VLOOKUP(AA20,RULES!$A:$J,10,0)*1,0)</f>
        <v/>
      </c>
      <c r="AJ20" s="29">
        <f>IFERROR(IF(VLOOKUP(AA20,RULES!$A:$K,11,0)="",999999,VLOOKUP(AA20,RULES!$A:$K,11,0)*1),999999)</f>
        <v/>
      </c>
      <c r="AK20" s="29">
        <f>IFERROR(VLOOKUP(AA20,RULES!$A:$L,12,0)*1,0)</f>
        <v/>
      </c>
      <c r="AL20" s="29">
        <f>IFERROR(VLOOKUP(AA20,RULES!$A:$M,13,0),"NONE")</f>
        <v/>
      </c>
      <c r="AM20" s="29">
        <f>IFERROR(VLOOKUP(AA20,RULES!$A:$N,14,0)*1,0)</f>
        <v/>
      </c>
      <c r="AN20" s="29">
        <f>IFERROR(VLOOKUP(AA20,RULES!$A:$O,15,0)*1,0)</f>
        <v/>
      </c>
      <c r="AO20" s="29">
        <f>IF(N20&lt;&gt;"",N20,IFERROR(VLOOKUP(AA20,RULES!$A:$P,16,0),CONFIG!$B$8))</f>
        <v/>
      </c>
      <c r="AP20" s="29">
        <f>IF(IFERROR(VLOOKUP(AA20,RULES!$A:$Q,17,0),"")="",CONFIG!$B$13,VLOOKUP(AA20,RULES!$A:$Q,17,0))</f>
        <v/>
      </c>
      <c r="AQ20" s="29">
        <f>IF(IFERROR(VLOOKUP(AA20,RULES!$A:$R,18,0),"")="",CONFIG!$B$14,VLOOKUP(AA20,RULES!$A:$R,18,0))</f>
        <v/>
      </c>
      <c r="AR20" s="29">
        <f>IFERROR(VLOOKUP(AA20,RULES!$A:$S,19,0)*1,0)</f>
        <v/>
      </c>
      <c r="AS20" s="29">
        <f>IFERROR(VLOOKUP(AA20,RULES!$A:$T,20,0)*1,0)</f>
        <v/>
      </c>
      <c r="AT20" s="29">
        <f>IFERROR(VLOOKUP(AA20,RULES!$A:$U,21,0)*1,0)</f>
        <v/>
      </c>
      <c r="AU20" s="29">
        <f>IFERROR(VLOOKUP(AA20,RULES!$A:$V,22,0)*1,0)</f>
        <v/>
      </c>
      <c r="AV20" s="29">
        <f>IFERROR(VLOOKUP(AA20,RULES!$A:$W,23,0)*1,0)</f>
        <v/>
      </c>
      <c r="AW20" s="29">
        <f>IFERROR(IF(VLOOKUP(AA20,RULES!$A:$X,24,0)="",999999,VLOOKUP(AA20,RULES!$A:$X,24,0)*1),999999)</f>
        <v/>
      </c>
      <c r="AX20" s="29">
        <f>IFERROR(VLOOKUP(AA20,RULES!$A:$Y,25,0)*1,0)</f>
        <v/>
      </c>
      <c r="AY20" s="29">
        <f>IFERROR(VLOOKUP(AA20,RULES!$A:$Z,26,0),"NONE")</f>
        <v/>
      </c>
      <c r="AZ20" s="29">
        <f>IFERROR(VLOOKUP(AA20,RULES!$A:$AA,27,0)*1,0)</f>
        <v/>
      </c>
      <c r="BA20" s="29">
        <f>IFERROR(VLOOKUP(AA20,RULES!$A:$AB,28,0)*1,0)</f>
        <v/>
      </c>
    </row>
    <row r="21" ht="17" customHeight="1">
      <c r="A21" s="22" t="inlineStr">
        <is>
          <t>3318</t>
        </is>
      </c>
      <c r="B21" s="48" t="inlineStr">
        <is>
          <t>ACC003</t>
        </is>
      </c>
      <c r="C21" s="48" t="inlineStr">
        <is>
          <t>DEFAULT</t>
        </is>
      </c>
      <c r="D21" s="47" t="n"/>
      <c r="E21" s="22">
        <f>IF(OR(D21="",D21=0),"INACTIVE","ACTIVE")</f>
        <v/>
      </c>
      <c r="F21" s="48" t="inlineStr">
        <is>
          <t>NORMAL</t>
        </is>
      </c>
      <c r="G21" s="25" t="n"/>
      <c r="H21" s="25" t="n"/>
      <c r="I21" s="26">
        <f>IF(OR(E21="INACTIVE",H21=""),0,MAX(0,H21-G21))</f>
        <v/>
      </c>
      <c r="J21" s="23" t="n"/>
      <c r="K21" s="26">
        <f>IF(OR(E21="INACTIVE",H21=""),0,IF(AB21="DISABLED",0,IF(AB21="FLAT",AE21,IF(AB21="MANUAL",IF(J21="",0,J21*AC21),IF(AB21="STEP",IF(I21&lt;=AF21,I21*AG21,IF(I21&lt;=AH21,AF21*AG21+(I21-AF21)*AI21,AF21*AG21+(AH21-AF21)*AI21+(I21-AH21)*AK21)),MAX(I21*AC21,AD21))))))</f>
        <v/>
      </c>
      <c r="L21" s="26">
        <f>IF(OR(E21="INACTIVE",H21=""),0,IF(AL21="NONE",0,IF(AL21="FLAT",AM21,IF(AL21="PER_UNIT",I21*AN21,IF(AL21="MANUAL",IF(M21="",0,M21),0)))))</f>
        <v/>
      </c>
      <c r="M21" s="23" t="n"/>
      <c r="N21" s="48" t="inlineStr">
        <is>
          <t>NORMAL</t>
        </is>
      </c>
      <c r="O21" s="25" t="n"/>
      <c r="P21" s="25" t="n"/>
      <c r="Q21" s="26">
        <f>IF(OR(E21="INACTIVE",P21=""),0,MAX(0,P21-O21))</f>
        <v/>
      </c>
      <c r="R21" s="23" t="n"/>
      <c r="S21" s="26">
        <f>IF(OR(E21="INACTIVE",P21=""),0,IF(AO21="DISABLED",0,IF(AO21="FLAT",AR21,IF(AO21="MANUAL",IF(R21="",0,R21*AP21),IF(AO21="STEP",IF(Q21&lt;=AS21,Q21*AT21,IF(Q21&lt;=AU21,AS21*AT21+(Q21-AS21)*AV21,AS21*AT21+(AU21-AS21)*AV21+(Q21-AU21)*AX21)),MAX(Q21*AP21,AQ21))))))</f>
        <v/>
      </c>
      <c r="T21" s="26">
        <f>IF(OR(E21="INACTIVE",P21=""),0,IF(AY21="NONE",0,IF(AY21="FLAT",AZ21,IF(AY21="PER_UNIT",Q21*BA21,IF(AY21="MANUAL",IF(U21="",0,U21),0)))))</f>
        <v/>
      </c>
      <c r="U21" s="23" t="n"/>
      <c r="V21" s="25" t="n"/>
      <c r="W21" s="25" t="n"/>
      <c r="X21" s="26">
        <f>IF(E21="INACTIVE",0,D21+K21+L21+S21+T21+IF(V21="",0,V21)+IF(W21="",0,W21))</f>
        <v/>
      </c>
      <c r="Y21" s="27" t="n"/>
      <c r="Z21" s="28">
        <f>IF(E21="INACTIVE","_",IF(AND(G21&gt;0,H21&gt;0,H21&lt;G21),"[!]น้ำ reset ","")&amp;IF(AND(O21&gt;0,P21&gt;0,P21&lt;O21),"[!]ไฟ reset ","")&amp;IF(AND(F21="MANUAL",J21=""),"[X]units น้ำ ","")&amp;IF(AND(N21="MANUAL",R21=""),"[X]units ไฟ ","")&amp;IF(D21=0,"[!]ค่าเช่า=0",""))</f>
        <v/>
      </c>
      <c r="AA21" s="29">
        <f>IF(C21&lt;&gt;"",C21,CONFIG!$B$6)</f>
        <v/>
      </c>
      <c r="AB21" s="29">
        <f>IF(F21&lt;&gt;"",F21,IFERROR(VLOOKUP(AA21,RULES!$A:$C,3,0),CONFIG!$B$7))</f>
        <v/>
      </c>
      <c r="AC21" s="29">
        <f>IF(IFERROR(VLOOKUP(AA21,RULES!$A:$D,4,0),"")="",CONFIG!$B$10,VLOOKUP(AA21,RULES!$A:$D,4,0))</f>
        <v/>
      </c>
      <c r="AD21" s="29">
        <f>IF(IFERROR(VLOOKUP(AA21,RULES!$A:$E,5,0),"")="",CONFIG!$B$11,VLOOKUP(AA21,RULES!$A:$E,5,0))</f>
        <v/>
      </c>
      <c r="AE21" s="29">
        <f>IFERROR(VLOOKUP(AA21,RULES!$A:$F,6,0)*1,0)</f>
        <v/>
      </c>
      <c r="AF21" s="29">
        <f>IFERROR(VLOOKUP(AA21,RULES!$A:$G,7,0)*1,0)</f>
        <v/>
      </c>
      <c r="AG21" s="29">
        <f>IFERROR(VLOOKUP(AA21,RULES!$A:$H,8,0)*1,0)</f>
        <v/>
      </c>
      <c r="AH21" s="29">
        <f>IFERROR(VLOOKUP(AA21,RULES!$A:$I,9,0)*1,0)</f>
        <v/>
      </c>
      <c r="AI21" s="29">
        <f>IFERROR(VLOOKUP(AA21,RULES!$A:$J,10,0)*1,0)</f>
        <v/>
      </c>
      <c r="AJ21" s="29">
        <f>IFERROR(IF(VLOOKUP(AA21,RULES!$A:$K,11,0)="",999999,VLOOKUP(AA21,RULES!$A:$K,11,0)*1),999999)</f>
        <v/>
      </c>
      <c r="AK21" s="29">
        <f>IFERROR(VLOOKUP(AA21,RULES!$A:$L,12,0)*1,0)</f>
        <v/>
      </c>
      <c r="AL21" s="29">
        <f>IFERROR(VLOOKUP(AA21,RULES!$A:$M,13,0),"NONE")</f>
        <v/>
      </c>
      <c r="AM21" s="29">
        <f>IFERROR(VLOOKUP(AA21,RULES!$A:$N,14,0)*1,0)</f>
        <v/>
      </c>
      <c r="AN21" s="29">
        <f>IFERROR(VLOOKUP(AA21,RULES!$A:$O,15,0)*1,0)</f>
        <v/>
      </c>
      <c r="AO21" s="29">
        <f>IF(N21&lt;&gt;"",N21,IFERROR(VLOOKUP(AA21,RULES!$A:$P,16,0),CONFIG!$B$8))</f>
        <v/>
      </c>
      <c r="AP21" s="29">
        <f>IF(IFERROR(VLOOKUP(AA21,RULES!$A:$Q,17,0),"")="",CONFIG!$B$13,VLOOKUP(AA21,RULES!$A:$Q,17,0))</f>
        <v/>
      </c>
      <c r="AQ21" s="29">
        <f>IF(IFERROR(VLOOKUP(AA21,RULES!$A:$R,18,0),"")="",CONFIG!$B$14,VLOOKUP(AA21,RULES!$A:$R,18,0))</f>
        <v/>
      </c>
      <c r="AR21" s="29">
        <f>IFERROR(VLOOKUP(AA21,RULES!$A:$S,19,0)*1,0)</f>
        <v/>
      </c>
      <c r="AS21" s="29">
        <f>IFERROR(VLOOKUP(AA21,RULES!$A:$T,20,0)*1,0)</f>
        <v/>
      </c>
      <c r="AT21" s="29">
        <f>IFERROR(VLOOKUP(AA21,RULES!$A:$U,21,0)*1,0)</f>
        <v/>
      </c>
      <c r="AU21" s="29">
        <f>IFERROR(VLOOKUP(AA21,RULES!$A:$V,22,0)*1,0)</f>
        <v/>
      </c>
      <c r="AV21" s="29">
        <f>IFERROR(VLOOKUP(AA21,RULES!$A:$W,23,0)*1,0)</f>
        <v/>
      </c>
      <c r="AW21" s="29">
        <f>IFERROR(IF(VLOOKUP(AA21,RULES!$A:$X,24,0)="",999999,VLOOKUP(AA21,RULES!$A:$X,24,0)*1),999999)</f>
        <v/>
      </c>
      <c r="AX21" s="29">
        <f>IFERROR(VLOOKUP(AA21,RULES!$A:$Y,25,0)*1,0)</f>
        <v/>
      </c>
      <c r="AY21" s="29">
        <f>IFERROR(VLOOKUP(AA21,RULES!$A:$Z,26,0),"NONE")</f>
        <v/>
      </c>
      <c r="AZ21" s="29">
        <f>IFERROR(VLOOKUP(AA21,RULES!$A:$AA,27,0)*1,0)</f>
        <v/>
      </c>
      <c r="BA21" s="29">
        <f>IFERROR(VLOOKUP(AA21,RULES!$A:$AB,28,0)*1,0)</f>
        <v/>
      </c>
    </row>
    <row r="22" ht="17" customHeight="1">
      <c r="A22" s="22" t="inlineStr">
        <is>
          <t>3319</t>
        </is>
      </c>
      <c r="B22" s="48" t="inlineStr">
        <is>
          <t>ACC003</t>
        </is>
      </c>
      <c r="C22" s="48" t="inlineStr">
        <is>
          <t>DEFAULT</t>
        </is>
      </c>
      <c r="D22" s="47" t="n"/>
      <c r="E22" s="22">
        <f>IF(OR(D22="",D22=0),"INACTIVE","ACTIVE")</f>
        <v/>
      </c>
      <c r="F22" s="48" t="inlineStr">
        <is>
          <t>NORMAL</t>
        </is>
      </c>
      <c r="G22" s="25" t="n"/>
      <c r="H22" s="25" t="n"/>
      <c r="I22" s="26">
        <f>IF(OR(E22="INACTIVE",H22=""),0,MAX(0,H22-G22))</f>
        <v/>
      </c>
      <c r="J22" s="23" t="n"/>
      <c r="K22" s="26">
        <f>IF(OR(E22="INACTIVE",H22=""),0,IF(AB22="DISABLED",0,IF(AB22="FLAT",AE22,IF(AB22="MANUAL",IF(J22="",0,J22*AC22),IF(AB22="STEP",IF(I22&lt;=AF22,I22*AG22,IF(I22&lt;=AH22,AF22*AG22+(I22-AF22)*AI22,AF22*AG22+(AH22-AF22)*AI22+(I22-AH22)*AK22)),MAX(I22*AC22,AD22))))))</f>
        <v/>
      </c>
      <c r="L22" s="26">
        <f>IF(OR(E22="INACTIVE",H22=""),0,IF(AL22="NONE",0,IF(AL22="FLAT",AM22,IF(AL22="PER_UNIT",I22*AN22,IF(AL22="MANUAL",IF(M22="",0,M22),0)))))</f>
        <v/>
      </c>
      <c r="M22" s="23" t="n"/>
      <c r="N22" s="48" t="inlineStr">
        <is>
          <t>NORMAL</t>
        </is>
      </c>
      <c r="O22" s="25" t="n"/>
      <c r="P22" s="25" t="n"/>
      <c r="Q22" s="26">
        <f>IF(OR(E22="INACTIVE",P22=""),0,MAX(0,P22-O22))</f>
        <v/>
      </c>
      <c r="R22" s="23" t="n"/>
      <c r="S22" s="26">
        <f>IF(OR(E22="INACTIVE",P22=""),0,IF(AO22="DISABLED",0,IF(AO22="FLAT",AR22,IF(AO22="MANUAL",IF(R22="",0,R22*AP22),IF(AO22="STEP",IF(Q22&lt;=AS22,Q22*AT22,IF(Q22&lt;=AU22,AS22*AT22+(Q22-AS22)*AV22,AS22*AT22+(AU22-AS22)*AV22+(Q22-AU22)*AX22)),MAX(Q22*AP22,AQ22))))))</f>
        <v/>
      </c>
      <c r="T22" s="26">
        <f>IF(OR(E22="INACTIVE",P22=""),0,IF(AY22="NONE",0,IF(AY22="FLAT",AZ22,IF(AY22="PER_UNIT",Q22*BA22,IF(AY22="MANUAL",IF(U22="",0,U22),0)))))</f>
        <v/>
      </c>
      <c r="U22" s="23" t="n"/>
      <c r="V22" s="25" t="n"/>
      <c r="W22" s="25" t="n"/>
      <c r="X22" s="26">
        <f>IF(E22="INACTIVE",0,D22+K22+L22+S22+T22+IF(V22="",0,V22)+IF(W22="",0,W22))</f>
        <v/>
      </c>
      <c r="Y22" s="27" t="n"/>
      <c r="Z22" s="28">
        <f>IF(E22="INACTIVE","_",IF(AND(G22&gt;0,H22&gt;0,H22&lt;G22),"[!]น้ำ reset ","")&amp;IF(AND(O22&gt;0,P22&gt;0,P22&lt;O22),"[!]ไฟ reset ","")&amp;IF(AND(F22="MANUAL",J22=""),"[X]units น้ำ ","")&amp;IF(AND(N22="MANUAL",R22=""),"[X]units ไฟ ","")&amp;IF(D22=0,"[!]ค่าเช่า=0",""))</f>
        <v/>
      </c>
      <c r="AA22" s="29">
        <f>IF(C22&lt;&gt;"",C22,CONFIG!$B$6)</f>
        <v/>
      </c>
      <c r="AB22" s="29">
        <f>IF(F22&lt;&gt;"",F22,IFERROR(VLOOKUP(AA22,RULES!$A:$C,3,0),CONFIG!$B$7))</f>
        <v/>
      </c>
      <c r="AC22" s="29">
        <f>IF(IFERROR(VLOOKUP(AA22,RULES!$A:$D,4,0),"")="",CONFIG!$B$10,VLOOKUP(AA22,RULES!$A:$D,4,0))</f>
        <v/>
      </c>
      <c r="AD22" s="29">
        <f>IF(IFERROR(VLOOKUP(AA22,RULES!$A:$E,5,0),"")="",CONFIG!$B$11,VLOOKUP(AA22,RULES!$A:$E,5,0))</f>
        <v/>
      </c>
      <c r="AE22" s="29">
        <f>IFERROR(VLOOKUP(AA22,RULES!$A:$F,6,0)*1,0)</f>
        <v/>
      </c>
      <c r="AF22" s="29">
        <f>IFERROR(VLOOKUP(AA22,RULES!$A:$G,7,0)*1,0)</f>
        <v/>
      </c>
      <c r="AG22" s="29">
        <f>IFERROR(VLOOKUP(AA22,RULES!$A:$H,8,0)*1,0)</f>
        <v/>
      </c>
      <c r="AH22" s="29">
        <f>IFERROR(VLOOKUP(AA22,RULES!$A:$I,9,0)*1,0)</f>
        <v/>
      </c>
      <c r="AI22" s="29">
        <f>IFERROR(VLOOKUP(AA22,RULES!$A:$J,10,0)*1,0)</f>
        <v/>
      </c>
      <c r="AJ22" s="29">
        <f>IFERROR(IF(VLOOKUP(AA22,RULES!$A:$K,11,0)="",999999,VLOOKUP(AA22,RULES!$A:$K,11,0)*1),999999)</f>
        <v/>
      </c>
      <c r="AK22" s="29">
        <f>IFERROR(VLOOKUP(AA22,RULES!$A:$L,12,0)*1,0)</f>
        <v/>
      </c>
      <c r="AL22" s="29">
        <f>IFERROR(VLOOKUP(AA22,RULES!$A:$M,13,0),"NONE")</f>
        <v/>
      </c>
      <c r="AM22" s="29">
        <f>IFERROR(VLOOKUP(AA22,RULES!$A:$N,14,0)*1,0)</f>
        <v/>
      </c>
      <c r="AN22" s="29">
        <f>IFERROR(VLOOKUP(AA22,RULES!$A:$O,15,0)*1,0)</f>
        <v/>
      </c>
      <c r="AO22" s="29">
        <f>IF(N22&lt;&gt;"",N22,IFERROR(VLOOKUP(AA22,RULES!$A:$P,16,0),CONFIG!$B$8))</f>
        <v/>
      </c>
      <c r="AP22" s="29">
        <f>IF(IFERROR(VLOOKUP(AA22,RULES!$A:$Q,17,0),"")="",CONFIG!$B$13,VLOOKUP(AA22,RULES!$A:$Q,17,0))</f>
        <v/>
      </c>
      <c r="AQ22" s="29">
        <f>IF(IFERROR(VLOOKUP(AA22,RULES!$A:$R,18,0),"")="",CONFIG!$B$14,VLOOKUP(AA22,RULES!$A:$R,18,0))</f>
        <v/>
      </c>
      <c r="AR22" s="29">
        <f>IFERROR(VLOOKUP(AA22,RULES!$A:$S,19,0)*1,0)</f>
        <v/>
      </c>
      <c r="AS22" s="29">
        <f>IFERROR(VLOOKUP(AA22,RULES!$A:$T,20,0)*1,0)</f>
        <v/>
      </c>
      <c r="AT22" s="29">
        <f>IFERROR(VLOOKUP(AA22,RULES!$A:$U,21,0)*1,0)</f>
        <v/>
      </c>
      <c r="AU22" s="29">
        <f>IFERROR(VLOOKUP(AA22,RULES!$A:$V,22,0)*1,0)</f>
        <v/>
      </c>
      <c r="AV22" s="29">
        <f>IFERROR(VLOOKUP(AA22,RULES!$A:$W,23,0)*1,0)</f>
        <v/>
      </c>
      <c r="AW22" s="29">
        <f>IFERROR(IF(VLOOKUP(AA22,RULES!$A:$X,24,0)="",999999,VLOOKUP(AA22,RULES!$A:$X,24,0)*1),999999)</f>
        <v/>
      </c>
      <c r="AX22" s="29">
        <f>IFERROR(VLOOKUP(AA22,RULES!$A:$Y,25,0)*1,0)</f>
        <v/>
      </c>
      <c r="AY22" s="29">
        <f>IFERROR(VLOOKUP(AA22,RULES!$A:$Z,26,0),"NONE")</f>
        <v/>
      </c>
      <c r="AZ22" s="29">
        <f>IFERROR(VLOOKUP(AA22,RULES!$A:$AA,27,0)*1,0)</f>
        <v/>
      </c>
      <c r="BA22" s="29">
        <f>IFERROR(VLOOKUP(AA22,RULES!$A:$AB,28,0)*1,0)</f>
        <v/>
      </c>
    </row>
    <row r="23" ht="17" customHeight="1">
      <c r="A23" s="22" t="inlineStr">
        <is>
          <t>3320</t>
        </is>
      </c>
      <c r="B23" s="48" t="inlineStr">
        <is>
          <t>ACC003</t>
        </is>
      </c>
      <c r="C23" s="48" t="inlineStr">
        <is>
          <t>DEFAULT</t>
        </is>
      </c>
      <c r="D23" s="47" t="n"/>
      <c r="E23" s="22">
        <f>IF(OR(D23="",D23=0),"INACTIVE","ACTIVE")</f>
        <v/>
      </c>
      <c r="F23" s="48" t="inlineStr">
        <is>
          <t>NORMAL</t>
        </is>
      </c>
      <c r="G23" s="25" t="n"/>
      <c r="H23" s="25" t="n"/>
      <c r="I23" s="26">
        <f>IF(OR(E23="INACTIVE",H23=""),0,MAX(0,H23-G23))</f>
        <v/>
      </c>
      <c r="J23" s="23" t="n"/>
      <c r="K23" s="26">
        <f>IF(OR(E23="INACTIVE",H23=""),0,IF(AB23="DISABLED",0,IF(AB23="FLAT",AE23,IF(AB23="MANUAL",IF(J23="",0,J23*AC23),IF(AB23="STEP",IF(I23&lt;=AF23,I23*AG23,IF(I23&lt;=AH23,AF23*AG23+(I23-AF23)*AI23,AF23*AG23+(AH23-AF23)*AI23+(I23-AH23)*AK23)),MAX(I23*AC23,AD23))))))</f>
        <v/>
      </c>
      <c r="L23" s="26">
        <f>IF(OR(E23="INACTIVE",H23=""),0,IF(AL23="NONE",0,IF(AL23="FLAT",AM23,IF(AL23="PER_UNIT",I23*AN23,IF(AL23="MANUAL",IF(M23="",0,M23),0)))))</f>
        <v/>
      </c>
      <c r="M23" s="23" t="n"/>
      <c r="N23" s="48" t="inlineStr">
        <is>
          <t>NORMAL</t>
        </is>
      </c>
      <c r="O23" s="25" t="n"/>
      <c r="P23" s="25" t="n"/>
      <c r="Q23" s="26">
        <f>IF(OR(E23="INACTIVE",P23=""),0,MAX(0,P23-O23))</f>
        <v/>
      </c>
      <c r="R23" s="23" t="n"/>
      <c r="S23" s="26">
        <f>IF(OR(E23="INACTIVE",P23=""),0,IF(AO23="DISABLED",0,IF(AO23="FLAT",AR23,IF(AO23="MANUAL",IF(R23="",0,R23*AP23),IF(AO23="STEP",IF(Q23&lt;=AS23,Q23*AT23,IF(Q23&lt;=AU23,AS23*AT23+(Q23-AS23)*AV23,AS23*AT23+(AU23-AS23)*AV23+(Q23-AU23)*AX23)),MAX(Q23*AP23,AQ23))))))</f>
        <v/>
      </c>
      <c r="T23" s="26">
        <f>IF(OR(E23="INACTIVE",P23=""),0,IF(AY23="NONE",0,IF(AY23="FLAT",AZ23,IF(AY23="PER_UNIT",Q23*BA23,IF(AY23="MANUAL",IF(U23="",0,U23),0)))))</f>
        <v/>
      </c>
      <c r="U23" s="23" t="n"/>
      <c r="V23" s="25" t="n"/>
      <c r="W23" s="25" t="n"/>
      <c r="X23" s="26">
        <f>IF(E23="INACTIVE",0,D23+K23+L23+S23+T23+IF(V23="",0,V23)+IF(W23="",0,W23))</f>
        <v/>
      </c>
      <c r="Y23" s="27" t="n"/>
      <c r="Z23" s="28">
        <f>IF(E23="INACTIVE","_",IF(AND(G23&gt;0,H23&gt;0,H23&lt;G23),"[!]น้ำ reset ","")&amp;IF(AND(O23&gt;0,P23&gt;0,P23&lt;O23),"[!]ไฟ reset ","")&amp;IF(AND(F23="MANUAL",J23=""),"[X]units น้ำ ","")&amp;IF(AND(N23="MANUAL",R23=""),"[X]units ไฟ ","")&amp;IF(D23=0,"[!]ค่าเช่า=0",""))</f>
        <v/>
      </c>
      <c r="AA23" s="29">
        <f>IF(C23&lt;&gt;"",C23,CONFIG!$B$6)</f>
        <v/>
      </c>
      <c r="AB23" s="29">
        <f>IF(F23&lt;&gt;"",F23,IFERROR(VLOOKUP(AA23,RULES!$A:$C,3,0),CONFIG!$B$7))</f>
        <v/>
      </c>
      <c r="AC23" s="29">
        <f>IF(IFERROR(VLOOKUP(AA23,RULES!$A:$D,4,0),"")="",CONFIG!$B$10,VLOOKUP(AA23,RULES!$A:$D,4,0))</f>
        <v/>
      </c>
      <c r="AD23" s="29">
        <f>IF(IFERROR(VLOOKUP(AA23,RULES!$A:$E,5,0),"")="",CONFIG!$B$11,VLOOKUP(AA23,RULES!$A:$E,5,0))</f>
        <v/>
      </c>
      <c r="AE23" s="29">
        <f>IFERROR(VLOOKUP(AA23,RULES!$A:$F,6,0)*1,0)</f>
        <v/>
      </c>
      <c r="AF23" s="29">
        <f>IFERROR(VLOOKUP(AA23,RULES!$A:$G,7,0)*1,0)</f>
        <v/>
      </c>
      <c r="AG23" s="29">
        <f>IFERROR(VLOOKUP(AA23,RULES!$A:$H,8,0)*1,0)</f>
        <v/>
      </c>
      <c r="AH23" s="29">
        <f>IFERROR(VLOOKUP(AA23,RULES!$A:$I,9,0)*1,0)</f>
        <v/>
      </c>
      <c r="AI23" s="29">
        <f>IFERROR(VLOOKUP(AA23,RULES!$A:$J,10,0)*1,0)</f>
        <v/>
      </c>
      <c r="AJ23" s="29">
        <f>IFERROR(IF(VLOOKUP(AA23,RULES!$A:$K,11,0)="",999999,VLOOKUP(AA23,RULES!$A:$K,11,0)*1),999999)</f>
        <v/>
      </c>
      <c r="AK23" s="29">
        <f>IFERROR(VLOOKUP(AA23,RULES!$A:$L,12,0)*1,0)</f>
        <v/>
      </c>
      <c r="AL23" s="29">
        <f>IFERROR(VLOOKUP(AA23,RULES!$A:$M,13,0),"NONE")</f>
        <v/>
      </c>
      <c r="AM23" s="29">
        <f>IFERROR(VLOOKUP(AA23,RULES!$A:$N,14,0)*1,0)</f>
        <v/>
      </c>
      <c r="AN23" s="29">
        <f>IFERROR(VLOOKUP(AA23,RULES!$A:$O,15,0)*1,0)</f>
        <v/>
      </c>
      <c r="AO23" s="29">
        <f>IF(N23&lt;&gt;"",N23,IFERROR(VLOOKUP(AA23,RULES!$A:$P,16,0),CONFIG!$B$8))</f>
        <v/>
      </c>
      <c r="AP23" s="29">
        <f>IF(IFERROR(VLOOKUP(AA23,RULES!$A:$Q,17,0),"")="",CONFIG!$B$13,VLOOKUP(AA23,RULES!$A:$Q,17,0))</f>
        <v/>
      </c>
      <c r="AQ23" s="29">
        <f>IF(IFERROR(VLOOKUP(AA23,RULES!$A:$R,18,0),"")="",CONFIG!$B$14,VLOOKUP(AA23,RULES!$A:$R,18,0))</f>
        <v/>
      </c>
      <c r="AR23" s="29">
        <f>IFERROR(VLOOKUP(AA23,RULES!$A:$S,19,0)*1,0)</f>
        <v/>
      </c>
      <c r="AS23" s="29">
        <f>IFERROR(VLOOKUP(AA23,RULES!$A:$T,20,0)*1,0)</f>
        <v/>
      </c>
      <c r="AT23" s="29">
        <f>IFERROR(VLOOKUP(AA23,RULES!$A:$U,21,0)*1,0)</f>
        <v/>
      </c>
      <c r="AU23" s="29">
        <f>IFERROR(VLOOKUP(AA23,RULES!$A:$V,22,0)*1,0)</f>
        <v/>
      </c>
      <c r="AV23" s="29">
        <f>IFERROR(VLOOKUP(AA23,RULES!$A:$W,23,0)*1,0)</f>
        <v/>
      </c>
      <c r="AW23" s="29">
        <f>IFERROR(IF(VLOOKUP(AA23,RULES!$A:$X,24,0)="",999999,VLOOKUP(AA23,RULES!$A:$X,24,0)*1),999999)</f>
        <v/>
      </c>
      <c r="AX23" s="29">
        <f>IFERROR(VLOOKUP(AA23,RULES!$A:$Y,25,0)*1,0)</f>
        <v/>
      </c>
      <c r="AY23" s="29">
        <f>IFERROR(VLOOKUP(AA23,RULES!$A:$Z,26,0),"NONE")</f>
        <v/>
      </c>
      <c r="AZ23" s="29">
        <f>IFERROR(VLOOKUP(AA23,RULES!$A:$AA,27,0)*1,0)</f>
        <v/>
      </c>
      <c r="BA23" s="29">
        <f>IFERROR(VLOOKUP(AA23,RULES!$A:$AB,28,0)*1,0)</f>
        <v/>
      </c>
    </row>
    <row r="24" ht="17" customHeight="1">
      <c r="A24" s="22" t="inlineStr">
        <is>
          <t>3321</t>
        </is>
      </c>
      <c r="B24" s="48" t="inlineStr">
        <is>
          <t>ACC003</t>
        </is>
      </c>
      <c r="C24" s="48" t="inlineStr">
        <is>
          <t>DEFAULT</t>
        </is>
      </c>
      <c r="D24" s="47" t="n"/>
      <c r="E24" s="22">
        <f>IF(OR(D24="",D24=0),"INACTIVE","ACTIVE")</f>
        <v/>
      </c>
      <c r="F24" s="48" t="inlineStr">
        <is>
          <t>NORMAL</t>
        </is>
      </c>
      <c r="G24" s="25" t="n"/>
      <c r="H24" s="25" t="n"/>
      <c r="I24" s="26">
        <f>IF(OR(E24="INACTIVE",H24=""),0,MAX(0,H24-G24))</f>
        <v/>
      </c>
      <c r="J24" s="23" t="n"/>
      <c r="K24" s="26">
        <f>IF(OR(E24="INACTIVE",H24=""),0,IF(AB24="DISABLED",0,IF(AB24="FLAT",AE24,IF(AB24="MANUAL",IF(J24="",0,J24*AC24),IF(AB24="STEP",IF(I24&lt;=AF24,I24*AG24,IF(I24&lt;=AH24,AF24*AG24+(I24-AF24)*AI24,AF24*AG24+(AH24-AF24)*AI24+(I24-AH24)*AK24)),MAX(I24*AC24,AD24))))))</f>
        <v/>
      </c>
      <c r="L24" s="26">
        <f>IF(OR(E24="INACTIVE",H24=""),0,IF(AL24="NONE",0,IF(AL24="FLAT",AM24,IF(AL24="PER_UNIT",I24*AN24,IF(AL24="MANUAL",IF(M24="",0,M24),0)))))</f>
        <v/>
      </c>
      <c r="M24" s="23" t="n"/>
      <c r="N24" s="48" t="inlineStr">
        <is>
          <t>NORMAL</t>
        </is>
      </c>
      <c r="O24" s="25" t="n"/>
      <c r="P24" s="25" t="n"/>
      <c r="Q24" s="26">
        <f>IF(OR(E24="INACTIVE",P24=""),0,MAX(0,P24-O24))</f>
        <v/>
      </c>
      <c r="R24" s="23" t="n"/>
      <c r="S24" s="26">
        <f>IF(OR(E24="INACTIVE",P24=""),0,IF(AO24="DISABLED",0,IF(AO24="FLAT",AR24,IF(AO24="MANUAL",IF(R24="",0,R24*AP24),IF(AO24="STEP",IF(Q24&lt;=AS24,Q24*AT24,IF(Q24&lt;=AU24,AS24*AT24+(Q24-AS24)*AV24,AS24*AT24+(AU24-AS24)*AV24+(Q24-AU24)*AX24)),MAX(Q24*AP24,AQ24))))))</f>
        <v/>
      </c>
      <c r="T24" s="26">
        <f>IF(OR(E24="INACTIVE",P24=""),0,IF(AY24="NONE",0,IF(AY24="FLAT",AZ24,IF(AY24="PER_UNIT",Q24*BA24,IF(AY24="MANUAL",IF(U24="",0,U24),0)))))</f>
        <v/>
      </c>
      <c r="U24" s="23" t="n"/>
      <c r="V24" s="25" t="n"/>
      <c r="W24" s="25" t="n"/>
      <c r="X24" s="26">
        <f>IF(E24="INACTIVE",0,D24+K24+L24+S24+T24+IF(V24="",0,V24)+IF(W24="",0,W24))</f>
        <v/>
      </c>
      <c r="Y24" s="27" t="n"/>
      <c r="Z24" s="28">
        <f>IF(E24="INACTIVE","_",IF(AND(G24&gt;0,H24&gt;0,H24&lt;G24),"[!]น้ำ reset ","")&amp;IF(AND(O24&gt;0,P24&gt;0,P24&lt;O24),"[!]ไฟ reset ","")&amp;IF(AND(F24="MANUAL",J24=""),"[X]units น้ำ ","")&amp;IF(AND(N24="MANUAL",R24=""),"[X]units ไฟ ","")&amp;IF(D24=0,"[!]ค่าเช่า=0",""))</f>
        <v/>
      </c>
      <c r="AA24" s="29">
        <f>IF(C24&lt;&gt;"",C24,CONFIG!$B$6)</f>
        <v/>
      </c>
      <c r="AB24" s="29">
        <f>IF(F24&lt;&gt;"",F24,IFERROR(VLOOKUP(AA24,RULES!$A:$C,3,0),CONFIG!$B$7))</f>
        <v/>
      </c>
      <c r="AC24" s="29">
        <f>IF(IFERROR(VLOOKUP(AA24,RULES!$A:$D,4,0),"")="",CONFIG!$B$10,VLOOKUP(AA24,RULES!$A:$D,4,0))</f>
        <v/>
      </c>
      <c r="AD24" s="29">
        <f>IF(IFERROR(VLOOKUP(AA24,RULES!$A:$E,5,0),"")="",CONFIG!$B$11,VLOOKUP(AA24,RULES!$A:$E,5,0))</f>
        <v/>
      </c>
      <c r="AE24" s="29">
        <f>IFERROR(VLOOKUP(AA24,RULES!$A:$F,6,0)*1,0)</f>
        <v/>
      </c>
      <c r="AF24" s="29">
        <f>IFERROR(VLOOKUP(AA24,RULES!$A:$G,7,0)*1,0)</f>
        <v/>
      </c>
      <c r="AG24" s="29">
        <f>IFERROR(VLOOKUP(AA24,RULES!$A:$H,8,0)*1,0)</f>
        <v/>
      </c>
      <c r="AH24" s="29">
        <f>IFERROR(VLOOKUP(AA24,RULES!$A:$I,9,0)*1,0)</f>
        <v/>
      </c>
      <c r="AI24" s="29">
        <f>IFERROR(VLOOKUP(AA24,RULES!$A:$J,10,0)*1,0)</f>
        <v/>
      </c>
      <c r="AJ24" s="29">
        <f>IFERROR(IF(VLOOKUP(AA24,RULES!$A:$K,11,0)="",999999,VLOOKUP(AA24,RULES!$A:$K,11,0)*1),999999)</f>
        <v/>
      </c>
      <c r="AK24" s="29">
        <f>IFERROR(VLOOKUP(AA24,RULES!$A:$L,12,0)*1,0)</f>
        <v/>
      </c>
      <c r="AL24" s="29">
        <f>IFERROR(VLOOKUP(AA24,RULES!$A:$M,13,0),"NONE")</f>
        <v/>
      </c>
      <c r="AM24" s="29">
        <f>IFERROR(VLOOKUP(AA24,RULES!$A:$N,14,0)*1,0)</f>
        <v/>
      </c>
      <c r="AN24" s="29">
        <f>IFERROR(VLOOKUP(AA24,RULES!$A:$O,15,0)*1,0)</f>
        <v/>
      </c>
      <c r="AO24" s="29">
        <f>IF(N24&lt;&gt;"",N24,IFERROR(VLOOKUP(AA24,RULES!$A:$P,16,0),CONFIG!$B$8))</f>
        <v/>
      </c>
      <c r="AP24" s="29">
        <f>IF(IFERROR(VLOOKUP(AA24,RULES!$A:$Q,17,0),"")="",CONFIG!$B$13,VLOOKUP(AA24,RULES!$A:$Q,17,0))</f>
        <v/>
      </c>
      <c r="AQ24" s="29">
        <f>IF(IFERROR(VLOOKUP(AA24,RULES!$A:$R,18,0),"")="",CONFIG!$B$14,VLOOKUP(AA24,RULES!$A:$R,18,0))</f>
        <v/>
      </c>
      <c r="AR24" s="29">
        <f>IFERROR(VLOOKUP(AA24,RULES!$A:$S,19,0)*1,0)</f>
        <v/>
      </c>
      <c r="AS24" s="29">
        <f>IFERROR(VLOOKUP(AA24,RULES!$A:$T,20,0)*1,0)</f>
        <v/>
      </c>
      <c r="AT24" s="29">
        <f>IFERROR(VLOOKUP(AA24,RULES!$A:$U,21,0)*1,0)</f>
        <v/>
      </c>
      <c r="AU24" s="29">
        <f>IFERROR(VLOOKUP(AA24,RULES!$A:$V,22,0)*1,0)</f>
        <v/>
      </c>
      <c r="AV24" s="29">
        <f>IFERROR(VLOOKUP(AA24,RULES!$A:$W,23,0)*1,0)</f>
        <v/>
      </c>
      <c r="AW24" s="29">
        <f>IFERROR(IF(VLOOKUP(AA24,RULES!$A:$X,24,0)="",999999,VLOOKUP(AA24,RULES!$A:$X,24,0)*1),999999)</f>
        <v/>
      </c>
      <c r="AX24" s="29">
        <f>IFERROR(VLOOKUP(AA24,RULES!$A:$Y,25,0)*1,0)</f>
        <v/>
      </c>
      <c r="AY24" s="29">
        <f>IFERROR(VLOOKUP(AA24,RULES!$A:$Z,26,0),"NONE")</f>
        <v/>
      </c>
      <c r="AZ24" s="29">
        <f>IFERROR(VLOOKUP(AA24,RULES!$A:$AA,27,0)*1,0)</f>
        <v/>
      </c>
      <c r="BA24" s="29">
        <f>IFERROR(VLOOKUP(AA24,RULES!$A:$AB,28,0)*1,0)</f>
        <v/>
      </c>
    </row>
    <row r="25" ht="17" customHeight="1">
      <c r="A25" s="22" t="inlineStr">
        <is>
          <t>3322</t>
        </is>
      </c>
      <c r="B25" s="48" t="inlineStr">
        <is>
          <t>ACC003</t>
        </is>
      </c>
      <c r="C25" s="48" t="inlineStr">
        <is>
          <t>DEFAULT</t>
        </is>
      </c>
      <c r="D25" s="47" t="n"/>
      <c r="E25" s="22">
        <f>IF(OR(D25="",D25=0),"INACTIVE","ACTIVE")</f>
        <v/>
      </c>
      <c r="F25" s="48" t="inlineStr">
        <is>
          <t>NORMAL</t>
        </is>
      </c>
      <c r="G25" s="25" t="n"/>
      <c r="H25" s="25" t="n"/>
      <c r="I25" s="26">
        <f>IF(OR(E25="INACTIVE",H25=""),0,MAX(0,H25-G25))</f>
        <v/>
      </c>
      <c r="J25" s="23" t="n"/>
      <c r="K25" s="26">
        <f>IF(OR(E25="INACTIVE",H25=""),0,IF(AB25="DISABLED",0,IF(AB25="FLAT",AE25,IF(AB25="MANUAL",IF(J25="",0,J25*AC25),IF(AB25="STEP",IF(I25&lt;=AF25,I25*AG25,IF(I25&lt;=AH25,AF25*AG25+(I25-AF25)*AI25,AF25*AG25+(AH25-AF25)*AI25+(I25-AH25)*AK25)),MAX(I25*AC25,AD25))))))</f>
        <v/>
      </c>
      <c r="L25" s="26">
        <f>IF(OR(E25="INACTIVE",H25=""),0,IF(AL25="NONE",0,IF(AL25="FLAT",AM25,IF(AL25="PER_UNIT",I25*AN25,IF(AL25="MANUAL",IF(M25="",0,M25),0)))))</f>
        <v/>
      </c>
      <c r="M25" s="23" t="n"/>
      <c r="N25" s="48" t="inlineStr">
        <is>
          <t>NORMAL</t>
        </is>
      </c>
      <c r="O25" s="25" t="n"/>
      <c r="P25" s="25" t="n"/>
      <c r="Q25" s="26">
        <f>IF(OR(E25="INACTIVE",P25=""),0,MAX(0,P25-O25))</f>
        <v/>
      </c>
      <c r="R25" s="23" t="n"/>
      <c r="S25" s="26">
        <f>IF(OR(E25="INACTIVE",P25=""),0,IF(AO25="DISABLED",0,IF(AO25="FLAT",AR25,IF(AO25="MANUAL",IF(R25="",0,R25*AP25),IF(AO25="STEP",IF(Q25&lt;=AS25,Q25*AT25,IF(Q25&lt;=AU25,AS25*AT25+(Q25-AS25)*AV25,AS25*AT25+(AU25-AS25)*AV25+(Q25-AU25)*AX25)),MAX(Q25*AP25,AQ25))))))</f>
        <v/>
      </c>
      <c r="T25" s="26">
        <f>IF(OR(E25="INACTIVE",P25=""),0,IF(AY25="NONE",0,IF(AY25="FLAT",AZ25,IF(AY25="PER_UNIT",Q25*BA25,IF(AY25="MANUAL",IF(U25="",0,U25),0)))))</f>
        <v/>
      </c>
      <c r="U25" s="23" t="n"/>
      <c r="V25" s="25" t="n"/>
      <c r="W25" s="25" t="n"/>
      <c r="X25" s="26">
        <f>IF(E25="INACTIVE",0,D25+K25+L25+S25+T25+IF(V25="",0,V25)+IF(W25="",0,W25))</f>
        <v/>
      </c>
      <c r="Y25" s="27" t="n"/>
      <c r="Z25" s="28">
        <f>IF(E25="INACTIVE","_",IF(AND(G25&gt;0,H25&gt;0,H25&lt;G25),"[!]น้ำ reset ","")&amp;IF(AND(O25&gt;0,P25&gt;0,P25&lt;O25),"[!]ไฟ reset ","")&amp;IF(AND(F25="MANUAL",J25=""),"[X]units น้ำ ","")&amp;IF(AND(N25="MANUAL",R25=""),"[X]units ไฟ ","")&amp;IF(D25=0,"[!]ค่าเช่า=0",""))</f>
        <v/>
      </c>
      <c r="AA25" s="29">
        <f>IF(C25&lt;&gt;"",C25,CONFIG!$B$6)</f>
        <v/>
      </c>
      <c r="AB25" s="29">
        <f>IF(F25&lt;&gt;"",F25,IFERROR(VLOOKUP(AA25,RULES!$A:$C,3,0),CONFIG!$B$7))</f>
        <v/>
      </c>
      <c r="AC25" s="29">
        <f>IF(IFERROR(VLOOKUP(AA25,RULES!$A:$D,4,0),"")="",CONFIG!$B$10,VLOOKUP(AA25,RULES!$A:$D,4,0))</f>
        <v/>
      </c>
      <c r="AD25" s="29">
        <f>IF(IFERROR(VLOOKUP(AA25,RULES!$A:$E,5,0),"")="",CONFIG!$B$11,VLOOKUP(AA25,RULES!$A:$E,5,0))</f>
        <v/>
      </c>
      <c r="AE25" s="29">
        <f>IFERROR(VLOOKUP(AA25,RULES!$A:$F,6,0)*1,0)</f>
        <v/>
      </c>
      <c r="AF25" s="29">
        <f>IFERROR(VLOOKUP(AA25,RULES!$A:$G,7,0)*1,0)</f>
        <v/>
      </c>
      <c r="AG25" s="29">
        <f>IFERROR(VLOOKUP(AA25,RULES!$A:$H,8,0)*1,0)</f>
        <v/>
      </c>
      <c r="AH25" s="29">
        <f>IFERROR(VLOOKUP(AA25,RULES!$A:$I,9,0)*1,0)</f>
        <v/>
      </c>
      <c r="AI25" s="29">
        <f>IFERROR(VLOOKUP(AA25,RULES!$A:$J,10,0)*1,0)</f>
        <v/>
      </c>
      <c r="AJ25" s="29">
        <f>IFERROR(IF(VLOOKUP(AA25,RULES!$A:$K,11,0)="",999999,VLOOKUP(AA25,RULES!$A:$K,11,0)*1),999999)</f>
        <v/>
      </c>
      <c r="AK25" s="29">
        <f>IFERROR(VLOOKUP(AA25,RULES!$A:$L,12,0)*1,0)</f>
        <v/>
      </c>
      <c r="AL25" s="29">
        <f>IFERROR(VLOOKUP(AA25,RULES!$A:$M,13,0),"NONE")</f>
        <v/>
      </c>
      <c r="AM25" s="29">
        <f>IFERROR(VLOOKUP(AA25,RULES!$A:$N,14,0)*1,0)</f>
        <v/>
      </c>
      <c r="AN25" s="29">
        <f>IFERROR(VLOOKUP(AA25,RULES!$A:$O,15,0)*1,0)</f>
        <v/>
      </c>
      <c r="AO25" s="29">
        <f>IF(N25&lt;&gt;"",N25,IFERROR(VLOOKUP(AA25,RULES!$A:$P,16,0),CONFIG!$B$8))</f>
        <v/>
      </c>
      <c r="AP25" s="29">
        <f>IF(IFERROR(VLOOKUP(AA25,RULES!$A:$Q,17,0),"")="",CONFIG!$B$13,VLOOKUP(AA25,RULES!$A:$Q,17,0))</f>
        <v/>
      </c>
      <c r="AQ25" s="29">
        <f>IF(IFERROR(VLOOKUP(AA25,RULES!$A:$R,18,0),"")="",CONFIG!$B$14,VLOOKUP(AA25,RULES!$A:$R,18,0))</f>
        <v/>
      </c>
      <c r="AR25" s="29">
        <f>IFERROR(VLOOKUP(AA25,RULES!$A:$S,19,0)*1,0)</f>
        <v/>
      </c>
      <c r="AS25" s="29">
        <f>IFERROR(VLOOKUP(AA25,RULES!$A:$T,20,0)*1,0)</f>
        <v/>
      </c>
      <c r="AT25" s="29">
        <f>IFERROR(VLOOKUP(AA25,RULES!$A:$U,21,0)*1,0)</f>
        <v/>
      </c>
      <c r="AU25" s="29">
        <f>IFERROR(VLOOKUP(AA25,RULES!$A:$V,22,0)*1,0)</f>
        <v/>
      </c>
      <c r="AV25" s="29">
        <f>IFERROR(VLOOKUP(AA25,RULES!$A:$W,23,0)*1,0)</f>
        <v/>
      </c>
      <c r="AW25" s="29">
        <f>IFERROR(IF(VLOOKUP(AA25,RULES!$A:$X,24,0)="",999999,VLOOKUP(AA25,RULES!$A:$X,24,0)*1),999999)</f>
        <v/>
      </c>
      <c r="AX25" s="29">
        <f>IFERROR(VLOOKUP(AA25,RULES!$A:$Y,25,0)*1,0)</f>
        <v/>
      </c>
      <c r="AY25" s="29">
        <f>IFERROR(VLOOKUP(AA25,RULES!$A:$Z,26,0),"NONE")</f>
        <v/>
      </c>
      <c r="AZ25" s="29">
        <f>IFERROR(VLOOKUP(AA25,RULES!$A:$AA,27,0)*1,0)</f>
        <v/>
      </c>
      <c r="BA25" s="29">
        <f>IFERROR(VLOOKUP(AA25,RULES!$A:$AB,28,0)*1,0)</f>
        <v/>
      </c>
    </row>
    <row r="26" ht="17" customHeight="1">
      <c r="A26" s="22" t="inlineStr">
        <is>
          <t>3323</t>
        </is>
      </c>
      <c r="B26" s="48" t="inlineStr">
        <is>
          <t>ACC003</t>
        </is>
      </c>
      <c r="C26" s="48" t="inlineStr">
        <is>
          <t>DEFAULT</t>
        </is>
      </c>
      <c r="D26" s="47" t="n"/>
      <c r="E26" s="22">
        <f>IF(OR(D26="",D26=0),"INACTIVE","ACTIVE")</f>
        <v/>
      </c>
      <c r="F26" s="48" t="inlineStr">
        <is>
          <t>NORMAL</t>
        </is>
      </c>
      <c r="G26" s="25" t="n"/>
      <c r="H26" s="25" t="n"/>
      <c r="I26" s="26">
        <f>IF(OR(E26="INACTIVE",H26=""),0,MAX(0,H26-G26))</f>
        <v/>
      </c>
      <c r="J26" s="23" t="n"/>
      <c r="K26" s="26">
        <f>IF(OR(E26="INACTIVE",H26=""),0,IF(AB26="DISABLED",0,IF(AB26="FLAT",AE26,IF(AB26="MANUAL",IF(J26="",0,J26*AC26),IF(AB26="STEP",IF(I26&lt;=AF26,I26*AG26,IF(I26&lt;=AH26,AF26*AG26+(I26-AF26)*AI26,AF26*AG26+(AH26-AF26)*AI26+(I26-AH26)*AK26)),MAX(I26*AC26,AD26))))))</f>
        <v/>
      </c>
      <c r="L26" s="26">
        <f>IF(OR(E26="INACTIVE",H26=""),0,IF(AL26="NONE",0,IF(AL26="FLAT",AM26,IF(AL26="PER_UNIT",I26*AN26,IF(AL26="MANUAL",IF(M26="",0,M26),0)))))</f>
        <v/>
      </c>
      <c r="M26" s="23" t="n"/>
      <c r="N26" s="48" t="inlineStr">
        <is>
          <t>NORMAL</t>
        </is>
      </c>
      <c r="O26" s="25" t="n"/>
      <c r="P26" s="25" t="n"/>
      <c r="Q26" s="26">
        <f>IF(OR(E26="INACTIVE",P26=""),0,MAX(0,P26-O26))</f>
        <v/>
      </c>
      <c r="R26" s="23" t="n"/>
      <c r="S26" s="26">
        <f>IF(OR(E26="INACTIVE",P26=""),0,IF(AO26="DISABLED",0,IF(AO26="FLAT",AR26,IF(AO26="MANUAL",IF(R26="",0,R26*AP26),IF(AO26="STEP",IF(Q26&lt;=AS26,Q26*AT26,IF(Q26&lt;=AU26,AS26*AT26+(Q26-AS26)*AV26,AS26*AT26+(AU26-AS26)*AV26+(Q26-AU26)*AX26)),MAX(Q26*AP26,AQ26))))))</f>
        <v/>
      </c>
      <c r="T26" s="26">
        <f>IF(OR(E26="INACTIVE",P26=""),0,IF(AY26="NONE",0,IF(AY26="FLAT",AZ26,IF(AY26="PER_UNIT",Q26*BA26,IF(AY26="MANUAL",IF(U26="",0,U26),0)))))</f>
        <v/>
      </c>
      <c r="U26" s="23" t="n"/>
      <c r="V26" s="25" t="n"/>
      <c r="W26" s="25" t="n"/>
      <c r="X26" s="26">
        <f>IF(E26="INACTIVE",0,D26+K26+L26+S26+T26+IF(V26="",0,V26)+IF(W26="",0,W26))</f>
        <v/>
      </c>
      <c r="Y26" s="27" t="n"/>
      <c r="Z26" s="28">
        <f>IF(E26="INACTIVE","_",IF(AND(G26&gt;0,H26&gt;0,H26&lt;G26),"[!]น้ำ reset ","")&amp;IF(AND(O26&gt;0,P26&gt;0,P26&lt;O26),"[!]ไฟ reset ","")&amp;IF(AND(F26="MANUAL",J26=""),"[X]units น้ำ ","")&amp;IF(AND(N26="MANUAL",R26=""),"[X]units ไฟ ","")&amp;IF(D26=0,"[!]ค่าเช่า=0",""))</f>
        <v/>
      </c>
      <c r="AA26" s="29">
        <f>IF(C26&lt;&gt;"",C26,CONFIG!$B$6)</f>
        <v/>
      </c>
      <c r="AB26" s="29">
        <f>IF(F26&lt;&gt;"",F26,IFERROR(VLOOKUP(AA26,RULES!$A:$C,3,0),CONFIG!$B$7))</f>
        <v/>
      </c>
      <c r="AC26" s="29">
        <f>IF(IFERROR(VLOOKUP(AA26,RULES!$A:$D,4,0),"")="",CONFIG!$B$10,VLOOKUP(AA26,RULES!$A:$D,4,0))</f>
        <v/>
      </c>
      <c r="AD26" s="29">
        <f>IF(IFERROR(VLOOKUP(AA26,RULES!$A:$E,5,0),"")="",CONFIG!$B$11,VLOOKUP(AA26,RULES!$A:$E,5,0))</f>
        <v/>
      </c>
      <c r="AE26" s="29">
        <f>IFERROR(VLOOKUP(AA26,RULES!$A:$F,6,0)*1,0)</f>
        <v/>
      </c>
      <c r="AF26" s="29">
        <f>IFERROR(VLOOKUP(AA26,RULES!$A:$G,7,0)*1,0)</f>
        <v/>
      </c>
      <c r="AG26" s="29">
        <f>IFERROR(VLOOKUP(AA26,RULES!$A:$H,8,0)*1,0)</f>
        <v/>
      </c>
      <c r="AH26" s="29">
        <f>IFERROR(VLOOKUP(AA26,RULES!$A:$I,9,0)*1,0)</f>
        <v/>
      </c>
      <c r="AI26" s="29">
        <f>IFERROR(VLOOKUP(AA26,RULES!$A:$J,10,0)*1,0)</f>
        <v/>
      </c>
      <c r="AJ26" s="29">
        <f>IFERROR(IF(VLOOKUP(AA26,RULES!$A:$K,11,0)="",999999,VLOOKUP(AA26,RULES!$A:$K,11,0)*1),999999)</f>
        <v/>
      </c>
      <c r="AK26" s="29">
        <f>IFERROR(VLOOKUP(AA26,RULES!$A:$L,12,0)*1,0)</f>
        <v/>
      </c>
      <c r="AL26" s="29">
        <f>IFERROR(VLOOKUP(AA26,RULES!$A:$M,13,0),"NONE")</f>
        <v/>
      </c>
      <c r="AM26" s="29">
        <f>IFERROR(VLOOKUP(AA26,RULES!$A:$N,14,0)*1,0)</f>
        <v/>
      </c>
      <c r="AN26" s="29">
        <f>IFERROR(VLOOKUP(AA26,RULES!$A:$O,15,0)*1,0)</f>
        <v/>
      </c>
      <c r="AO26" s="29">
        <f>IF(N26&lt;&gt;"",N26,IFERROR(VLOOKUP(AA26,RULES!$A:$P,16,0),CONFIG!$B$8))</f>
        <v/>
      </c>
      <c r="AP26" s="29">
        <f>IF(IFERROR(VLOOKUP(AA26,RULES!$A:$Q,17,0),"")="",CONFIG!$B$13,VLOOKUP(AA26,RULES!$A:$Q,17,0))</f>
        <v/>
      </c>
      <c r="AQ26" s="29">
        <f>IF(IFERROR(VLOOKUP(AA26,RULES!$A:$R,18,0),"")="",CONFIG!$B$14,VLOOKUP(AA26,RULES!$A:$R,18,0))</f>
        <v/>
      </c>
      <c r="AR26" s="29">
        <f>IFERROR(VLOOKUP(AA26,RULES!$A:$S,19,0)*1,0)</f>
        <v/>
      </c>
      <c r="AS26" s="29">
        <f>IFERROR(VLOOKUP(AA26,RULES!$A:$T,20,0)*1,0)</f>
        <v/>
      </c>
      <c r="AT26" s="29">
        <f>IFERROR(VLOOKUP(AA26,RULES!$A:$U,21,0)*1,0)</f>
        <v/>
      </c>
      <c r="AU26" s="29">
        <f>IFERROR(VLOOKUP(AA26,RULES!$A:$V,22,0)*1,0)</f>
        <v/>
      </c>
      <c r="AV26" s="29">
        <f>IFERROR(VLOOKUP(AA26,RULES!$A:$W,23,0)*1,0)</f>
        <v/>
      </c>
      <c r="AW26" s="29">
        <f>IFERROR(IF(VLOOKUP(AA26,RULES!$A:$X,24,0)="",999999,VLOOKUP(AA26,RULES!$A:$X,24,0)*1),999999)</f>
        <v/>
      </c>
      <c r="AX26" s="29">
        <f>IFERROR(VLOOKUP(AA26,RULES!$A:$Y,25,0)*1,0)</f>
        <v/>
      </c>
      <c r="AY26" s="29">
        <f>IFERROR(VLOOKUP(AA26,RULES!$A:$Z,26,0),"NONE")</f>
        <v/>
      </c>
      <c r="AZ26" s="29">
        <f>IFERROR(VLOOKUP(AA26,RULES!$A:$AA,27,0)*1,0)</f>
        <v/>
      </c>
      <c r="BA26" s="29">
        <f>IFERROR(VLOOKUP(AA26,RULES!$A:$AB,28,0)*1,0)</f>
        <v/>
      </c>
    </row>
    <row r="27" ht="17" customHeight="1">
      <c r="A27" s="22" t="inlineStr">
        <is>
          <t>3324</t>
        </is>
      </c>
      <c r="B27" s="48" t="inlineStr">
        <is>
          <t>ACC003</t>
        </is>
      </c>
      <c r="C27" s="48" t="inlineStr">
        <is>
          <t>DEFAULT</t>
        </is>
      </c>
      <c r="D27" s="47" t="n"/>
      <c r="E27" s="22">
        <f>IF(OR(D27="",D27=0),"INACTIVE","ACTIVE")</f>
        <v/>
      </c>
      <c r="F27" s="48" t="inlineStr">
        <is>
          <t>NORMAL</t>
        </is>
      </c>
      <c r="G27" s="25" t="n"/>
      <c r="H27" s="25" t="n"/>
      <c r="I27" s="26">
        <f>IF(OR(E27="INACTIVE",H27=""),0,MAX(0,H27-G27))</f>
        <v/>
      </c>
      <c r="J27" s="23" t="n"/>
      <c r="K27" s="26">
        <f>IF(OR(E27="INACTIVE",H27=""),0,IF(AB27="DISABLED",0,IF(AB27="FLAT",AE27,IF(AB27="MANUAL",IF(J27="",0,J27*AC27),IF(AB27="STEP",IF(I27&lt;=AF27,I27*AG27,IF(I27&lt;=AH27,AF27*AG27+(I27-AF27)*AI27,AF27*AG27+(AH27-AF27)*AI27+(I27-AH27)*AK27)),MAX(I27*AC27,AD27))))))</f>
        <v/>
      </c>
      <c r="L27" s="26">
        <f>IF(OR(E27="INACTIVE",H27=""),0,IF(AL27="NONE",0,IF(AL27="FLAT",AM27,IF(AL27="PER_UNIT",I27*AN27,IF(AL27="MANUAL",IF(M27="",0,M27),0)))))</f>
        <v/>
      </c>
      <c r="M27" s="23" t="n"/>
      <c r="N27" s="48" t="inlineStr">
        <is>
          <t>NORMAL</t>
        </is>
      </c>
      <c r="O27" s="25" t="n"/>
      <c r="P27" s="25" t="n"/>
      <c r="Q27" s="26">
        <f>IF(OR(E27="INACTIVE",P27=""),0,MAX(0,P27-O27))</f>
        <v/>
      </c>
      <c r="R27" s="23" t="n"/>
      <c r="S27" s="26">
        <f>IF(OR(E27="INACTIVE",P27=""),0,IF(AO27="DISABLED",0,IF(AO27="FLAT",AR27,IF(AO27="MANUAL",IF(R27="",0,R27*AP27),IF(AO27="STEP",IF(Q27&lt;=AS27,Q27*AT27,IF(Q27&lt;=AU27,AS27*AT27+(Q27-AS27)*AV27,AS27*AT27+(AU27-AS27)*AV27+(Q27-AU27)*AX27)),MAX(Q27*AP27,AQ27))))))</f>
        <v/>
      </c>
      <c r="T27" s="26">
        <f>IF(OR(E27="INACTIVE",P27=""),0,IF(AY27="NONE",0,IF(AY27="FLAT",AZ27,IF(AY27="PER_UNIT",Q27*BA27,IF(AY27="MANUAL",IF(U27="",0,U27),0)))))</f>
        <v/>
      </c>
      <c r="U27" s="23" t="n"/>
      <c r="V27" s="25" t="n"/>
      <c r="W27" s="25" t="n"/>
      <c r="X27" s="26">
        <f>IF(E27="INACTIVE",0,D27+K27+L27+S27+T27+IF(V27="",0,V27)+IF(W27="",0,W27))</f>
        <v/>
      </c>
      <c r="Y27" s="27" t="n"/>
      <c r="Z27" s="28">
        <f>IF(E27="INACTIVE","_",IF(AND(G27&gt;0,H27&gt;0,H27&lt;G27),"[!]น้ำ reset ","")&amp;IF(AND(O27&gt;0,P27&gt;0,P27&lt;O27),"[!]ไฟ reset ","")&amp;IF(AND(F27="MANUAL",J27=""),"[X]units น้ำ ","")&amp;IF(AND(N27="MANUAL",R27=""),"[X]units ไฟ ","")&amp;IF(D27=0,"[!]ค่าเช่า=0",""))</f>
        <v/>
      </c>
      <c r="AA27" s="29">
        <f>IF(C27&lt;&gt;"",C27,CONFIG!$B$6)</f>
        <v/>
      </c>
      <c r="AB27" s="29">
        <f>IF(F27&lt;&gt;"",F27,IFERROR(VLOOKUP(AA27,RULES!$A:$C,3,0),CONFIG!$B$7))</f>
        <v/>
      </c>
      <c r="AC27" s="29">
        <f>IF(IFERROR(VLOOKUP(AA27,RULES!$A:$D,4,0),"")="",CONFIG!$B$10,VLOOKUP(AA27,RULES!$A:$D,4,0))</f>
        <v/>
      </c>
      <c r="AD27" s="29">
        <f>IF(IFERROR(VLOOKUP(AA27,RULES!$A:$E,5,0),"")="",CONFIG!$B$11,VLOOKUP(AA27,RULES!$A:$E,5,0))</f>
        <v/>
      </c>
      <c r="AE27" s="29">
        <f>IFERROR(VLOOKUP(AA27,RULES!$A:$F,6,0)*1,0)</f>
        <v/>
      </c>
      <c r="AF27" s="29">
        <f>IFERROR(VLOOKUP(AA27,RULES!$A:$G,7,0)*1,0)</f>
        <v/>
      </c>
      <c r="AG27" s="29">
        <f>IFERROR(VLOOKUP(AA27,RULES!$A:$H,8,0)*1,0)</f>
        <v/>
      </c>
      <c r="AH27" s="29">
        <f>IFERROR(VLOOKUP(AA27,RULES!$A:$I,9,0)*1,0)</f>
        <v/>
      </c>
      <c r="AI27" s="29">
        <f>IFERROR(VLOOKUP(AA27,RULES!$A:$J,10,0)*1,0)</f>
        <v/>
      </c>
      <c r="AJ27" s="29">
        <f>IFERROR(IF(VLOOKUP(AA27,RULES!$A:$K,11,0)="",999999,VLOOKUP(AA27,RULES!$A:$K,11,0)*1),999999)</f>
        <v/>
      </c>
      <c r="AK27" s="29">
        <f>IFERROR(VLOOKUP(AA27,RULES!$A:$L,12,0)*1,0)</f>
        <v/>
      </c>
      <c r="AL27" s="29">
        <f>IFERROR(VLOOKUP(AA27,RULES!$A:$M,13,0),"NONE")</f>
        <v/>
      </c>
      <c r="AM27" s="29">
        <f>IFERROR(VLOOKUP(AA27,RULES!$A:$N,14,0)*1,0)</f>
        <v/>
      </c>
      <c r="AN27" s="29">
        <f>IFERROR(VLOOKUP(AA27,RULES!$A:$O,15,0)*1,0)</f>
        <v/>
      </c>
      <c r="AO27" s="29">
        <f>IF(N27&lt;&gt;"",N27,IFERROR(VLOOKUP(AA27,RULES!$A:$P,16,0),CONFIG!$B$8))</f>
        <v/>
      </c>
      <c r="AP27" s="29">
        <f>IF(IFERROR(VLOOKUP(AA27,RULES!$A:$Q,17,0),"")="",CONFIG!$B$13,VLOOKUP(AA27,RULES!$A:$Q,17,0))</f>
        <v/>
      </c>
      <c r="AQ27" s="29">
        <f>IF(IFERROR(VLOOKUP(AA27,RULES!$A:$R,18,0),"")="",CONFIG!$B$14,VLOOKUP(AA27,RULES!$A:$R,18,0))</f>
        <v/>
      </c>
      <c r="AR27" s="29">
        <f>IFERROR(VLOOKUP(AA27,RULES!$A:$S,19,0)*1,0)</f>
        <v/>
      </c>
      <c r="AS27" s="29">
        <f>IFERROR(VLOOKUP(AA27,RULES!$A:$T,20,0)*1,0)</f>
        <v/>
      </c>
      <c r="AT27" s="29">
        <f>IFERROR(VLOOKUP(AA27,RULES!$A:$U,21,0)*1,0)</f>
        <v/>
      </c>
      <c r="AU27" s="29">
        <f>IFERROR(VLOOKUP(AA27,RULES!$A:$V,22,0)*1,0)</f>
        <v/>
      </c>
      <c r="AV27" s="29">
        <f>IFERROR(VLOOKUP(AA27,RULES!$A:$W,23,0)*1,0)</f>
        <v/>
      </c>
      <c r="AW27" s="29">
        <f>IFERROR(IF(VLOOKUP(AA27,RULES!$A:$X,24,0)="",999999,VLOOKUP(AA27,RULES!$A:$X,24,0)*1),999999)</f>
        <v/>
      </c>
      <c r="AX27" s="29">
        <f>IFERROR(VLOOKUP(AA27,RULES!$A:$Y,25,0)*1,0)</f>
        <v/>
      </c>
      <c r="AY27" s="29">
        <f>IFERROR(VLOOKUP(AA27,RULES!$A:$Z,26,0),"NONE")</f>
        <v/>
      </c>
      <c r="AZ27" s="29">
        <f>IFERROR(VLOOKUP(AA27,RULES!$A:$AA,27,0)*1,0)</f>
        <v/>
      </c>
      <c r="BA27" s="29">
        <f>IFERROR(VLOOKUP(AA27,RULES!$A:$AB,28,0)*1,0)</f>
        <v/>
      </c>
    </row>
    <row r="28" ht="17" customHeight="1">
      <c r="A28" s="22" t="inlineStr">
        <is>
          <t>3325</t>
        </is>
      </c>
      <c r="B28" s="48" t="inlineStr">
        <is>
          <t>ACC003</t>
        </is>
      </c>
      <c r="C28" s="48" t="inlineStr">
        <is>
          <t>DEFAULT</t>
        </is>
      </c>
      <c r="D28" s="47" t="n"/>
      <c r="E28" s="22">
        <f>IF(OR(D28="",D28=0),"INACTIVE","ACTIVE")</f>
        <v/>
      </c>
      <c r="F28" s="48" t="inlineStr">
        <is>
          <t>NORMAL</t>
        </is>
      </c>
      <c r="G28" s="25" t="n"/>
      <c r="H28" s="25" t="n"/>
      <c r="I28" s="26">
        <f>IF(OR(E28="INACTIVE",H28=""),0,MAX(0,H28-G28))</f>
        <v/>
      </c>
      <c r="J28" s="23" t="n"/>
      <c r="K28" s="26">
        <f>IF(OR(E28="INACTIVE",H28=""),0,IF(AB28="DISABLED",0,IF(AB28="FLAT",AE28,IF(AB28="MANUAL",IF(J28="",0,J28*AC28),IF(AB28="STEP",IF(I28&lt;=AF28,I28*AG28,IF(I28&lt;=AH28,AF28*AG28+(I28-AF28)*AI28,AF28*AG28+(AH28-AF28)*AI28+(I28-AH28)*AK28)),MAX(I28*AC28,AD28))))))</f>
        <v/>
      </c>
      <c r="L28" s="26">
        <f>IF(OR(E28="INACTIVE",H28=""),0,IF(AL28="NONE",0,IF(AL28="FLAT",AM28,IF(AL28="PER_UNIT",I28*AN28,IF(AL28="MANUAL",IF(M28="",0,M28),0)))))</f>
        <v/>
      </c>
      <c r="M28" s="23" t="n"/>
      <c r="N28" s="48" t="inlineStr">
        <is>
          <t>NORMAL</t>
        </is>
      </c>
      <c r="O28" s="25" t="n"/>
      <c r="P28" s="25" t="n"/>
      <c r="Q28" s="26">
        <f>IF(OR(E28="INACTIVE",P28=""),0,MAX(0,P28-O28))</f>
        <v/>
      </c>
      <c r="R28" s="23" t="n"/>
      <c r="S28" s="26">
        <f>IF(OR(E28="INACTIVE",P28=""),0,IF(AO28="DISABLED",0,IF(AO28="FLAT",AR28,IF(AO28="MANUAL",IF(R28="",0,R28*AP28),IF(AO28="STEP",IF(Q28&lt;=AS28,Q28*AT28,IF(Q28&lt;=AU28,AS28*AT28+(Q28-AS28)*AV28,AS28*AT28+(AU28-AS28)*AV28+(Q28-AU28)*AX28)),MAX(Q28*AP28,AQ28))))))</f>
        <v/>
      </c>
      <c r="T28" s="26">
        <f>IF(OR(E28="INACTIVE",P28=""),0,IF(AY28="NONE",0,IF(AY28="FLAT",AZ28,IF(AY28="PER_UNIT",Q28*BA28,IF(AY28="MANUAL",IF(U28="",0,U28),0)))))</f>
        <v/>
      </c>
      <c r="U28" s="23" t="n"/>
      <c r="V28" s="25" t="n"/>
      <c r="W28" s="25" t="n"/>
      <c r="X28" s="26">
        <f>IF(E28="INACTIVE",0,D28+K28+L28+S28+T28+IF(V28="",0,V28)+IF(W28="",0,W28))</f>
        <v/>
      </c>
      <c r="Y28" s="27" t="n"/>
      <c r="Z28" s="28">
        <f>IF(E28="INACTIVE","_",IF(AND(G28&gt;0,H28&gt;0,H28&lt;G28),"[!]น้ำ reset ","")&amp;IF(AND(O28&gt;0,P28&gt;0,P28&lt;O28),"[!]ไฟ reset ","")&amp;IF(AND(F28="MANUAL",J28=""),"[X]units น้ำ ","")&amp;IF(AND(N28="MANUAL",R28=""),"[X]units ไฟ ","")&amp;IF(D28=0,"[!]ค่าเช่า=0",""))</f>
        <v/>
      </c>
      <c r="AA28" s="29">
        <f>IF(C28&lt;&gt;"",C28,CONFIG!$B$6)</f>
        <v/>
      </c>
      <c r="AB28" s="29">
        <f>IF(F28&lt;&gt;"",F28,IFERROR(VLOOKUP(AA28,RULES!$A:$C,3,0),CONFIG!$B$7))</f>
        <v/>
      </c>
      <c r="AC28" s="29">
        <f>IF(IFERROR(VLOOKUP(AA28,RULES!$A:$D,4,0),"")="",CONFIG!$B$10,VLOOKUP(AA28,RULES!$A:$D,4,0))</f>
        <v/>
      </c>
      <c r="AD28" s="29">
        <f>IF(IFERROR(VLOOKUP(AA28,RULES!$A:$E,5,0),"")="",CONFIG!$B$11,VLOOKUP(AA28,RULES!$A:$E,5,0))</f>
        <v/>
      </c>
      <c r="AE28" s="29">
        <f>IFERROR(VLOOKUP(AA28,RULES!$A:$F,6,0)*1,0)</f>
        <v/>
      </c>
      <c r="AF28" s="29">
        <f>IFERROR(VLOOKUP(AA28,RULES!$A:$G,7,0)*1,0)</f>
        <v/>
      </c>
      <c r="AG28" s="29">
        <f>IFERROR(VLOOKUP(AA28,RULES!$A:$H,8,0)*1,0)</f>
        <v/>
      </c>
      <c r="AH28" s="29">
        <f>IFERROR(VLOOKUP(AA28,RULES!$A:$I,9,0)*1,0)</f>
        <v/>
      </c>
      <c r="AI28" s="29">
        <f>IFERROR(VLOOKUP(AA28,RULES!$A:$J,10,0)*1,0)</f>
        <v/>
      </c>
      <c r="AJ28" s="29">
        <f>IFERROR(IF(VLOOKUP(AA28,RULES!$A:$K,11,0)="",999999,VLOOKUP(AA28,RULES!$A:$K,11,0)*1),999999)</f>
        <v/>
      </c>
      <c r="AK28" s="29">
        <f>IFERROR(VLOOKUP(AA28,RULES!$A:$L,12,0)*1,0)</f>
        <v/>
      </c>
      <c r="AL28" s="29">
        <f>IFERROR(VLOOKUP(AA28,RULES!$A:$M,13,0),"NONE")</f>
        <v/>
      </c>
      <c r="AM28" s="29">
        <f>IFERROR(VLOOKUP(AA28,RULES!$A:$N,14,0)*1,0)</f>
        <v/>
      </c>
      <c r="AN28" s="29">
        <f>IFERROR(VLOOKUP(AA28,RULES!$A:$O,15,0)*1,0)</f>
        <v/>
      </c>
      <c r="AO28" s="29">
        <f>IF(N28&lt;&gt;"",N28,IFERROR(VLOOKUP(AA28,RULES!$A:$P,16,0),CONFIG!$B$8))</f>
        <v/>
      </c>
      <c r="AP28" s="29">
        <f>IF(IFERROR(VLOOKUP(AA28,RULES!$A:$Q,17,0),"")="",CONFIG!$B$13,VLOOKUP(AA28,RULES!$A:$Q,17,0))</f>
        <v/>
      </c>
      <c r="AQ28" s="29">
        <f>IF(IFERROR(VLOOKUP(AA28,RULES!$A:$R,18,0),"")="",CONFIG!$B$14,VLOOKUP(AA28,RULES!$A:$R,18,0))</f>
        <v/>
      </c>
      <c r="AR28" s="29">
        <f>IFERROR(VLOOKUP(AA28,RULES!$A:$S,19,0)*1,0)</f>
        <v/>
      </c>
      <c r="AS28" s="29">
        <f>IFERROR(VLOOKUP(AA28,RULES!$A:$T,20,0)*1,0)</f>
        <v/>
      </c>
      <c r="AT28" s="29">
        <f>IFERROR(VLOOKUP(AA28,RULES!$A:$U,21,0)*1,0)</f>
        <v/>
      </c>
      <c r="AU28" s="29">
        <f>IFERROR(VLOOKUP(AA28,RULES!$A:$V,22,0)*1,0)</f>
        <v/>
      </c>
      <c r="AV28" s="29">
        <f>IFERROR(VLOOKUP(AA28,RULES!$A:$W,23,0)*1,0)</f>
        <v/>
      </c>
      <c r="AW28" s="29">
        <f>IFERROR(IF(VLOOKUP(AA28,RULES!$A:$X,24,0)="",999999,VLOOKUP(AA28,RULES!$A:$X,24,0)*1),999999)</f>
        <v/>
      </c>
      <c r="AX28" s="29">
        <f>IFERROR(VLOOKUP(AA28,RULES!$A:$Y,25,0)*1,0)</f>
        <v/>
      </c>
      <c r="AY28" s="29">
        <f>IFERROR(VLOOKUP(AA28,RULES!$A:$Z,26,0),"NONE")</f>
        <v/>
      </c>
      <c r="AZ28" s="29">
        <f>IFERROR(VLOOKUP(AA28,RULES!$A:$AA,27,0)*1,0)</f>
        <v/>
      </c>
      <c r="BA28" s="29">
        <f>IFERROR(VLOOKUP(AA28,RULES!$A:$AB,28,0)*1,0)</f>
        <v/>
      </c>
    </row>
    <row r="29" ht="17" customHeight="1">
      <c r="A29" s="22" t="inlineStr">
        <is>
          <t>3326</t>
        </is>
      </c>
      <c r="B29" s="48" t="inlineStr">
        <is>
          <t>ACC003</t>
        </is>
      </c>
      <c r="C29" s="48" t="inlineStr">
        <is>
          <t>DEFAULT</t>
        </is>
      </c>
      <c r="D29" s="47" t="n"/>
      <c r="E29" s="22">
        <f>IF(OR(D29="",D29=0),"INACTIVE","ACTIVE")</f>
        <v/>
      </c>
      <c r="F29" s="48" t="inlineStr">
        <is>
          <t>NORMAL</t>
        </is>
      </c>
      <c r="G29" s="25" t="n"/>
      <c r="H29" s="25" t="n"/>
      <c r="I29" s="26">
        <f>IF(OR(E29="INACTIVE",H29=""),0,MAX(0,H29-G29))</f>
        <v/>
      </c>
      <c r="J29" s="23" t="n"/>
      <c r="K29" s="26">
        <f>IF(OR(E29="INACTIVE",H29=""),0,IF(AB29="DISABLED",0,IF(AB29="FLAT",AE29,IF(AB29="MANUAL",IF(J29="",0,J29*AC29),IF(AB29="STEP",IF(I29&lt;=AF29,I29*AG29,IF(I29&lt;=AH29,AF29*AG29+(I29-AF29)*AI29,AF29*AG29+(AH29-AF29)*AI29+(I29-AH29)*AK29)),MAX(I29*AC29,AD29))))))</f>
        <v/>
      </c>
      <c r="L29" s="26">
        <f>IF(OR(E29="INACTIVE",H29=""),0,IF(AL29="NONE",0,IF(AL29="FLAT",AM29,IF(AL29="PER_UNIT",I29*AN29,IF(AL29="MANUAL",IF(M29="",0,M29),0)))))</f>
        <v/>
      </c>
      <c r="M29" s="23" t="n"/>
      <c r="N29" s="48" t="inlineStr">
        <is>
          <t>NORMAL</t>
        </is>
      </c>
      <c r="O29" s="25" t="n"/>
      <c r="P29" s="25" t="n"/>
      <c r="Q29" s="26">
        <f>IF(OR(E29="INACTIVE",P29=""),0,MAX(0,P29-O29))</f>
        <v/>
      </c>
      <c r="R29" s="23" t="n"/>
      <c r="S29" s="26">
        <f>IF(OR(E29="INACTIVE",P29=""),0,IF(AO29="DISABLED",0,IF(AO29="FLAT",AR29,IF(AO29="MANUAL",IF(R29="",0,R29*AP29),IF(AO29="STEP",IF(Q29&lt;=AS29,Q29*AT29,IF(Q29&lt;=AU29,AS29*AT29+(Q29-AS29)*AV29,AS29*AT29+(AU29-AS29)*AV29+(Q29-AU29)*AX29)),MAX(Q29*AP29,AQ29))))))</f>
        <v/>
      </c>
      <c r="T29" s="26">
        <f>IF(OR(E29="INACTIVE",P29=""),0,IF(AY29="NONE",0,IF(AY29="FLAT",AZ29,IF(AY29="PER_UNIT",Q29*BA29,IF(AY29="MANUAL",IF(U29="",0,U29),0)))))</f>
        <v/>
      </c>
      <c r="U29" s="23" t="n"/>
      <c r="V29" s="25" t="n"/>
      <c r="W29" s="25" t="n"/>
      <c r="X29" s="26">
        <f>IF(E29="INACTIVE",0,D29+K29+L29+S29+T29+IF(V29="",0,V29)+IF(W29="",0,W29))</f>
        <v/>
      </c>
      <c r="Y29" s="27" t="n"/>
      <c r="Z29" s="28">
        <f>IF(E29="INACTIVE","_",IF(AND(G29&gt;0,H29&gt;0,H29&lt;G29),"[!]น้ำ reset ","")&amp;IF(AND(O29&gt;0,P29&gt;0,P29&lt;O29),"[!]ไฟ reset ","")&amp;IF(AND(F29="MANUAL",J29=""),"[X]units น้ำ ","")&amp;IF(AND(N29="MANUAL",R29=""),"[X]units ไฟ ","")&amp;IF(D29=0,"[!]ค่าเช่า=0",""))</f>
        <v/>
      </c>
      <c r="AA29" s="29">
        <f>IF(C29&lt;&gt;"",C29,CONFIG!$B$6)</f>
        <v/>
      </c>
      <c r="AB29" s="29">
        <f>IF(F29&lt;&gt;"",F29,IFERROR(VLOOKUP(AA29,RULES!$A:$C,3,0),CONFIG!$B$7))</f>
        <v/>
      </c>
      <c r="AC29" s="29">
        <f>IF(IFERROR(VLOOKUP(AA29,RULES!$A:$D,4,0),"")="",CONFIG!$B$10,VLOOKUP(AA29,RULES!$A:$D,4,0))</f>
        <v/>
      </c>
      <c r="AD29" s="29">
        <f>IF(IFERROR(VLOOKUP(AA29,RULES!$A:$E,5,0),"")="",CONFIG!$B$11,VLOOKUP(AA29,RULES!$A:$E,5,0))</f>
        <v/>
      </c>
      <c r="AE29" s="29">
        <f>IFERROR(VLOOKUP(AA29,RULES!$A:$F,6,0)*1,0)</f>
        <v/>
      </c>
      <c r="AF29" s="29">
        <f>IFERROR(VLOOKUP(AA29,RULES!$A:$G,7,0)*1,0)</f>
        <v/>
      </c>
      <c r="AG29" s="29">
        <f>IFERROR(VLOOKUP(AA29,RULES!$A:$H,8,0)*1,0)</f>
        <v/>
      </c>
      <c r="AH29" s="29">
        <f>IFERROR(VLOOKUP(AA29,RULES!$A:$I,9,0)*1,0)</f>
        <v/>
      </c>
      <c r="AI29" s="29">
        <f>IFERROR(VLOOKUP(AA29,RULES!$A:$J,10,0)*1,0)</f>
        <v/>
      </c>
      <c r="AJ29" s="29">
        <f>IFERROR(IF(VLOOKUP(AA29,RULES!$A:$K,11,0)="",999999,VLOOKUP(AA29,RULES!$A:$K,11,0)*1),999999)</f>
        <v/>
      </c>
      <c r="AK29" s="29">
        <f>IFERROR(VLOOKUP(AA29,RULES!$A:$L,12,0)*1,0)</f>
        <v/>
      </c>
      <c r="AL29" s="29">
        <f>IFERROR(VLOOKUP(AA29,RULES!$A:$M,13,0),"NONE")</f>
        <v/>
      </c>
      <c r="AM29" s="29">
        <f>IFERROR(VLOOKUP(AA29,RULES!$A:$N,14,0)*1,0)</f>
        <v/>
      </c>
      <c r="AN29" s="29">
        <f>IFERROR(VLOOKUP(AA29,RULES!$A:$O,15,0)*1,0)</f>
        <v/>
      </c>
      <c r="AO29" s="29">
        <f>IF(N29&lt;&gt;"",N29,IFERROR(VLOOKUP(AA29,RULES!$A:$P,16,0),CONFIG!$B$8))</f>
        <v/>
      </c>
      <c r="AP29" s="29">
        <f>IF(IFERROR(VLOOKUP(AA29,RULES!$A:$Q,17,0),"")="",CONFIG!$B$13,VLOOKUP(AA29,RULES!$A:$Q,17,0))</f>
        <v/>
      </c>
      <c r="AQ29" s="29">
        <f>IF(IFERROR(VLOOKUP(AA29,RULES!$A:$R,18,0),"")="",CONFIG!$B$14,VLOOKUP(AA29,RULES!$A:$R,18,0))</f>
        <v/>
      </c>
      <c r="AR29" s="29">
        <f>IFERROR(VLOOKUP(AA29,RULES!$A:$S,19,0)*1,0)</f>
        <v/>
      </c>
      <c r="AS29" s="29">
        <f>IFERROR(VLOOKUP(AA29,RULES!$A:$T,20,0)*1,0)</f>
        <v/>
      </c>
      <c r="AT29" s="29">
        <f>IFERROR(VLOOKUP(AA29,RULES!$A:$U,21,0)*1,0)</f>
        <v/>
      </c>
      <c r="AU29" s="29">
        <f>IFERROR(VLOOKUP(AA29,RULES!$A:$V,22,0)*1,0)</f>
        <v/>
      </c>
      <c r="AV29" s="29">
        <f>IFERROR(VLOOKUP(AA29,RULES!$A:$W,23,0)*1,0)</f>
        <v/>
      </c>
      <c r="AW29" s="29">
        <f>IFERROR(IF(VLOOKUP(AA29,RULES!$A:$X,24,0)="",999999,VLOOKUP(AA29,RULES!$A:$X,24,0)*1),999999)</f>
        <v/>
      </c>
      <c r="AX29" s="29">
        <f>IFERROR(VLOOKUP(AA29,RULES!$A:$Y,25,0)*1,0)</f>
        <v/>
      </c>
      <c r="AY29" s="29">
        <f>IFERROR(VLOOKUP(AA29,RULES!$A:$Z,26,0),"NONE")</f>
        <v/>
      </c>
      <c r="AZ29" s="29">
        <f>IFERROR(VLOOKUP(AA29,RULES!$A:$AA,27,0)*1,0)</f>
        <v/>
      </c>
      <c r="BA29" s="29">
        <f>IFERROR(VLOOKUP(AA29,RULES!$A:$AB,28,0)*1,0)</f>
        <v/>
      </c>
    </row>
    <row r="30" ht="17" customHeight="1">
      <c r="A30" s="22" t="inlineStr">
        <is>
          <t>3327</t>
        </is>
      </c>
      <c r="B30" s="48" t="inlineStr">
        <is>
          <t>ACC003</t>
        </is>
      </c>
      <c r="C30" s="48" t="inlineStr">
        <is>
          <t>DEFAULT</t>
        </is>
      </c>
      <c r="D30" s="47" t="n"/>
      <c r="E30" s="22">
        <f>IF(OR(D30="",D30=0),"INACTIVE","ACTIVE")</f>
        <v/>
      </c>
      <c r="F30" s="48" t="inlineStr">
        <is>
          <t>NORMAL</t>
        </is>
      </c>
      <c r="G30" s="25" t="n"/>
      <c r="H30" s="25" t="n"/>
      <c r="I30" s="26">
        <f>IF(OR(E30="INACTIVE",H30=""),0,MAX(0,H30-G30))</f>
        <v/>
      </c>
      <c r="J30" s="23" t="n"/>
      <c r="K30" s="26">
        <f>IF(OR(E30="INACTIVE",H30=""),0,IF(AB30="DISABLED",0,IF(AB30="FLAT",AE30,IF(AB30="MANUAL",IF(J30="",0,J30*AC30),IF(AB30="STEP",IF(I30&lt;=AF30,I30*AG30,IF(I30&lt;=AH30,AF30*AG30+(I30-AF30)*AI30,AF30*AG30+(AH30-AF30)*AI30+(I30-AH30)*AK30)),MAX(I30*AC30,AD30))))))</f>
        <v/>
      </c>
      <c r="L30" s="26">
        <f>IF(OR(E30="INACTIVE",H30=""),0,IF(AL30="NONE",0,IF(AL30="FLAT",AM30,IF(AL30="PER_UNIT",I30*AN30,IF(AL30="MANUAL",IF(M30="",0,M30),0)))))</f>
        <v/>
      </c>
      <c r="M30" s="23" t="n"/>
      <c r="N30" s="48" t="inlineStr">
        <is>
          <t>NORMAL</t>
        </is>
      </c>
      <c r="O30" s="25" t="n"/>
      <c r="P30" s="25" t="n"/>
      <c r="Q30" s="26">
        <f>IF(OR(E30="INACTIVE",P30=""),0,MAX(0,P30-O30))</f>
        <v/>
      </c>
      <c r="R30" s="23" t="n"/>
      <c r="S30" s="26">
        <f>IF(OR(E30="INACTIVE",P30=""),0,IF(AO30="DISABLED",0,IF(AO30="FLAT",AR30,IF(AO30="MANUAL",IF(R30="",0,R30*AP30),IF(AO30="STEP",IF(Q30&lt;=AS30,Q30*AT30,IF(Q30&lt;=AU30,AS30*AT30+(Q30-AS30)*AV30,AS30*AT30+(AU30-AS30)*AV30+(Q30-AU30)*AX30)),MAX(Q30*AP30,AQ30))))))</f>
        <v/>
      </c>
      <c r="T30" s="26">
        <f>IF(OR(E30="INACTIVE",P30=""),0,IF(AY30="NONE",0,IF(AY30="FLAT",AZ30,IF(AY30="PER_UNIT",Q30*BA30,IF(AY30="MANUAL",IF(U30="",0,U30),0)))))</f>
        <v/>
      </c>
      <c r="U30" s="23" t="n"/>
      <c r="V30" s="25" t="n"/>
      <c r="W30" s="25" t="n"/>
      <c r="X30" s="26">
        <f>IF(E30="INACTIVE",0,D30+K30+L30+S30+T30+IF(V30="",0,V30)+IF(W30="",0,W30))</f>
        <v/>
      </c>
      <c r="Y30" s="27" t="n"/>
      <c r="Z30" s="28">
        <f>IF(E30="INACTIVE","_",IF(AND(G30&gt;0,H30&gt;0,H30&lt;G30),"[!]น้ำ reset ","")&amp;IF(AND(O30&gt;0,P30&gt;0,P30&lt;O30),"[!]ไฟ reset ","")&amp;IF(AND(F30="MANUAL",J30=""),"[X]units น้ำ ","")&amp;IF(AND(N30="MANUAL",R30=""),"[X]units ไฟ ","")&amp;IF(D30=0,"[!]ค่าเช่า=0",""))</f>
        <v/>
      </c>
      <c r="AA30" s="29">
        <f>IF(C30&lt;&gt;"",C30,CONFIG!$B$6)</f>
        <v/>
      </c>
      <c r="AB30" s="29">
        <f>IF(F30&lt;&gt;"",F30,IFERROR(VLOOKUP(AA30,RULES!$A:$C,3,0),CONFIG!$B$7))</f>
        <v/>
      </c>
      <c r="AC30" s="29">
        <f>IF(IFERROR(VLOOKUP(AA30,RULES!$A:$D,4,0),"")="",CONFIG!$B$10,VLOOKUP(AA30,RULES!$A:$D,4,0))</f>
        <v/>
      </c>
      <c r="AD30" s="29">
        <f>IF(IFERROR(VLOOKUP(AA30,RULES!$A:$E,5,0),"")="",CONFIG!$B$11,VLOOKUP(AA30,RULES!$A:$E,5,0))</f>
        <v/>
      </c>
      <c r="AE30" s="29">
        <f>IFERROR(VLOOKUP(AA30,RULES!$A:$F,6,0)*1,0)</f>
        <v/>
      </c>
      <c r="AF30" s="29">
        <f>IFERROR(VLOOKUP(AA30,RULES!$A:$G,7,0)*1,0)</f>
        <v/>
      </c>
      <c r="AG30" s="29">
        <f>IFERROR(VLOOKUP(AA30,RULES!$A:$H,8,0)*1,0)</f>
        <v/>
      </c>
      <c r="AH30" s="29">
        <f>IFERROR(VLOOKUP(AA30,RULES!$A:$I,9,0)*1,0)</f>
        <v/>
      </c>
      <c r="AI30" s="29">
        <f>IFERROR(VLOOKUP(AA30,RULES!$A:$J,10,0)*1,0)</f>
        <v/>
      </c>
      <c r="AJ30" s="29">
        <f>IFERROR(IF(VLOOKUP(AA30,RULES!$A:$K,11,0)="",999999,VLOOKUP(AA30,RULES!$A:$K,11,0)*1),999999)</f>
        <v/>
      </c>
      <c r="AK30" s="29">
        <f>IFERROR(VLOOKUP(AA30,RULES!$A:$L,12,0)*1,0)</f>
        <v/>
      </c>
      <c r="AL30" s="29">
        <f>IFERROR(VLOOKUP(AA30,RULES!$A:$M,13,0),"NONE")</f>
        <v/>
      </c>
      <c r="AM30" s="29">
        <f>IFERROR(VLOOKUP(AA30,RULES!$A:$N,14,0)*1,0)</f>
        <v/>
      </c>
      <c r="AN30" s="29">
        <f>IFERROR(VLOOKUP(AA30,RULES!$A:$O,15,0)*1,0)</f>
        <v/>
      </c>
      <c r="AO30" s="29">
        <f>IF(N30&lt;&gt;"",N30,IFERROR(VLOOKUP(AA30,RULES!$A:$P,16,0),CONFIG!$B$8))</f>
        <v/>
      </c>
      <c r="AP30" s="29">
        <f>IF(IFERROR(VLOOKUP(AA30,RULES!$A:$Q,17,0),"")="",CONFIG!$B$13,VLOOKUP(AA30,RULES!$A:$Q,17,0))</f>
        <v/>
      </c>
      <c r="AQ30" s="29">
        <f>IF(IFERROR(VLOOKUP(AA30,RULES!$A:$R,18,0),"")="",CONFIG!$B$14,VLOOKUP(AA30,RULES!$A:$R,18,0))</f>
        <v/>
      </c>
      <c r="AR30" s="29">
        <f>IFERROR(VLOOKUP(AA30,RULES!$A:$S,19,0)*1,0)</f>
        <v/>
      </c>
      <c r="AS30" s="29">
        <f>IFERROR(VLOOKUP(AA30,RULES!$A:$T,20,0)*1,0)</f>
        <v/>
      </c>
      <c r="AT30" s="29">
        <f>IFERROR(VLOOKUP(AA30,RULES!$A:$U,21,0)*1,0)</f>
        <v/>
      </c>
      <c r="AU30" s="29">
        <f>IFERROR(VLOOKUP(AA30,RULES!$A:$V,22,0)*1,0)</f>
        <v/>
      </c>
      <c r="AV30" s="29">
        <f>IFERROR(VLOOKUP(AA30,RULES!$A:$W,23,0)*1,0)</f>
        <v/>
      </c>
      <c r="AW30" s="29">
        <f>IFERROR(IF(VLOOKUP(AA30,RULES!$A:$X,24,0)="",999999,VLOOKUP(AA30,RULES!$A:$X,24,0)*1),999999)</f>
        <v/>
      </c>
      <c r="AX30" s="29">
        <f>IFERROR(VLOOKUP(AA30,RULES!$A:$Y,25,0)*1,0)</f>
        <v/>
      </c>
      <c r="AY30" s="29">
        <f>IFERROR(VLOOKUP(AA30,RULES!$A:$Z,26,0),"NONE")</f>
        <v/>
      </c>
      <c r="AZ30" s="29">
        <f>IFERROR(VLOOKUP(AA30,RULES!$A:$AA,27,0)*1,0)</f>
        <v/>
      </c>
      <c r="BA30" s="29">
        <f>IFERROR(VLOOKUP(AA30,RULES!$A:$AB,28,0)*1,0)</f>
        <v/>
      </c>
    </row>
    <row r="31" ht="17" customHeight="1">
      <c r="A31" s="22" t="inlineStr">
        <is>
          <t>3328</t>
        </is>
      </c>
      <c r="B31" s="48" t="inlineStr">
        <is>
          <t>ACC003</t>
        </is>
      </c>
      <c r="C31" s="48" t="inlineStr">
        <is>
          <t>DEFAULT</t>
        </is>
      </c>
      <c r="D31" s="47" t="n"/>
      <c r="E31" s="22">
        <f>IF(OR(D31="",D31=0),"INACTIVE","ACTIVE")</f>
        <v/>
      </c>
      <c r="F31" s="48" t="inlineStr">
        <is>
          <t>NORMAL</t>
        </is>
      </c>
      <c r="G31" s="25" t="n"/>
      <c r="H31" s="25" t="n"/>
      <c r="I31" s="26">
        <f>IF(OR(E31="INACTIVE",H31=""),0,MAX(0,H31-G31))</f>
        <v/>
      </c>
      <c r="J31" s="23" t="n"/>
      <c r="K31" s="26">
        <f>IF(OR(E31="INACTIVE",H31=""),0,IF(AB31="DISABLED",0,IF(AB31="FLAT",AE31,IF(AB31="MANUAL",IF(J31="",0,J31*AC31),IF(AB31="STEP",IF(I31&lt;=AF31,I31*AG31,IF(I31&lt;=AH31,AF31*AG31+(I31-AF31)*AI31,AF31*AG31+(AH31-AF31)*AI31+(I31-AH31)*AK31)),MAX(I31*AC31,AD31))))))</f>
        <v/>
      </c>
      <c r="L31" s="26">
        <f>IF(OR(E31="INACTIVE",H31=""),0,IF(AL31="NONE",0,IF(AL31="FLAT",AM31,IF(AL31="PER_UNIT",I31*AN31,IF(AL31="MANUAL",IF(M31="",0,M31),0)))))</f>
        <v/>
      </c>
      <c r="M31" s="23" t="n"/>
      <c r="N31" s="48" t="inlineStr">
        <is>
          <t>NORMAL</t>
        </is>
      </c>
      <c r="O31" s="25" t="n"/>
      <c r="P31" s="25" t="n"/>
      <c r="Q31" s="26">
        <f>IF(OR(E31="INACTIVE",P31=""),0,MAX(0,P31-O31))</f>
        <v/>
      </c>
      <c r="R31" s="23" t="n"/>
      <c r="S31" s="26">
        <f>IF(OR(E31="INACTIVE",P31=""),0,IF(AO31="DISABLED",0,IF(AO31="FLAT",AR31,IF(AO31="MANUAL",IF(R31="",0,R31*AP31),IF(AO31="STEP",IF(Q31&lt;=AS31,Q31*AT31,IF(Q31&lt;=AU31,AS31*AT31+(Q31-AS31)*AV31,AS31*AT31+(AU31-AS31)*AV31+(Q31-AU31)*AX31)),MAX(Q31*AP31,AQ31))))))</f>
        <v/>
      </c>
      <c r="T31" s="26">
        <f>IF(OR(E31="INACTIVE",P31=""),0,IF(AY31="NONE",0,IF(AY31="FLAT",AZ31,IF(AY31="PER_UNIT",Q31*BA31,IF(AY31="MANUAL",IF(U31="",0,U31),0)))))</f>
        <v/>
      </c>
      <c r="U31" s="23" t="n"/>
      <c r="V31" s="25" t="n"/>
      <c r="W31" s="25" t="n"/>
      <c r="X31" s="26">
        <f>IF(E31="INACTIVE",0,D31+K31+L31+S31+T31+IF(V31="",0,V31)+IF(W31="",0,W31))</f>
        <v/>
      </c>
      <c r="Y31" s="27" t="n"/>
      <c r="Z31" s="28">
        <f>IF(E31="INACTIVE","_",IF(AND(G31&gt;0,H31&gt;0,H31&lt;G31),"[!]น้ำ reset ","")&amp;IF(AND(O31&gt;0,P31&gt;0,P31&lt;O31),"[!]ไฟ reset ","")&amp;IF(AND(F31="MANUAL",J31=""),"[X]units น้ำ ","")&amp;IF(AND(N31="MANUAL",R31=""),"[X]units ไฟ ","")&amp;IF(D31=0,"[!]ค่าเช่า=0",""))</f>
        <v/>
      </c>
      <c r="AA31" s="29">
        <f>IF(C31&lt;&gt;"",C31,CONFIG!$B$6)</f>
        <v/>
      </c>
      <c r="AB31" s="29">
        <f>IF(F31&lt;&gt;"",F31,IFERROR(VLOOKUP(AA31,RULES!$A:$C,3,0),CONFIG!$B$7))</f>
        <v/>
      </c>
      <c r="AC31" s="29">
        <f>IF(IFERROR(VLOOKUP(AA31,RULES!$A:$D,4,0),"")="",CONFIG!$B$10,VLOOKUP(AA31,RULES!$A:$D,4,0))</f>
        <v/>
      </c>
      <c r="AD31" s="29">
        <f>IF(IFERROR(VLOOKUP(AA31,RULES!$A:$E,5,0),"")="",CONFIG!$B$11,VLOOKUP(AA31,RULES!$A:$E,5,0))</f>
        <v/>
      </c>
      <c r="AE31" s="29">
        <f>IFERROR(VLOOKUP(AA31,RULES!$A:$F,6,0)*1,0)</f>
        <v/>
      </c>
      <c r="AF31" s="29">
        <f>IFERROR(VLOOKUP(AA31,RULES!$A:$G,7,0)*1,0)</f>
        <v/>
      </c>
      <c r="AG31" s="29">
        <f>IFERROR(VLOOKUP(AA31,RULES!$A:$H,8,0)*1,0)</f>
        <v/>
      </c>
      <c r="AH31" s="29">
        <f>IFERROR(VLOOKUP(AA31,RULES!$A:$I,9,0)*1,0)</f>
        <v/>
      </c>
      <c r="AI31" s="29">
        <f>IFERROR(VLOOKUP(AA31,RULES!$A:$J,10,0)*1,0)</f>
        <v/>
      </c>
      <c r="AJ31" s="29">
        <f>IFERROR(IF(VLOOKUP(AA31,RULES!$A:$K,11,0)="",999999,VLOOKUP(AA31,RULES!$A:$K,11,0)*1),999999)</f>
        <v/>
      </c>
      <c r="AK31" s="29">
        <f>IFERROR(VLOOKUP(AA31,RULES!$A:$L,12,0)*1,0)</f>
        <v/>
      </c>
      <c r="AL31" s="29">
        <f>IFERROR(VLOOKUP(AA31,RULES!$A:$M,13,0),"NONE")</f>
        <v/>
      </c>
      <c r="AM31" s="29">
        <f>IFERROR(VLOOKUP(AA31,RULES!$A:$N,14,0)*1,0)</f>
        <v/>
      </c>
      <c r="AN31" s="29">
        <f>IFERROR(VLOOKUP(AA31,RULES!$A:$O,15,0)*1,0)</f>
        <v/>
      </c>
      <c r="AO31" s="29">
        <f>IF(N31&lt;&gt;"",N31,IFERROR(VLOOKUP(AA31,RULES!$A:$P,16,0),CONFIG!$B$8))</f>
        <v/>
      </c>
      <c r="AP31" s="29">
        <f>IF(IFERROR(VLOOKUP(AA31,RULES!$A:$Q,17,0),"")="",CONFIG!$B$13,VLOOKUP(AA31,RULES!$A:$Q,17,0))</f>
        <v/>
      </c>
      <c r="AQ31" s="29">
        <f>IF(IFERROR(VLOOKUP(AA31,RULES!$A:$R,18,0),"")="",CONFIG!$B$14,VLOOKUP(AA31,RULES!$A:$R,18,0))</f>
        <v/>
      </c>
      <c r="AR31" s="29">
        <f>IFERROR(VLOOKUP(AA31,RULES!$A:$S,19,0)*1,0)</f>
        <v/>
      </c>
      <c r="AS31" s="29">
        <f>IFERROR(VLOOKUP(AA31,RULES!$A:$T,20,0)*1,0)</f>
        <v/>
      </c>
      <c r="AT31" s="29">
        <f>IFERROR(VLOOKUP(AA31,RULES!$A:$U,21,0)*1,0)</f>
        <v/>
      </c>
      <c r="AU31" s="29">
        <f>IFERROR(VLOOKUP(AA31,RULES!$A:$V,22,0)*1,0)</f>
        <v/>
      </c>
      <c r="AV31" s="29">
        <f>IFERROR(VLOOKUP(AA31,RULES!$A:$W,23,0)*1,0)</f>
        <v/>
      </c>
      <c r="AW31" s="29">
        <f>IFERROR(IF(VLOOKUP(AA31,RULES!$A:$X,24,0)="",999999,VLOOKUP(AA31,RULES!$A:$X,24,0)*1),999999)</f>
        <v/>
      </c>
      <c r="AX31" s="29">
        <f>IFERROR(VLOOKUP(AA31,RULES!$A:$Y,25,0)*1,0)</f>
        <v/>
      </c>
      <c r="AY31" s="29">
        <f>IFERROR(VLOOKUP(AA31,RULES!$A:$Z,26,0),"NONE")</f>
        <v/>
      </c>
      <c r="AZ31" s="29">
        <f>IFERROR(VLOOKUP(AA31,RULES!$A:$AA,27,0)*1,0)</f>
        <v/>
      </c>
      <c r="BA31" s="29">
        <f>IFERROR(VLOOKUP(AA31,RULES!$A:$AB,28,0)*1,0)</f>
        <v/>
      </c>
    </row>
    <row r="32" ht="17" customHeight="1">
      <c r="A32" s="22" t="inlineStr">
        <is>
          <t>3329</t>
        </is>
      </c>
      <c r="B32" s="48" t="inlineStr">
        <is>
          <t>ACC003</t>
        </is>
      </c>
      <c r="C32" s="48" t="inlineStr">
        <is>
          <t>DEFAULT</t>
        </is>
      </c>
      <c r="D32" s="47" t="n"/>
      <c r="E32" s="22">
        <f>IF(OR(D32="",D32=0),"INACTIVE","ACTIVE")</f>
        <v/>
      </c>
      <c r="F32" s="48" t="inlineStr">
        <is>
          <t>NORMAL</t>
        </is>
      </c>
      <c r="G32" s="25" t="n"/>
      <c r="H32" s="25" t="n"/>
      <c r="I32" s="26">
        <f>IF(OR(E32="INACTIVE",H32=""),0,MAX(0,H32-G32))</f>
        <v/>
      </c>
      <c r="J32" s="23" t="n"/>
      <c r="K32" s="26">
        <f>IF(OR(E32="INACTIVE",H32=""),0,IF(AB32="DISABLED",0,IF(AB32="FLAT",AE32,IF(AB32="MANUAL",IF(J32="",0,J32*AC32),IF(AB32="STEP",IF(I32&lt;=AF32,I32*AG32,IF(I32&lt;=AH32,AF32*AG32+(I32-AF32)*AI32,AF32*AG32+(AH32-AF32)*AI32+(I32-AH32)*AK32)),MAX(I32*AC32,AD32))))))</f>
        <v/>
      </c>
      <c r="L32" s="26">
        <f>IF(OR(E32="INACTIVE",H32=""),0,IF(AL32="NONE",0,IF(AL32="FLAT",AM32,IF(AL32="PER_UNIT",I32*AN32,IF(AL32="MANUAL",IF(M32="",0,M32),0)))))</f>
        <v/>
      </c>
      <c r="M32" s="23" t="n"/>
      <c r="N32" s="48" t="inlineStr">
        <is>
          <t>NORMAL</t>
        </is>
      </c>
      <c r="O32" s="25" t="n"/>
      <c r="P32" s="25" t="n"/>
      <c r="Q32" s="26">
        <f>IF(OR(E32="INACTIVE",P32=""),0,MAX(0,P32-O32))</f>
        <v/>
      </c>
      <c r="R32" s="23" t="n"/>
      <c r="S32" s="26">
        <f>IF(OR(E32="INACTIVE",P32=""),0,IF(AO32="DISABLED",0,IF(AO32="FLAT",AR32,IF(AO32="MANUAL",IF(R32="",0,R32*AP32),IF(AO32="STEP",IF(Q32&lt;=AS32,Q32*AT32,IF(Q32&lt;=AU32,AS32*AT32+(Q32-AS32)*AV32,AS32*AT32+(AU32-AS32)*AV32+(Q32-AU32)*AX32)),MAX(Q32*AP32,AQ32))))))</f>
        <v/>
      </c>
      <c r="T32" s="26">
        <f>IF(OR(E32="INACTIVE",P32=""),0,IF(AY32="NONE",0,IF(AY32="FLAT",AZ32,IF(AY32="PER_UNIT",Q32*BA32,IF(AY32="MANUAL",IF(U32="",0,U32),0)))))</f>
        <v/>
      </c>
      <c r="U32" s="23" t="n"/>
      <c r="V32" s="25" t="n"/>
      <c r="W32" s="25" t="n"/>
      <c r="X32" s="26">
        <f>IF(E32="INACTIVE",0,D32+K32+L32+S32+T32+IF(V32="",0,V32)+IF(W32="",0,W32))</f>
        <v/>
      </c>
      <c r="Y32" s="27" t="n"/>
      <c r="Z32" s="28">
        <f>IF(E32="INACTIVE","_",IF(AND(G32&gt;0,H32&gt;0,H32&lt;G32),"[!]น้ำ reset ","")&amp;IF(AND(O32&gt;0,P32&gt;0,P32&lt;O32),"[!]ไฟ reset ","")&amp;IF(AND(F32="MANUAL",J32=""),"[X]units น้ำ ","")&amp;IF(AND(N32="MANUAL",R32=""),"[X]units ไฟ ","")&amp;IF(D32=0,"[!]ค่าเช่า=0",""))</f>
        <v/>
      </c>
      <c r="AA32" s="29">
        <f>IF(C32&lt;&gt;"",C32,CONFIG!$B$6)</f>
        <v/>
      </c>
      <c r="AB32" s="29">
        <f>IF(F32&lt;&gt;"",F32,IFERROR(VLOOKUP(AA32,RULES!$A:$C,3,0),CONFIG!$B$7))</f>
        <v/>
      </c>
      <c r="AC32" s="29">
        <f>IF(IFERROR(VLOOKUP(AA32,RULES!$A:$D,4,0),"")="",CONFIG!$B$10,VLOOKUP(AA32,RULES!$A:$D,4,0))</f>
        <v/>
      </c>
      <c r="AD32" s="29">
        <f>IF(IFERROR(VLOOKUP(AA32,RULES!$A:$E,5,0),"")="",CONFIG!$B$11,VLOOKUP(AA32,RULES!$A:$E,5,0))</f>
        <v/>
      </c>
      <c r="AE32" s="29">
        <f>IFERROR(VLOOKUP(AA32,RULES!$A:$F,6,0)*1,0)</f>
        <v/>
      </c>
      <c r="AF32" s="29">
        <f>IFERROR(VLOOKUP(AA32,RULES!$A:$G,7,0)*1,0)</f>
        <v/>
      </c>
      <c r="AG32" s="29">
        <f>IFERROR(VLOOKUP(AA32,RULES!$A:$H,8,0)*1,0)</f>
        <v/>
      </c>
      <c r="AH32" s="29">
        <f>IFERROR(VLOOKUP(AA32,RULES!$A:$I,9,0)*1,0)</f>
        <v/>
      </c>
      <c r="AI32" s="29">
        <f>IFERROR(VLOOKUP(AA32,RULES!$A:$J,10,0)*1,0)</f>
        <v/>
      </c>
      <c r="AJ32" s="29">
        <f>IFERROR(IF(VLOOKUP(AA32,RULES!$A:$K,11,0)="",999999,VLOOKUP(AA32,RULES!$A:$K,11,0)*1),999999)</f>
        <v/>
      </c>
      <c r="AK32" s="29">
        <f>IFERROR(VLOOKUP(AA32,RULES!$A:$L,12,0)*1,0)</f>
        <v/>
      </c>
      <c r="AL32" s="29">
        <f>IFERROR(VLOOKUP(AA32,RULES!$A:$M,13,0),"NONE")</f>
        <v/>
      </c>
      <c r="AM32" s="29">
        <f>IFERROR(VLOOKUP(AA32,RULES!$A:$N,14,0)*1,0)</f>
        <v/>
      </c>
      <c r="AN32" s="29">
        <f>IFERROR(VLOOKUP(AA32,RULES!$A:$O,15,0)*1,0)</f>
        <v/>
      </c>
      <c r="AO32" s="29">
        <f>IF(N32&lt;&gt;"",N32,IFERROR(VLOOKUP(AA32,RULES!$A:$P,16,0),CONFIG!$B$8))</f>
        <v/>
      </c>
      <c r="AP32" s="29">
        <f>IF(IFERROR(VLOOKUP(AA32,RULES!$A:$Q,17,0),"")="",CONFIG!$B$13,VLOOKUP(AA32,RULES!$A:$Q,17,0))</f>
        <v/>
      </c>
      <c r="AQ32" s="29">
        <f>IF(IFERROR(VLOOKUP(AA32,RULES!$A:$R,18,0),"")="",CONFIG!$B$14,VLOOKUP(AA32,RULES!$A:$R,18,0))</f>
        <v/>
      </c>
      <c r="AR32" s="29">
        <f>IFERROR(VLOOKUP(AA32,RULES!$A:$S,19,0)*1,0)</f>
        <v/>
      </c>
      <c r="AS32" s="29">
        <f>IFERROR(VLOOKUP(AA32,RULES!$A:$T,20,0)*1,0)</f>
        <v/>
      </c>
      <c r="AT32" s="29">
        <f>IFERROR(VLOOKUP(AA32,RULES!$A:$U,21,0)*1,0)</f>
        <v/>
      </c>
      <c r="AU32" s="29">
        <f>IFERROR(VLOOKUP(AA32,RULES!$A:$V,22,0)*1,0)</f>
        <v/>
      </c>
      <c r="AV32" s="29">
        <f>IFERROR(VLOOKUP(AA32,RULES!$A:$W,23,0)*1,0)</f>
        <v/>
      </c>
      <c r="AW32" s="29">
        <f>IFERROR(IF(VLOOKUP(AA32,RULES!$A:$X,24,0)="",999999,VLOOKUP(AA32,RULES!$A:$X,24,0)*1),999999)</f>
        <v/>
      </c>
      <c r="AX32" s="29">
        <f>IFERROR(VLOOKUP(AA32,RULES!$A:$Y,25,0)*1,0)</f>
        <v/>
      </c>
      <c r="AY32" s="29">
        <f>IFERROR(VLOOKUP(AA32,RULES!$A:$Z,26,0),"NONE")</f>
        <v/>
      </c>
      <c r="AZ32" s="29">
        <f>IFERROR(VLOOKUP(AA32,RULES!$A:$AA,27,0)*1,0)</f>
        <v/>
      </c>
      <c r="BA32" s="29">
        <f>IFERROR(VLOOKUP(AA32,RULES!$A:$AB,28,0)*1,0)</f>
        <v/>
      </c>
    </row>
    <row r="33" ht="17" customHeight="1">
      <c r="A33" s="22" t="inlineStr">
        <is>
          <t>3330</t>
        </is>
      </c>
      <c r="B33" s="48" t="inlineStr">
        <is>
          <t>ACC003</t>
        </is>
      </c>
      <c r="C33" s="48" t="inlineStr">
        <is>
          <t>DEFAULT</t>
        </is>
      </c>
      <c r="D33" s="47" t="n"/>
      <c r="E33" s="22">
        <f>IF(OR(D33="",D33=0),"INACTIVE","ACTIVE")</f>
        <v/>
      </c>
      <c r="F33" s="48" t="inlineStr">
        <is>
          <t>NORMAL</t>
        </is>
      </c>
      <c r="G33" s="25" t="n"/>
      <c r="H33" s="25" t="n"/>
      <c r="I33" s="26">
        <f>IF(OR(E33="INACTIVE",H33=""),0,MAX(0,H33-G33))</f>
        <v/>
      </c>
      <c r="J33" s="23" t="n"/>
      <c r="K33" s="26">
        <f>IF(OR(E33="INACTIVE",H33=""),0,IF(AB33="DISABLED",0,IF(AB33="FLAT",AE33,IF(AB33="MANUAL",IF(J33="",0,J33*AC33),IF(AB33="STEP",IF(I33&lt;=AF33,I33*AG33,IF(I33&lt;=AH33,AF33*AG33+(I33-AF33)*AI33,AF33*AG33+(AH33-AF33)*AI33+(I33-AH33)*AK33)),MAX(I33*AC33,AD33))))))</f>
        <v/>
      </c>
      <c r="L33" s="26">
        <f>IF(OR(E33="INACTIVE",H33=""),0,IF(AL33="NONE",0,IF(AL33="FLAT",AM33,IF(AL33="PER_UNIT",I33*AN33,IF(AL33="MANUAL",IF(M33="",0,M33),0)))))</f>
        <v/>
      </c>
      <c r="M33" s="23" t="n"/>
      <c r="N33" s="48" t="inlineStr">
        <is>
          <t>NORMAL</t>
        </is>
      </c>
      <c r="O33" s="25" t="n"/>
      <c r="P33" s="25" t="n"/>
      <c r="Q33" s="26">
        <f>IF(OR(E33="INACTIVE",P33=""),0,MAX(0,P33-O33))</f>
        <v/>
      </c>
      <c r="R33" s="23" t="n"/>
      <c r="S33" s="26">
        <f>IF(OR(E33="INACTIVE",P33=""),0,IF(AO33="DISABLED",0,IF(AO33="FLAT",AR33,IF(AO33="MANUAL",IF(R33="",0,R33*AP33),IF(AO33="STEP",IF(Q33&lt;=AS33,Q33*AT33,IF(Q33&lt;=AU33,AS33*AT33+(Q33-AS33)*AV33,AS33*AT33+(AU33-AS33)*AV33+(Q33-AU33)*AX33)),MAX(Q33*AP33,AQ33))))))</f>
        <v/>
      </c>
      <c r="T33" s="26">
        <f>IF(OR(E33="INACTIVE",P33=""),0,IF(AY33="NONE",0,IF(AY33="FLAT",AZ33,IF(AY33="PER_UNIT",Q33*BA33,IF(AY33="MANUAL",IF(U33="",0,U33),0)))))</f>
        <v/>
      </c>
      <c r="U33" s="23" t="n"/>
      <c r="V33" s="25" t="n"/>
      <c r="W33" s="25" t="n"/>
      <c r="X33" s="26">
        <f>IF(E33="INACTIVE",0,D33+K33+L33+S33+T33+IF(V33="",0,V33)+IF(W33="",0,W33))</f>
        <v/>
      </c>
      <c r="Y33" s="27" t="n"/>
      <c r="Z33" s="28">
        <f>IF(E33="INACTIVE","_",IF(AND(G33&gt;0,H33&gt;0,H33&lt;G33),"[!]น้ำ reset ","")&amp;IF(AND(O33&gt;0,P33&gt;0,P33&lt;O33),"[!]ไฟ reset ","")&amp;IF(AND(F33="MANUAL",J33=""),"[X]units น้ำ ","")&amp;IF(AND(N33="MANUAL",R33=""),"[X]units ไฟ ","")&amp;IF(D33=0,"[!]ค่าเช่า=0",""))</f>
        <v/>
      </c>
      <c r="AA33" s="29">
        <f>IF(C33&lt;&gt;"",C33,CONFIG!$B$6)</f>
        <v/>
      </c>
      <c r="AB33" s="29">
        <f>IF(F33&lt;&gt;"",F33,IFERROR(VLOOKUP(AA33,RULES!$A:$C,3,0),CONFIG!$B$7))</f>
        <v/>
      </c>
      <c r="AC33" s="29">
        <f>IF(IFERROR(VLOOKUP(AA33,RULES!$A:$D,4,0),"")="",CONFIG!$B$10,VLOOKUP(AA33,RULES!$A:$D,4,0))</f>
        <v/>
      </c>
      <c r="AD33" s="29">
        <f>IF(IFERROR(VLOOKUP(AA33,RULES!$A:$E,5,0),"")="",CONFIG!$B$11,VLOOKUP(AA33,RULES!$A:$E,5,0))</f>
        <v/>
      </c>
      <c r="AE33" s="29">
        <f>IFERROR(VLOOKUP(AA33,RULES!$A:$F,6,0)*1,0)</f>
        <v/>
      </c>
      <c r="AF33" s="29">
        <f>IFERROR(VLOOKUP(AA33,RULES!$A:$G,7,0)*1,0)</f>
        <v/>
      </c>
      <c r="AG33" s="29">
        <f>IFERROR(VLOOKUP(AA33,RULES!$A:$H,8,0)*1,0)</f>
        <v/>
      </c>
      <c r="AH33" s="29">
        <f>IFERROR(VLOOKUP(AA33,RULES!$A:$I,9,0)*1,0)</f>
        <v/>
      </c>
      <c r="AI33" s="29">
        <f>IFERROR(VLOOKUP(AA33,RULES!$A:$J,10,0)*1,0)</f>
        <v/>
      </c>
      <c r="AJ33" s="29">
        <f>IFERROR(IF(VLOOKUP(AA33,RULES!$A:$K,11,0)="",999999,VLOOKUP(AA33,RULES!$A:$K,11,0)*1),999999)</f>
        <v/>
      </c>
      <c r="AK33" s="29">
        <f>IFERROR(VLOOKUP(AA33,RULES!$A:$L,12,0)*1,0)</f>
        <v/>
      </c>
      <c r="AL33" s="29">
        <f>IFERROR(VLOOKUP(AA33,RULES!$A:$M,13,0),"NONE")</f>
        <v/>
      </c>
      <c r="AM33" s="29">
        <f>IFERROR(VLOOKUP(AA33,RULES!$A:$N,14,0)*1,0)</f>
        <v/>
      </c>
      <c r="AN33" s="29">
        <f>IFERROR(VLOOKUP(AA33,RULES!$A:$O,15,0)*1,0)</f>
        <v/>
      </c>
      <c r="AO33" s="29">
        <f>IF(N33&lt;&gt;"",N33,IFERROR(VLOOKUP(AA33,RULES!$A:$P,16,0),CONFIG!$B$8))</f>
        <v/>
      </c>
      <c r="AP33" s="29">
        <f>IF(IFERROR(VLOOKUP(AA33,RULES!$A:$Q,17,0),"")="",CONFIG!$B$13,VLOOKUP(AA33,RULES!$A:$Q,17,0))</f>
        <v/>
      </c>
      <c r="AQ33" s="29">
        <f>IF(IFERROR(VLOOKUP(AA33,RULES!$A:$R,18,0),"")="",CONFIG!$B$14,VLOOKUP(AA33,RULES!$A:$R,18,0))</f>
        <v/>
      </c>
      <c r="AR33" s="29">
        <f>IFERROR(VLOOKUP(AA33,RULES!$A:$S,19,0)*1,0)</f>
        <v/>
      </c>
      <c r="AS33" s="29">
        <f>IFERROR(VLOOKUP(AA33,RULES!$A:$T,20,0)*1,0)</f>
        <v/>
      </c>
      <c r="AT33" s="29">
        <f>IFERROR(VLOOKUP(AA33,RULES!$A:$U,21,0)*1,0)</f>
        <v/>
      </c>
      <c r="AU33" s="29">
        <f>IFERROR(VLOOKUP(AA33,RULES!$A:$V,22,0)*1,0)</f>
        <v/>
      </c>
      <c r="AV33" s="29">
        <f>IFERROR(VLOOKUP(AA33,RULES!$A:$W,23,0)*1,0)</f>
        <v/>
      </c>
      <c r="AW33" s="29">
        <f>IFERROR(IF(VLOOKUP(AA33,RULES!$A:$X,24,0)="",999999,VLOOKUP(AA33,RULES!$A:$X,24,0)*1),999999)</f>
        <v/>
      </c>
      <c r="AX33" s="29">
        <f>IFERROR(VLOOKUP(AA33,RULES!$A:$Y,25,0)*1,0)</f>
        <v/>
      </c>
      <c r="AY33" s="29">
        <f>IFERROR(VLOOKUP(AA33,RULES!$A:$Z,26,0),"NONE")</f>
        <v/>
      </c>
      <c r="AZ33" s="29">
        <f>IFERROR(VLOOKUP(AA33,RULES!$A:$AA,27,0)*1,0)</f>
        <v/>
      </c>
      <c r="BA33" s="29">
        <f>IFERROR(VLOOKUP(AA33,RULES!$A:$AB,28,0)*1,0)</f>
        <v/>
      </c>
    </row>
    <row r="34" ht="17" customHeight="1">
      <c r="A34" s="22" t="inlineStr">
        <is>
          <t>3331</t>
        </is>
      </c>
      <c r="B34" s="48" t="inlineStr">
        <is>
          <t>ACC003</t>
        </is>
      </c>
      <c r="C34" s="48" t="inlineStr">
        <is>
          <t>DEFAULT</t>
        </is>
      </c>
      <c r="D34" s="47" t="n"/>
      <c r="E34" s="22">
        <f>IF(OR(D34="",D34=0),"INACTIVE","ACTIVE")</f>
        <v/>
      </c>
      <c r="F34" s="48" t="inlineStr">
        <is>
          <t>NORMAL</t>
        </is>
      </c>
      <c r="G34" s="25" t="n"/>
      <c r="H34" s="25" t="n"/>
      <c r="I34" s="26">
        <f>IF(OR(E34="INACTIVE",H34=""),0,MAX(0,H34-G34))</f>
        <v/>
      </c>
      <c r="J34" s="23" t="n"/>
      <c r="K34" s="26">
        <f>IF(OR(E34="INACTIVE",H34=""),0,IF(AB34="DISABLED",0,IF(AB34="FLAT",AE34,IF(AB34="MANUAL",IF(J34="",0,J34*AC34),IF(AB34="STEP",IF(I34&lt;=AF34,I34*AG34,IF(I34&lt;=AH34,AF34*AG34+(I34-AF34)*AI34,AF34*AG34+(AH34-AF34)*AI34+(I34-AH34)*AK34)),MAX(I34*AC34,AD34))))))</f>
        <v/>
      </c>
      <c r="L34" s="26">
        <f>IF(OR(E34="INACTIVE",H34=""),0,IF(AL34="NONE",0,IF(AL34="FLAT",AM34,IF(AL34="PER_UNIT",I34*AN34,IF(AL34="MANUAL",IF(M34="",0,M34),0)))))</f>
        <v/>
      </c>
      <c r="M34" s="23" t="n"/>
      <c r="N34" s="48" t="inlineStr">
        <is>
          <t>NORMAL</t>
        </is>
      </c>
      <c r="O34" s="25" t="n"/>
      <c r="P34" s="25" t="n"/>
      <c r="Q34" s="26">
        <f>IF(OR(E34="INACTIVE",P34=""),0,MAX(0,P34-O34))</f>
        <v/>
      </c>
      <c r="R34" s="23" t="n"/>
      <c r="S34" s="26">
        <f>IF(OR(E34="INACTIVE",P34=""),0,IF(AO34="DISABLED",0,IF(AO34="FLAT",AR34,IF(AO34="MANUAL",IF(R34="",0,R34*AP34),IF(AO34="STEP",IF(Q34&lt;=AS34,Q34*AT34,IF(Q34&lt;=AU34,AS34*AT34+(Q34-AS34)*AV34,AS34*AT34+(AU34-AS34)*AV34+(Q34-AU34)*AX34)),MAX(Q34*AP34,AQ34))))))</f>
        <v/>
      </c>
      <c r="T34" s="26">
        <f>IF(OR(E34="INACTIVE",P34=""),0,IF(AY34="NONE",0,IF(AY34="FLAT",AZ34,IF(AY34="PER_UNIT",Q34*BA34,IF(AY34="MANUAL",IF(U34="",0,U34),0)))))</f>
        <v/>
      </c>
      <c r="U34" s="23" t="n"/>
      <c r="V34" s="25" t="n"/>
      <c r="W34" s="25" t="n"/>
      <c r="X34" s="26">
        <f>IF(E34="INACTIVE",0,D34+K34+L34+S34+T34+IF(V34="",0,V34)+IF(W34="",0,W34))</f>
        <v/>
      </c>
      <c r="Y34" s="27" t="n"/>
      <c r="Z34" s="28">
        <f>IF(E34="INACTIVE","_",IF(AND(G34&gt;0,H34&gt;0,H34&lt;G34),"[!]น้ำ reset ","")&amp;IF(AND(O34&gt;0,P34&gt;0,P34&lt;O34),"[!]ไฟ reset ","")&amp;IF(AND(F34="MANUAL",J34=""),"[X]units น้ำ ","")&amp;IF(AND(N34="MANUAL",R34=""),"[X]units ไฟ ","")&amp;IF(D34=0,"[!]ค่าเช่า=0",""))</f>
        <v/>
      </c>
      <c r="AA34" s="29">
        <f>IF(C34&lt;&gt;"",C34,CONFIG!$B$6)</f>
        <v/>
      </c>
      <c r="AB34" s="29">
        <f>IF(F34&lt;&gt;"",F34,IFERROR(VLOOKUP(AA34,RULES!$A:$C,3,0),CONFIG!$B$7))</f>
        <v/>
      </c>
      <c r="AC34" s="29">
        <f>IF(IFERROR(VLOOKUP(AA34,RULES!$A:$D,4,0),"")="",CONFIG!$B$10,VLOOKUP(AA34,RULES!$A:$D,4,0))</f>
        <v/>
      </c>
      <c r="AD34" s="29">
        <f>IF(IFERROR(VLOOKUP(AA34,RULES!$A:$E,5,0),"")="",CONFIG!$B$11,VLOOKUP(AA34,RULES!$A:$E,5,0))</f>
        <v/>
      </c>
      <c r="AE34" s="29">
        <f>IFERROR(VLOOKUP(AA34,RULES!$A:$F,6,0)*1,0)</f>
        <v/>
      </c>
      <c r="AF34" s="29">
        <f>IFERROR(VLOOKUP(AA34,RULES!$A:$G,7,0)*1,0)</f>
        <v/>
      </c>
      <c r="AG34" s="29">
        <f>IFERROR(VLOOKUP(AA34,RULES!$A:$H,8,0)*1,0)</f>
        <v/>
      </c>
      <c r="AH34" s="29">
        <f>IFERROR(VLOOKUP(AA34,RULES!$A:$I,9,0)*1,0)</f>
        <v/>
      </c>
      <c r="AI34" s="29">
        <f>IFERROR(VLOOKUP(AA34,RULES!$A:$J,10,0)*1,0)</f>
        <v/>
      </c>
      <c r="AJ34" s="29">
        <f>IFERROR(IF(VLOOKUP(AA34,RULES!$A:$K,11,0)="",999999,VLOOKUP(AA34,RULES!$A:$K,11,0)*1),999999)</f>
        <v/>
      </c>
      <c r="AK34" s="29">
        <f>IFERROR(VLOOKUP(AA34,RULES!$A:$L,12,0)*1,0)</f>
        <v/>
      </c>
      <c r="AL34" s="29">
        <f>IFERROR(VLOOKUP(AA34,RULES!$A:$M,13,0),"NONE")</f>
        <v/>
      </c>
      <c r="AM34" s="29">
        <f>IFERROR(VLOOKUP(AA34,RULES!$A:$N,14,0)*1,0)</f>
        <v/>
      </c>
      <c r="AN34" s="29">
        <f>IFERROR(VLOOKUP(AA34,RULES!$A:$O,15,0)*1,0)</f>
        <v/>
      </c>
      <c r="AO34" s="29">
        <f>IF(N34&lt;&gt;"",N34,IFERROR(VLOOKUP(AA34,RULES!$A:$P,16,0),CONFIG!$B$8))</f>
        <v/>
      </c>
      <c r="AP34" s="29">
        <f>IF(IFERROR(VLOOKUP(AA34,RULES!$A:$Q,17,0),"")="",CONFIG!$B$13,VLOOKUP(AA34,RULES!$A:$Q,17,0))</f>
        <v/>
      </c>
      <c r="AQ34" s="29">
        <f>IF(IFERROR(VLOOKUP(AA34,RULES!$A:$R,18,0),"")="",CONFIG!$B$14,VLOOKUP(AA34,RULES!$A:$R,18,0))</f>
        <v/>
      </c>
      <c r="AR34" s="29">
        <f>IFERROR(VLOOKUP(AA34,RULES!$A:$S,19,0)*1,0)</f>
        <v/>
      </c>
      <c r="AS34" s="29">
        <f>IFERROR(VLOOKUP(AA34,RULES!$A:$T,20,0)*1,0)</f>
        <v/>
      </c>
      <c r="AT34" s="29">
        <f>IFERROR(VLOOKUP(AA34,RULES!$A:$U,21,0)*1,0)</f>
        <v/>
      </c>
      <c r="AU34" s="29">
        <f>IFERROR(VLOOKUP(AA34,RULES!$A:$V,22,0)*1,0)</f>
        <v/>
      </c>
      <c r="AV34" s="29">
        <f>IFERROR(VLOOKUP(AA34,RULES!$A:$W,23,0)*1,0)</f>
        <v/>
      </c>
      <c r="AW34" s="29">
        <f>IFERROR(IF(VLOOKUP(AA34,RULES!$A:$X,24,0)="",999999,VLOOKUP(AA34,RULES!$A:$X,24,0)*1),999999)</f>
        <v/>
      </c>
      <c r="AX34" s="29">
        <f>IFERROR(VLOOKUP(AA34,RULES!$A:$Y,25,0)*1,0)</f>
        <v/>
      </c>
      <c r="AY34" s="29">
        <f>IFERROR(VLOOKUP(AA34,RULES!$A:$Z,26,0),"NONE")</f>
        <v/>
      </c>
      <c r="AZ34" s="29">
        <f>IFERROR(VLOOKUP(AA34,RULES!$A:$AA,27,0)*1,0)</f>
        <v/>
      </c>
      <c r="BA34" s="29">
        <f>IFERROR(VLOOKUP(AA34,RULES!$A:$AB,28,0)*1,0)</f>
        <v/>
      </c>
    </row>
    <row r="35" ht="17" customHeight="1">
      <c r="A35" s="22" t="inlineStr">
        <is>
          <t>3332</t>
        </is>
      </c>
      <c r="B35" s="48" t="inlineStr">
        <is>
          <t>ACC003</t>
        </is>
      </c>
      <c r="C35" s="48" t="inlineStr">
        <is>
          <t>DEFAULT</t>
        </is>
      </c>
      <c r="D35" s="47" t="n"/>
      <c r="E35" s="22">
        <f>IF(OR(D35="",D35=0),"INACTIVE","ACTIVE")</f>
        <v/>
      </c>
      <c r="F35" s="48" t="inlineStr">
        <is>
          <t>NORMAL</t>
        </is>
      </c>
      <c r="G35" s="25" t="n"/>
      <c r="H35" s="25" t="n"/>
      <c r="I35" s="26">
        <f>IF(OR(E35="INACTIVE",H35=""),0,MAX(0,H35-G35))</f>
        <v/>
      </c>
      <c r="J35" s="23" t="n"/>
      <c r="K35" s="26">
        <f>IF(OR(E35="INACTIVE",H35=""),0,IF(AB35="DISABLED",0,IF(AB35="FLAT",AE35,IF(AB35="MANUAL",IF(J35="",0,J35*AC35),IF(AB35="STEP",IF(I35&lt;=AF35,I35*AG35,IF(I35&lt;=AH35,AF35*AG35+(I35-AF35)*AI35,AF35*AG35+(AH35-AF35)*AI35+(I35-AH35)*AK35)),MAX(I35*AC35,AD35))))))</f>
        <v/>
      </c>
      <c r="L35" s="26">
        <f>IF(OR(E35="INACTIVE",H35=""),0,IF(AL35="NONE",0,IF(AL35="FLAT",AM35,IF(AL35="PER_UNIT",I35*AN35,IF(AL35="MANUAL",IF(M35="",0,M35),0)))))</f>
        <v/>
      </c>
      <c r="M35" s="23" t="n"/>
      <c r="N35" s="48" t="inlineStr">
        <is>
          <t>NORMAL</t>
        </is>
      </c>
      <c r="O35" s="25" t="n"/>
      <c r="P35" s="25" t="n"/>
      <c r="Q35" s="26">
        <f>IF(OR(E35="INACTIVE",P35=""),0,MAX(0,P35-O35))</f>
        <v/>
      </c>
      <c r="R35" s="23" t="n"/>
      <c r="S35" s="26">
        <f>IF(OR(E35="INACTIVE",P35=""),0,IF(AO35="DISABLED",0,IF(AO35="FLAT",AR35,IF(AO35="MANUAL",IF(R35="",0,R35*AP35),IF(AO35="STEP",IF(Q35&lt;=AS35,Q35*AT35,IF(Q35&lt;=AU35,AS35*AT35+(Q35-AS35)*AV35,AS35*AT35+(AU35-AS35)*AV35+(Q35-AU35)*AX35)),MAX(Q35*AP35,AQ35))))))</f>
        <v/>
      </c>
      <c r="T35" s="26">
        <f>IF(OR(E35="INACTIVE",P35=""),0,IF(AY35="NONE",0,IF(AY35="FLAT",AZ35,IF(AY35="PER_UNIT",Q35*BA35,IF(AY35="MANUAL",IF(U35="",0,U35),0)))))</f>
        <v/>
      </c>
      <c r="U35" s="23" t="n"/>
      <c r="V35" s="25" t="n"/>
      <c r="W35" s="25" t="n"/>
      <c r="X35" s="26">
        <f>IF(E35="INACTIVE",0,D35+K35+L35+S35+T35+IF(V35="",0,V35)+IF(W35="",0,W35))</f>
        <v/>
      </c>
      <c r="Y35" s="27" t="n"/>
      <c r="Z35" s="28">
        <f>IF(E35="INACTIVE","_",IF(AND(G35&gt;0,H35&gt;0,H35&lt;G35),"[!]น้ำ reset ","")&amp;IF(AND(O35&gt;0,P35&gt;0,P35&lt;O35),"[!]ไฟ reset ","")&amp;IF(AND(F35="MANUAL",J35=""),"[X]units น้ำ ","")&amp;IF(AND(N35="MANUAL",R35=""),"[X]units ไฟ ","")&amp;IF(D35=0,"[!]ค่าเช่า=0",""))</f>
        <v/>
      </c>
      <c r="AA35" s="29">
        <f>IF(C35&lt;&gt;"",C35,CONFIG!$B$6)</f>
        <v/>
      </c>
      <c r="AB35" s="29">
        <f>IF(F35&lt;&gt;"",F35,IFERROR(VLOOKUP(AA35,RULES!$A:$C,3,0),CONFIG!$B$7))</f>
        <v/>
      </c>
      <c r="AC35" s="29">
        <f>IF(IFERROR(VLOOKUP(AA35,RULES!$A:$D,4,0),"")="",CONFIG!$B$10,VLOOKUP(AA35,RULES!$A:$D,4,0))</f>
        <v/>
      </c>
      <c r="AD35" s="29">
        <f>IF(IFERROR(VLOOKUP(AA35,RULES!$A:$E,5,0),"")="",CONFIG!$B$11,VLOOKUP(AA35,RULES!$A:$E,5,0))</f>
        <v/>
      </c>
      <c r="AE35" s="29">
        <f>IFERROR(VLOOKUP(AA35,RULES!$A:$F,6,0)*1,0)</f>
        <v/>
      </c>
      <c r="AF35" s="29">
        <f>IFERROR(VLOOKUP(AA35,RULES!$A:$G,7,0)*1,0)</f>
        <v/>
      </c>
      <c r="AG35" s="29">
        <f>IFERROR(VLOOKUP(AA35,RULES!$A:$H,8,0)*1,0)</f>
        <v/>
      </c>
      <c r="AH35" s="29">
        <f>IFERROR(VLOOKUP(AA35,RULES!$A:$I,9,0)*1,0)</f>
        <v/>
      </c>
      <c r="AI35" s="29">
        <f>IFERROR(VLOOKUP(AA35,RULES!$A:$J,10,0)*1,0)</f>
        <v/>
      </c>
      <c r="AJ35" s="29">
        <f>IFERROR(IF(VLOOKUP(AA35,RULES!$A:$K,11,0)="",999999,VLOOKUP(AA35,RULES!$A:$K,11,0)*1),999999)</f>
        <v/>
      </c>
      <c r="AK35" s="29">
        <f>IFERROR(VLOOKUP(AA35,RULES!$A:$L,12,0)*1,0)</f>
        <v/>
      </c>
      <c r="AL35" s="29">
        <f>IFERROR(VLOOKUP(AA35,RULES!$A:$M,13,0),"NONE")</f>
        <v/>
      </c>
      <c r="AM35" s="29">
        <f>IFERROR(VLOOKUP(AA35,RULES!$A:$N,14,0)*1,0)</f>
        <v/>
      </c>
      <c r="AN35" s="29">
        <f>IFERROR(VLOOKUP(AA35,RULES!$A:$O,15,0)*1,0)</f>
        <v/>
      </c>
      <c r="AO35" s="29">
        <f>IF(N35&lt;&gt;"",N35,IFERROR(VLOOKUP(AA35,RULES!$A:$P,16,0),CONFIG!$B$8))</f>
        <v/>
      </c>
      <c r="AP35" s="29">
        <f>IF(IFERROR(VLOOKUP(AA35,RULES!$A:$Q,17,0),"")="",CONFIG!$B$13,VLOOKUP(AA35,RULES!$A:$Q,17,0))</f>
        <v/>
      </c>
      <c r="AQ35" s="29">
        <f>IF(IFERROR(VLOOKUP(AA35,RULES!$A:$R,18,0),"")="",CONFIG!$B$14,VLOOKUP(AA35,RULES!$A:$R,18,0))</f>
        <v/>
      </c>
      <c r="AR35" s="29">
        <f>IFERROR(VLOOKUP(AA35,RULES!$A:$S,19,0)*1,0)</f>
        <v/>
      </c>
      <c r="AS35" s="29">
        <f>IFERROR(VLOOKUP(AA35,RULES!$A:$T,20,0)*1,0)</f>
        <v/>
      </c>
      <c r="AT35" s="29">
        <f>IFERROR(VLOOKUP(AA35,RULES!$A:$U,21,0)*1,0)</f>
        <v/>
      </c>
      <c r="AU35" s="29">
        <f>IFERROR(VLOOKUP(AA35,RULES!$A:$V,22,0)*1,0)</f>
        <v/>
      </c>
      <c r="AV35" s="29">
        <f>IFERROR(VLOOKUP(AA35,RULES!$A:$W,23,0)*1,0)</f>
        <v/>
      </c>
      <c r="AW35" s="29">
        <f>IFERROR(IF(VLOOKUP(AA35,RULES!$A:$X,24,0)="",999999,VLOOKUP(AA35,RULES!$A:$X,24,0)*1),999999)</f>
        <v/>
      </c>
      <c r="AX35" s="29">
        <f>IFERROR(VLOOKUP(AA35,RULES!$A:$Y,25,0)*1,0)</f>
        <v/>
      </c>
      <c r="AY35" s="29">
        <f>IFERROR(VLOOKUP(AA35,RULES!$A:$Z,26,0),"NONE")</f>
        <v/>
      </c>
      <c r="AZ35" s="29">
        <f>IFERROR(VLOOKUP(AA35,RULES!$A:$AA,27,0)*1,0)</f>
        <v/>
      </c>
      <c r="BA35" s="29">
        <f>IFERROR(VLOOKUP(AA35,RULES!$A:$AB,28,0)*1,0)</f>
        <v/>
      </c>
    </row>
    <row r="36" ht="17" customHeight="1">
      <c r="A36" s="35" t="n"/>
      <c r="B36" s="46" t="n"/>
      <c r="C36" s="48" t="inlineStr">
        <is>
          <t>DEFAULT</t>
        </is>
      </c>
      <c r="D36" s="47" t="n"/>
      <c r="E36" s="38">
        <f>IF(OR(D36="",D36=0),"INACTIVE","ACTIVE")</f>
        <v/>
      </c>
      <c r="F36" s="48" t="inlineStr">
        <is>
          <t>NORMAL</t>
        </is>
      </c>
      <c r="G36" s="37" t="n"/>
      <c r="H36" s="37" t="n"/>
      <c r="I36" s="39">
        <f>IF(OR(E36="INACTIVE",H36=""),0,MAX(0,H36-G36))</f>
        <v/>
      </c>
      <c r="J36" s="37" t="n"/>
      <c r="K36" s="40">
        <f>IF(OR(E36="INACTIVE",H36=""),0,IF(AB36="DISABLED",0,IF(AB36="FLAT",AE36,IF(AB36="MANUAL",IF(J36="",0,J36*AC36),IF(AB36="STEP",IF(I36&lt;=AF36,I36*AG36,IF(I36&lt;=AH36,AF36*AG36+(I36-AF36)*AI36,AF36*AG36+(AH36-AF36)*AI36+(I36-AH36)*AK36)),MAX(I36*AC36,AD36))))))</f>
        <v/>
      </c>
      <c r="L36" s="40">
        <f>IF(OR(E36="INACTIVE",H36=""),0,IF(AL36="NONE",0,IF(AL36="FLAT",AM36,IF(AL36="PER_UNIT",I36*AN36,IF(AL36="MANUAL",IF(M36="",0,M36),0)))))</f>
        <v/>
      </c>
      <c r="M36" s="37" t="n"/>
      <c r="N36" s="48" t="inlineStr">
        <is>
          <t>NORMAL</t>
        </is>
      </c>
      <c r="O36" s="37" t="n"/>
      <c r="P36" s="37" t="n"/>
      <c r="Q36" s="39">
        <f>IF(OR(E36="INACTIVE",P36=""),0,MAX(0,P36-O36))</f>
        <v/>
      </c>
      <c r="R36" s="37" t="n"/>
      <c r="S36" s="40">
        <f>IF(OR(E36="INACTIVE",P36=""),0,IF(AO36="DISABLED",0,IF(AO36="FLAT",AR36,IF(AO36="MANUAL",IF(R36="",0,R36*AP36),IF(AO36="STEP",IF(Q36&lt;=AS36,Q36*AT36,IF(Q36&lt;=AU36,AS36*AT36+(Q36-AS36)*AV36,AS36*AT36+(AU36-AS36)*AV36+(Q36-AU36)*AX36)),MAX(Q36*AP36,AQ36))))))</f>
        <v/>
      </c>
      <c r="T36" s="40">
        <f>IF(OR(E36="INACTIVE",P36=""),0,IF(AY36="NONE",0,IF(AY36="FLAT",AZ36,IF(AY36="PER_UNIT",Q36*BA36,IF(AY36="MANUAL",IF(U36="",0,U36),0)))))</f>
        <v/>
      </c>
      <c r="U36" s="37" t="n"/>
      <c r="V36" s="37" t="n"/>
      <c r="W36" s="37" t="n"/>
      <c r="X36" s="40">
        <f>IF(E36="INACTIVE",0,D36+K36+L36+S36+T36+IF(V36="",0,V36)+IF(W36="",0,W36))</f>
        <v/>
      </c>
      <c r="Y36" s="37" t="n"/>
      <c r="Z36" s="39">
        <f>IF(E36="INACTIVE","_",IF(AND(G36&gt;0,H36&gt;0,H36&lt;G36),"[!]น้ำ reset ","")&amp;IF(AND(O36&gt;0,P36&gt;0,P36&lt;O36),"[!]ไฟ reset ","")&amp;IF(AND(F36="MANUAL",J36=""),"[X]units น้ำ ","")&amp;IF(AND(N36="MANUAL",R36=""),"[X]units ไฟ ","")&amp;IF(D36=0,"[!]ค่าเช่า=0",""))</f>
        <v/>
      </c>
      <c r="AA36" s="41">
        <f>IF(C36&lt;&gt;"",C36,CONFIG!$B$6)</f>
        <v/>
      </c>
      <c r="AB36" s="41">
        <f>IF(F36&lt;&gt;"",F36,IFERROR(VLOOKUP(AA36,RULES!$A:$C,3,0),CONFIG!$B$7))</f>
        <v/>
      </c>
      <c r="AC36" s="41">
        <f>IF(IFERROR(VLOOKUP(AA36,RULES!$A:$D,4,0),"")="",CONFIG!$B$10,VLOOKUP(AA36,RULES!$A:$D,4,0))</f>
        <v/>
      </c>
      <c r="AD36" s="41">
        <f>IF(IFERROR(VLOOKUP(AA36,RULES!$A:$E,5,0),"")="",CONFIG!$B$11,VLOOKUP(AA36,RULES!$A:$E,5,0))</f>
        <v/>
      </c>
      <c r="AE36" s="41">
        <f>IFERROR(VLOOKUP(AA36,RULES!$A:$F,6,0)*1,0)</f>
        <v/>
      </c>
      <c r="AF36" s="41">
        <f>IFERROR(VLOOKUP(AA36,RULES!$A:$G,7,0)*1,0)</f>
        <v/>
      </c>
      <c r="AG36" s="41">
        <f>IFERROR(VLOOKUP(AA36,RULES!$A:$H,8,0)*1,0)</f>
        <v/>
      </c>
      <c r="AH36" s="41">
        <f>IFERROR(VLOOKUP(AA36,RULES!$A:$I,9,0)*1,0)</f>
        <v/>
      </c>
      <c r="AI36" s="41">
        <f>IFERROR(VLOOKUP(AA36,RULES!$A:$J,10,0)*1,0)</f>
        <v/>
      </c>
      <c r="AJ36" s="41">
        <f>IFERROR(IF(VLOOKUP(AA36,RULES!$A:$K,11,0)="",999999,VLOOKUP(AA36,RULES!$A:$K,11,0)*1),999999)</f>
        <v/>
      </c>
      <c r="AK36" s="41">
        <f>IFERROR(VLOOKUP(AA36,RULES!$A:$L,12,0)*1,0)</f>
        <v/>
      </c>
      <c r="AL36" s="41">
        <f>IFERROR(VLOOKUP(AA36,RULES!$A:$M,13,0),"NONE")</f>
        <v/>
      </c>
      <c r="AM36" s="41">
        <f>IFERROR(VLOOKUP(AA36,RULES!$A:$N,14,0)*1,0)</f>
        <v/>
      </c>
      <c r="AN36" s="41">
        <f>IFERROR(VLOOKUP(AA36,RULES!$A:$O,15,0)*1,0)</f>
        <v/>
      </c>
      <c r="AO36" s="41">
        <f>IF(N36&lt;&gt;"",N36,IFERROR(VLOOKUP(AA36,RULES!$A:$P,16,0),CONFIG!$B$8))</f>
        <v/>
      </c>
      <c r="AP36" s="41">
        <f>IF(IFERROR(VLOOKUP(AA36,RULES!$A:$Q,17,0),"")="",CONFIG!$B$13,VLOOKUP(AA36,RULES!$A:$Q,17,0))</f>
        <v/>
      </c>
      <c r="AQ36" s="41">
        <f>IF(IFERROR(VLOOKUP(AA36,RULES!$A:$R,18,0),"")="",CONFIG!$B$14,VLOOKUP(AA36,RULES!$A:$R,18,0))</f>
        <v/>
      </c>
      <c r="AR36" s="41">
        <f>IFERROR(VLOOKUP(AA36,RULES!$A:$S,19,0)*1,0)</f>
        <v/>
      </c>
      <c r="AS36" s="41">
        <f>IFERROR(VLOOKUP(AA36,RULES!$A:$T,20,0)*1,0)</f>
        <v/>
      </c>
      <c r="AT36" s="41">
        <f>IFERROR(VLOOKUP(AA36,RULES!$A:$U,21,0)*1,0)</f>
        <v/>
      </c>
      <c r="AU36" s="41">
        <f>IFERROR(VLOOKUP(AA36,RULES!$A:$V,22,0)*1,0)</f>
        <v/>
      </c>
      <c r="AV36" s="41">
        <f>IFERROR(VLOOKUP(AA36,RULES!$A:$W,23,0)*1,0)</f>
        <v/>
      </c>
      <c r="AW36" s="41">
        <f>IFERROR(IF(VLOOKUP(AA36,RULES!$A:$X,24,0)="",999999,VLOOKUP(AA36,RULES!$A:$X,24,0)*1),999999)</f>
        <v/>
      </c>
      <c r="AX36" s="41">
        <f>IFERROR(VLOOKUP(AA36,RULES!$A:$Y,25,0)*1,0)</f>
        <v/>
      </c>
      <c r="AY36" s="41">
        <f>IFERROR(VLOOKUP(AA36,RULES!$A:$Z,26,0),"NONE")</f>
        <v/>
      </c>
      <c r="AZ36" s="41">
        <f>IFERROR(VLOOKUP(AA36,RULES!$A:$AA,27,0)*1,0)</f>
        <v/>
      </c>
      <c r="BA36" s="41">
        <f>IFERROR(VLOOKUP(AA36,RULES!$A:$AB,28,0)*1,0)</f>
        <v/>
      </c>
    </row>
    <row r="37" ht="17" customHeight="1">
      <c r="A37" s="36" t="n"/>
      <c r="B37" s="48" t="inlineStr">
        <is>
          <t>ACC003</t>
        </is>
      </c>
      <c r="C37" s="48" t="inlineStr">
        <is>
          <t>DEFAULT</t>
        </is>
      </c>
      <c r="D37" s="47" t="n"/>
      <c r="E37" s="36">
        <f>IF(OR(D37="",D37=0),"INACTIVE","ACTIVE")</f>
        <v/>
      </c>
      <c r="F37" s="48" t="inlineStr">
        <is>
          <t>NORMAL</t>
        </is>
      </c>
      <c r="G37" s="36" t="n"/>
      <c r="H37" s="36" t="n"/>
      <c r="I37" s="42">
        <f>IF(OR(E37="INACTIVE",H37=""),0,MAX(0,H37-G37))</f>
        <v/>
      </c>
      <c r="J37" s="36" t="n"/>
      <c r="K37" s="42">
        <f>IF(OR(E37="INACTIVE",H37=""),0,IF(AB37="DISABLED",0,IF(AB37="FLAT",AE37,IF(AB37="MANUAL",IF(J37="",0,J37*AC37),IF(AB37="STEP",IF(I37&lt;=AF37,I37*AG37,IF(I37&lt;=AH37,AF37*AG37+(I37-AF37)*AI37,AF37*AG37+(AH37-AF37)*AI37+(I37-AH37)*AK37)),MAX(I37*AC37,AD37))))))</f>
        <v/>
      </c>
      <c r="L37" s="42">
        <f>IF(OR(E37="INACTIVE",H37=""),0,IF(AL37="NONE",0,IF(AL37="FLAT",AM37,IF(AL37="PER_UNIT",I37*AN37,IF(AL37="MANUAL",IF(M37="",0,M37),0)))))</f>
        <v/>
      </c>
      <c r="M37" s="36" t="n"/>
      <c r="N37" s="48" t="inlineStr">
        <is>
          <t>NORMAL</t>
        </is>
      </c>
      <c r="O37" s="36" t="n"/>
      <c r="P37" s="36" t="n"/>
      <c r="Q37" s="42">
        <f>IF(OR(E37="INACTIVE",P37=""),0,MAX(0,P37-O37))</f>
        <v/>
      </c>
      <c r="R37" s="36" t="n"/>
      <c r="S37" s="42">
        <f>IF(OR(E37="INACTIVE",P37=""),0,IF(AO37="DISABLED",0,IF(AO37="FLAT",AR37,IF(AO37="MANUAL",IF(R37="",0,R37*AP37),IF(AO37="STEP",IF(Q37&lt;=AS37,Q37*AT37,IF(Q37&lt;=AU37,AS37*AT37+(Q37-AS37)*AV37,AS37*AT37+(AU37-AS37)*AV37+(Q37-AU37)*AX37)),MAX(Q37*AP37,AQ37))))))</f>
        <v/>
      </c>
      <c r="T37" s="42">
        <f>IF(OR(E37="INACTIVE",P37=""),0,IF(AY37="NONE",0,IF(AY37="FLAT",AZ37,IF(AY37="PER_UNIT",Q37*BA37,IF(AY37="MANUAL",IF(U37="",0,U37),0)))))</f>
        <v/>
      </c>
      <c r="U37" s="36" t="n"/>
      <c r="V37" s="36" t="n"/>
      <c r="W37" s="36" t="n"/>
      <c r="X37" s="42">
        <f>IF(E37="INACTIVE",0,D37+K37+L37+S37+T37+IF(V37="",0,V37)+IF(W37="",0,W37))</f>
        <v/>
      </c>
      <c r="Y37" s="36" t="n"/>
      <c r="Z37" s="42">
        <f>IF(E37="INACTIVE","_",IF(AND(G37&gt;0,H37&gt;0,H37&lt;G37),"[!]น้ำ reset ","")&amp;IF(AND(O37&gt;0,P37&gt;0,P37&lt;O37),"[!]ไฟ reset ","")&amp;IF(AND(F37="MANUAL",J37=""),"[X]units น้ำ ","")&amp;IF(AND(N37="MANUAL",R37=""),"[X]units ไฟ ","")&amp;IF(D37=0,"[!]ค่าเช่า=0",""))</f>
        <v/>
      </c>
      <c r="AA37" s="41">
        <f>IF(C37&lt;&gt;"",C37,CONFIG!$B$6)</f>
        <v/>
      </c>
      <c r="AB37" s="41">
        <f>IF(F37&lt;&gt;"",F37,IFERROR(VLOOKUP(AA37,RULES!$A:$C,3,0),CONFIG!$B$7))</f>
        <v/>
      </c>
      <c r="AC37" s="41">
        <f>IF(IFERROR(VLOOKUP(AA37,RULES!$A:$D,4,0),"")="",CONFIG!$B$10,VLOOKUP(AA37,RULES!$A:$D,4,0))</f>
        <v/>
      </c>
      <c r="AD37" s="41">
        <f>IF(IFERROR(VLOOKUP(AA37,RULES!$A:$E,5,0),"")="",CONFIG!$B$11,VLOOKUP(AA37,RULES!$A:$E,5,0))</f>
        <v/>
      </c>
      <c r="AE37" s="41">
        <f>IFERROR(VLOOKUP(AA37,RULES!$A:$F,6,0)*1,0)</f>
        <v/>
      </c>
      <c r="AF37" s="41">
        <f>IFERROR(VLOOKUP(AA37,RULES!$A:$G,7,0)*1,0)</f>
        <v/>
      </c>
      <c r="AG37" s="41">
        <f>IFERROR(VLOOKUP(AA37,RULES!$A:$H,8,0)*1,0)</f>
        <v/>
      </c>
      <c r="AH37" s="41">
        <f>IFERROR(VLOOKUP(AA37,RULES!$A:$I,9,0)*1,0)</f>
        <v/>
      </c>
      <c r="AI37" s="41">
        <f>IFERROR(VLOOKUP(AA37,RULES!$A:$J,10,0)*1,0)</f>
        <v/>
      </c>
      <c r="AJ37" s="41">
        <f>IFERROR(IF(VLOOKUP(AA37,RULES!$A:$K,11,0)="",999999,VLOOKUP(AA37,RULES!$A:$K,11,0)*1),999999)</f>
        <v/>
      </c>
      <c r="AK37" s="41">
        <f>IFERROR(VLOOKUP(AA37,RULES!$A:$L,12,0)*1,0)</f>
        <v/>
      </c>
      <c r="AL37" s="41">
        <f>IFERROR(VLOOKUP(AA37,RULES!$A:$M,13,0),"NONE")</f>
        <v/>
      </c>
      <c r="AM37" s="41">
        <f>IFERROR(VLOOKUP(AA37,RULES!$A:$N,14,0)*1,0)</f>
        <v/>
      </c>
      <c r="AN37" s="41">
        <f>IFERROR(VLOOKUP(AA37,RULES!$A:$O,15,0)*1,0)</f>
        <v/>
      </c>
      <c r="AO37" s="41">
        <f>IF(N37&lt;&gt;"",N37,IFERROR(VLOOKUP(AA37,RULES!$A:$P,16,0),CONFIG!$B$8))</f>
        <v/>
      </c>
      <c r="AP37" s="41">
        <f>IF(IFERROR(VLOOKUP(AA37,RULES!$A:$Q,17,0),"")="",CONFIG!$B$13,VLOOKUP(AA37,RULES!$A:$Q,17,0))</f>
        <v/>
      </c>
      <c r="AQ37" s="41">
        <f>IF(IFERROR(VLOOKUP(AA37,RULES!$A:$R,18,0),"")="",CONFIG!$B$14,VLOOKUP(AA37,RULES!$A:$R,18,0))</f>
        <v/>
      </c>
      <c r="AR37" s="41">
        <f>IFERROR(VLOOKUP(AA37,RULES!$A:$S,19,0)*1,0)</f>
        <v/>
      </c>
      <c r="AS37" s="41">
        <f>IFERROR(VLOOKUP(AA37,RULES!$A:$T,20,0)*1,0)</f>
        <v/>
      </c>
      <c r="AT37" s="41">
        <f>IFERROR(VLOOKUP(AA37,RULES!$A:$U,21,0)*1,0)</f>
        <v/>
      </c>
      <c r="AU37" s="41">
        <f>IFERROR(VLOOKUP(AA37,RULES!$A:$V,22,0)*1,0)</f>
        <v/>
      </c>
      <c r="AV37" s="41">
        <f>IFERROR(VLOOKUP(AA37,RULES!$A:$W,23,0)*1,0)</f>
        <v/>
      </c>
      <c r="AW37" s="41">
        <f>IFERROR(IF(VLOOKUP(AA37,RULES!$A:$X,24,0)="",999999,VLOOKUP(AA37,RULES!$A:$X,24,0)*1),999999)</f>
        <v/>
      </c>
      <c r="AX37" s="41">
        <f>IFERROR(VLOOKUP(AA37,RULES!$A:$Y,25,0)*1,0)</f>
        <v/>
      </c>
      <c r="AY37" s="41">
        <f>IFERROR(VLOOKUP(AA37,RULES!$A:$Z,26,0),"NONE")</f>
        <v/>
      </c>
      <c r="AZ37" s="41">
        <f>IFERROR(VLOOKUP(AA37,RULES!$A:$AA,27,0)*1,0)</f>
        <v/>
      </c>
      <c r="BA37" s="41">
        <f>IFERROR(VLOOKUP(AA37,RULES!$A:$AB,28,0)*1,0)</f>
        <v/>
      </c>
    </row>
    <row r="38" ht="17" customHeight="1">
      <c r="A38" s="36" t="n"/>
      <c r="B38" s="48" t="inlineStr">
        <is>
          <t>ACC003</t>
        </is>
      </c>
      <c r="C38" s="48" t="inlineStr">
        <is>
          <t>DEFAULT</t>
        </is>
      </c>
      <c r="D38" s="47" t="n"/>
      <c r="E38" s="36">
        <f>IF(OR(D38="",D38=0),"INACTIVE","ACTIVE")</f>
        <v/>
      </c>
      <c r="F38" s="48" t="inlineStr">
        <is>
          <t>NORMAL</t>
        </is>
      </c>
      <c r="G38" s="36" t="n"/>
      <c r="H38" s="36" t="n"/>
      <c r="I38" s="42">
        <f>IF(OR(E38="INACTIVE",H38=""),0,MAX(0,H38-G38))</f>
        <v/>
      </c>
      <c r="J38" s="36" t="n"/>
      <c r="K38" s="42">
        <f>IF(OR(E38="INACTIVE",H38=""),0,IF(AB38="DISABLED",0,IF(AB38="FLAT",AE38,IF(AB38="MANUAL",IF(J38="",0,J38*AC38),IF(AB38="STEP",IF(I38&lt;=AF38,I38*AG38,IF(I38&lt;=AH38,AF38*AG38+(I38-AF38)*AI38,AF38*AG38+(AH38-AF38)*AI38+(I38-AH38)*AK38)),MAX(I38*AC38,AD38))))))</f>
        <v/>
      </c>
      <c r="L38" s="42">
        <f>IF(OR(E38="INACTIVE",H38=""),0,IF(AL38="NONE",0,IF(AL38="FLAT",AM38,IF(AL38="PER_UNIT",I38*AN38,IF(AL38="MANUAL",IF(M38="",0,M38),0)))))</f>
        <v/>
      </c>
      <c r="M38" s="36" t="n"/>
      <c r="N38" s="48" t="inlineStr">
        <is>
          <t>NORMAL</t>
        </is>
      </c>
      <c r="O38" s="36" t="n"/>
      <c r="P38" s="36" t="n"/>
      <c r="Q38" s="42">
        <f>IF(OR(E38="INACTIVE",P38=""),0,MAX(0,P38-O38))</f>
        <v/>
      </c>
      <c r="R38" s="36" t="n"/>
      <c r="S38" s="42">
        <f>IF(OR(E38="INACTIVE",P38=""),0,IF(AO38="DISABLED",0,IF(AO38="FLAT",AR38,IF(AO38="MANUAL",IF(R38="",0,R38*AP38),IF(AO38="STEP",IF(Q38&lt;=AS38,Q38*AT38,IF(Q38&lt;=AU38,AS38*AT38+(Q38-AS38)*AV38,AS38*AT38+(AU38-AS38)*AV38+(Q38-AU38)*AX38)),MAX(Q38*AP38,AQ38))))))</f>
        <v/>
      </c>
      <c r="T38" s="42">
        <f>IF(OR(E38="INACTIVE",P38=""),0,IF(AY38="NONE",0,IF(AY38="FLAT",AZ38,IF(AY38="PER_UNIT",Q38*BA38,IF(AY38="MANUAL",IF(U38="",0,U38),0)))))</f>
        <v/>
      </c>
      <c r="U38" s="36" t="n"/>
      <c r="V38" s="36" t="n"/>
      <c r="W38" s="36" t="n"/>
      <c r="X38" s="42">
        <f>IF(E38="INACTIVE",0,D38+K38+L38+S38+T38+IF(V38="",0,V38)+IF(W38="",0,W38))</f>
        <v/>
      </c>
      <c r="Y38" s="36" t="n"/>
      <c r="Z38" s="42">
        <f>IF(E38="INACTIVE","_",IF(AND(G38&gt;0,H38&gt;0,H38&lt;G38),"[!]น้ำ reset ","")&amp;IF(AND(O38&gt;0,P38&gt;0,P38&lt;O38),"[!]ไฟ reset ","")&amp;IF(AND(F38="MANUAL",J38=""),"[X]units น้ำ ","")&amp;IF(AND(N38="MANUAL",R38=""),"[X]units ไฟ ","")&amp;IF(D38=0,"[!]ค่าเช่า=0",""))</f>
        <v/>
      </c>
      <c r="AA38" s="41">
        <f>IF(C38&lt;&gt;"",C38,CONFIG!$B$6)</f>
        <v/>
      </c>
      <c r="AB38" s="41">
        <f>IF(F38&lt;&gt;"",F38,IFERROR(VLOOKUP(AA38,RULES!$A:$C,3,0),CONFIG!$B$7))</f>
        <v/>
      </c>
      <c r="AC38" s="41">
        <f>IF(IFERROR(VLOOKUP(AA38,RULES!$A:$D,4,0),"")="",CONFIG!$B$10,VLOOKUP(AA38,RULES!$A:$D,4,0))</f>
        <v/>
      </c>
      <c r="AD38" s="41">
        <f>IF(IFERROR(VLOOKUP(AA38,RULES!$A:$E,5,0),"")="",CONFIG!$B$11,VLOOKUP(AA38,RULES!$A:$E,5,0))</f>
        <v/>
      </c>
      <c r="AE38" s="41">
        <f>IFERROR(VLOOKUP(AA38,RULES!$A:$F,6,0)*1,0)</f>
        <v/>
      </c>
      <c r="AF38" s="41">
        <f>IFERROR(VLOOKUP(AA38,RULES!$A:$G,7,0)*1,0)</f>
        <v/>
      </c>
      <c r="AG38" s="41">
        <f>IFERROR(VLOOKUP(AA38,RULES!$A:$H,8,0)*1,0)</f>
        <v/>
      </c>
      <c r="AH38" s="41">
        <f>IFERROR(VLOOKUP(AA38,RULES!$A:$I,9,0)*1,0)</f>
        <v/>
      </c>
      <c r="AI38" s="41">
        <f>IFERROR(VLOOKUP(AA38,RULES!$A:$J,10,0)*1,0)</f>
        <v/>
      </c>
      <c r="AJ38" s="41">
        <f>IFERROR(IF(VLOOKUP(AA38,RULES!$A:$K,11,0)="",999999,VLOOKUP(AA38,RULES!$A:$K,11,0)*1),999999)</f>
        <v/>
      </c>
      <c r="AK38" s="41">
        <f>IFERROR(VLOOKUP(AA38,RULES!$A:$L,12,0)*1,0)</f>
        <v/>
      </c>
      <c r="AL38" s="41">
        <f>IFERROR(VLOOKUP(AA38,RULES!$A:$M,13,0),"NONE")</f>
        <v/>
      </c>
      <c r="AM38" s="41">
        <f>IFERROR(VLOOKUP(AA38,RULES!$A:$N,14,0)*1,0)</f>
        <v/>
      </c>
      <c r="AN38" s="41">
        <f>IFERROR(VLOOKUP(AA38,RULES!$A:$O,15,0)*1,0)</f>
        <v/>
      </c>
      <c r="AO38" s="41">
        <f>IF(N38&lt;&gt;"",N38,IFERROR(VLOOKUP(AA38,RULES!$A:$P,16,0),CONFIG!$B$8))</f>
        <v/>
      </c>
      <c r="AP38" s="41">
        <f>IF(IFERROR(VLOOKUP(AA38,RULES!$A:$Q,17,0),"")="",CONFIG!$B$13,VLOOKUP(AA38,RULES!$A:$Q,17,0))</f>
        <v/>
      </c>
      <c r="AQ38" s="41">
        <f>IF(IFERROR(VLOOKUP(AA38,RULES!$A:$R,18,0),"")="",CONFIG!$B$14,VLOOKUP(AA38,RULES!$A:$R,18,0))</f>
        <v/>
      </c>
      <c r="AR38" s="41">
        <f>IFERROR(VLOOKUP(AA38,RULES!$A:$S,19,0)*1,0)</f>
        <v/>
      </c>
      <c r="AS38" s="41">
        <f>IFERROR(VLOOKUP(AA38,RULES!$A:$T,20,0)*1,0)</f>
        <v/>
      </c>
      <c r="AT38" s="41">
        <f>IFERROR(VLOOKUP(AA38,RULES!$A:$U,21,0)*1,0)</f>
        <v/>
      </c>
      <c r="AU38" s="41">
        <f>IFERROR(VLOOKUP(AA38,RULES!$A:$V,22,0)*1,0)</f>
        <v/>
      </c>
      <c r="AV38" s="41">
        <f>IFERROR(VLOOKUP(AA38,RULES!$A:$W,23,0)*1,0)</f>
        <v/>
      </c>
      <c r="AW38" s="41">
        <f>IFERROR(IF(VLOOKUP(AA38,RULES!$A:$X,24,0)="",999999,VLOOKUP(AA38,RULES!$A:$X,24,0)*1),999999)</f>
        <v/>
      </c>
      <c r="AX38" s="41">
        <f>IFERROR(VLOOKUP(AA38,RULES!$A:$Y,25,0)*1,0)</f>
        <v/>
      </c>
      <c r="AY38" s="41">
        <f>IFERROR(VLOOKUP(AA38,RULES!$A:$Z,26,0),"NONE")</f>
        <v/>
      </c>
      <c r="AZ38" s="41">
        <f>IFERROR(VLOOKUP(AA38,RULES!$A:$AA,27,0)*1,0)</f>
        <v/>
      </c>
      <c r="BA38" s="41">
        <f>IFERROR(VLOOKUP(AA38,RULES!$A:$AB,28,0)*1,0)</f>
        <v/>
      </c>
    </row>
    <row r="39" ht="17" customHeight="1">
      <c r="A39" s="36" t="n"/>
      <c r="B39" s="48" t="inlineStr">
        <is>
          <t>ACC003</t>
        </is>
      </c>
      <c r="C39" s="48" t="inlineStr">
        <is>
          <t>DEFAULT</t>
        </is>
      </c>
      <c r="D39" s="47" t="n"/>
      <c r="E39" s="36">
        <f>IF(OR(D39="",D39=0),"INACTIVE","ACTIVE")</f>
        <v/>
      </c>
      <c r="F39" s="48" t="inlineStr">
        <is>
          <t>NORMAL</t>
        </is>
      </c>
      <c r="G39" s="36" t="n"/>
      <c r="H39" s="36" t="n"/>
      <c r="I39" s="42">
        <f>IF(OR(E39="INACTIVE",H39=""),0,MAX(0,H39-G39))</f>
        <v/>
      </c>
      <c r="J39" s="36" t="n"/>
      <c r="K39" s="42">
        <f>IF(OR(E39="INACTIVE",H39=""),0,IF(AB39="DISABLED",0,IF(AB39="FLAT",AE39,IF(AB39="MANUAL",IF(J39="",0,J39*AC39),IF(AB39="STEP",IF(I39&lt;=AF39,I39*AG39,IF(I39&lt;=AH39,AF39*AG39+(I39-AF39)*AI39,AF39*AG39+(AH39-AF39)*AI39+(I39-AH39)*AK39)),MAX(I39*AC39,AD39))))))</f>
        <v/>
      </c>
      <c r="L39" s="42">
        <f>IF(OR(E39="INACTIVE",H39=""),0,IF(AL39="NONE",0,IF(AL39="FLAT",AM39,IF(AL39="PER_UNIT",I39*AN39,IF(AL39="MANUAL",IF(M39="",0,M39),0)))))</f>
        <v/>
      </c>
      <c r="M39" s="36" t="n"/>
      <c r="N39" s="48" t="inlineStr">
        <is>
          <t>NORMAL</t>
        </is>
      </c>
      <c r="O39" s="36" t="n"/>
      <c r="P39" s="36" t="n"/>
      <c r="Q39" s="42">
        <f>IF(OR(E39="INACTIVE",P39=""),0,MAX(0,P39-O39))</f>
        <v/>
      </c>
      <c r="R39" s="36" t="n"/>
      <c r="S39" s="42">
        <f>IF(OR(E39="INACTIVE",P39=""),0,IF(AO39="DISABLED",0,IF(AO39="FLAT",AR39,IF(AO39="MANUAL",IF(R39="",0,R39*AP39),IF(AO39="STEP",IF(Q39&lt;=AS39,Q39*AT39,IF(Q39&lt;=AU39,AS39*AT39+(Q39-AS39)*AV39,AS39*AT39+(AU39-AS39)*AV39+(Q39-AU39)*AX39)),MAX(Q39*AP39,AQ39))))))</f>
        <v/>
      </c>
      <c r="T39" s="42">
        <f>IF(OR(E39="INACTIVE",P39=""),0,IF(AY39="NONE",0,IF(AY39="FLAT",AZ39,IF(AY39="PER_UNIT",Q39*BA39,IF(AY39="MANUAL",IF(U39="",0,U39),0)))))</f>
        <v/>
      </c>
      <c r="U39" s="36" t="n"/>
      <c r="V39" s="36" t="n"/>
      <c r="W39" s="36" t="n"/>
      <c r="X39" s="42">
        <f>IF(E39="INACTIVE",0,D39+K39+L39+S39+T39+IF(V39="",0,V39)+IF(W39="",0,W39))</f>
        <v/>
      </c>
      <c r="Y39" s="36" t="n"/>
      <c r="Z39" s="42">
        <f>IF(E39="INACTIVE","_",IF(AND(G39&gt;0,H39&gt;0,H39&lt;G39),"[!]น้ำ reset ","")&amp;IF(AND(O39&gt;0,P39&gt;0,P39&lt;O39),"[!]ไฟ reset ","")&amp;IF(AND(F39="MANUAL",J39=""),"[X]units น้ำ ","")&amp;IF(AND(N39="MANUAL",R39=""),"[X]units ไฟ ","")&amp;IF(D39=0,"[!]ค่าเช่า=0",""))</f>
        <v/>
      </c>
      <c r="AA39" s="41">
        <f>IF(C39&lt;&gt;"",C39,CONFIG!$B$6)</f>
        <v/>
      </c>
      <c r="AB39" s="41">
        <f>IF(F39&lt;&gt;"",F39,IFERROR(VLOOKUP(AA39,RULES!$A:$C,3,0),CONFIG!$B$7))</f>
        <v/>
      </c>
      <c r="AC39" s="41">
        <f>IF(IFERROR(VLOOKUP(AA39,RULES!$A:$D,4,0),"")="",CONFIG!$B$10,VLOOKUP(AA39,RULES!$A:$D,4,0))</f>
        <v/>
      </c>
      <c r="AD39" s="41">
        <f>IF(IFERROR(VLOOKUP(AA39,RULES!$A:$E,5,0),"")="",CONFIG!$B$11,VLOOKUP(AA39,RULES!$A:$E,5,0))</f>
        <v/>
      </c>
      <c r="AE39" s="41">
        <f>IFERROR(VLOOKUP(AA39,RULES!$A:$F,6,0)*1,0)</f>
        <v/>
      </c>
      <c r="AF39" s="41">
        <f>IFERROR(VLOOKUP(AA39,RULES!$A:$G,7,0)*1,0)</f>
        <v/>
      </c>
      <c r="AG39" s="41">
        <f>IFERROR(VLOOKUP(AA39,RULES!$A:$H,8,0)*1,0)</f>
        <v/>
      </c>
      <c r="AH39" s="41">
        <f>IFERROR(VLOOKUP(AA39,RULES!$A:$I,9,0)*1,0)</f>
        <v/>
      </c>
      <c r="AI39" s="41">
        <f>IFERROR(VLOOKUP(AA39,RULES!$A:$J,10,0)*1,0)</f>
        <v/>
      </c>
      <c r="AJ39" s="41">
        <f>IFERROR(IF(VLOOKUP(AA39,RULES!$A:$K,11,0)="",999999,VLOOKUP(AA39,RULES!$A:$K,11,0)*1),999999)</f>
        <v/>
      </c>
      <c r="AK39" s="41">
        <f>IFERROR(VLOOKUP(AA39,RULES!$A:$L,12,0)*1,0)</f>
        <v/>
      </c>
      <c r="AL39" s="41">
        <f>IFERROR(VLOOKUP(AA39,RULES!$A:$M,13,0),"NONE")</f>
        <v/>
      </c>
      <c r="AM39" s="41">
        <f>IFERROR(VLOOKUP(AA39,RULES!$A:$N,14,0)*1,0)</f>
        <v/>
      </c>
      <c r="AN39" s="41">
        <f>IFERROR(VLOOKUP(AA39,RULES!$A:$O,15,0)*1,0)</f>
        <v/>
      </c>
      <c r="AO39" s="41">
        <f>IF(N39&lt;&gt;"",N39,IFERROR(VLOOKUP(AA39,RULES!$A:$P,16,0),CONFIG!$B$8))</f>
        <v/>
      </c>
      <c r="AP39" s="41">
        <f>IF(IFERROR(VLOOKUP(AA39,RULES!$A:$Q,17,0),"")="",CONFIG!$B$13,VLOOKUP(AA39,RULES!$A:$Q,17,0))</f>
        <v/>
      </c>
      <c r="AQ39" s="41">
        <f>IF(IFERROR(VLOOKUP(AA39,RULES!$A:$R,18,0),"")="",CONFIG!$B$14,VLOOKUP(AA39,RULES!$A:$R,18,0))</f>
        <v/>
      </c>
      <c r="AR39" s="41">
        <f>IFERROR(VLOOKUP(AA39,RULES!$A:$S,19,0)*1,0)</f>
        <v/>
      </c>
      <c r="AS39" s="41">
        <f>IFERROR(VLOOKUP(AA39,RULES!$A:$T,20,0)*1,0)</f>
        <v/>
      </c>
      <c r="AT39" s="41">
        <f>IFERROR(VLOOKUP(AA39,RULES!$A:$U,21,0)*1,0)</f>
        <v/>
      </c>
      <c r="AU39" s="41">
        <f>IFERROR(VLOOKUP(AA39,RULES!$A:$V,22,0)*1,0)</f>
        <v/>
      </c>
      <c r="AV39" s="41">
        <f>IFERROR(VLOOKUP(AA39,RULES!$A:$W,23,0)*1,0)</f>
        <v/>
      </c>
      <c r="AW39" s="41">
        <f>IFERROR(IF(VLOOKUP(AA39,RULES!$A:$X,24,0)="",999999,VLOOKUP(AA39,RULES!$A:$X,24,0)*1),999999)</f>
        <v/>
      </c>
      <c r="AX39" s="41">
        <f>IFERROR(VLOOKUP(AA39,RULES!$A:$Y,25,0)*1,0)</f>
        <v/>
      </c>
      <c r="AY39" s="41">
        <f>IFERROR(VLOOKUP(AA39,RULES!$A:$Z,26,0),"NONE")</f>
        <v/>
      </c>
      <c r="AZ39" s="41">
        <f>IFERROR(VLOOKUP(AA39,RULES!$A:$AA,27,0)*1,0)</f>
        <v/>
      </c>
      <c r="BA39" s="41">
        <f>IFERROR(VLOOKUP(AA39,RULES!$A:$AB,28,0)*1,0)</f>
        <v/>
      </c>
    </row>
    <row r="40" ht="17" customHeight="1">
      <c r="A40" s="36" t="n"/>
      <c r="B40" s="48" t="inlineStr">
        <is>
          <t>ACC003</t>
        </is>
      </c>
      <c r="C40" s="48" t="inlineStr">
        <is>
          <t>DEFAULT</t>
        </is>
      </c>
      <c r="D40" s="47" t="n"/>
      <c r="E40" s="36">
        <f>IF(OR(D40="",D40=0),"INACTIVE","ACTIVE")</f>
        <v/>
      </c>
      <c r="F40" s="48" t="inlineStr">
        <is>
          <t>NORMAL</t>
        </is>
      </c>
      <c r="G40" s="36" t="n"/>
      <c r="H40" s="36" t="n"/>
      <c r="I40" s="42">
        <f>IF(OR(E40="INACTIVE",H40=""),0,MAX(0,H40-G40))</f>
        <v/>
      </c>
      <c r="J40" s="36" t="n"/>
      <c r="K40" s="42">
        <f>IF(OR(E40="INACTIVE",H40=""),0,IF(AB40="DISABLED",0,IF(AB40="FLAT",AE40,IF(AB40="MANUAL",IF(J40="",0,J40*AC40),IF(AB40="STEP",IF(I40&lt;=AF40,I40*AG40,IF(I40&lt;=AH40,AF40*AG40+(I40-AF40)*AI40,AF40*AG40+(AH40-AF40)*AI40+(I40-AH40)*AK40)),MAX(I40*AC40,AD40))))))</f>
        <v/>
      </c>
      <c r="L40" s="42">
        <f>IF(OR(E40="INACTIVE",H40=""),0,IF(AL40="NONE",0,IF(AL40="FLAT",AM40,IF(AL40="PER_UNIT",I40*AN40,IF(AL40="MANUAL",IF(M40="",0,M40),0)))))</f>
        <v/>
      </c>
      <c r="M40" s="36" t="n"/>
      <c r="N40" s="48" t="inlineStr">
        <is>
          <t>NORMAL</t>
        </is>
      </c>
      <c r="O40" s="36" t="n"/>
      <c r="P40" s="36" t="n"/>
      <c r="Q40" s="42">
        <f>IF(OR(E40="INACTIVE",P40=""),0,MAX(0,P40-O40))</f>
        <v/>
      </c>
      <c r="R40" s="36" t="n"/>
      <c r="S40" s="42">
        <f>IF(OR(E40="INACTIVE",P40=""),0,IF(AO40="DISABLED",0,IF(AO40="FLAT",AR40,IF(AO40="MANUAL",IF(R40="",0,R40*AP40),IF(AO40="STEP",IF(Q40&lt;=AS40,Q40*AT40,IF(Q40&lt;=AU40,AS40*AT40+(Q40-AS40)*AV40,AS40*AT40+(AU40-AS40)*AV40+(Q40-AU40)*AX40)),MAX(Q40*AP40,AQ40))))))</f>
        <v/>
      </c>
      <c r="T40" s="42">
        <f>IF(OR(E40="INACTIVE",P40=""),0,IF(AY40="NONE",0,IF(AY40="FLAT",AZ40,IF(AY40="PER_UNIT",Q40*BA40,IF(AY40="MANUAL",IF(U40="",0,U40),0)))))</f>
        <v/>
      </c>
      <c r="U40" s="36" t="n"/>
      <c r="V40" s="36" t="n"/>
      <c r="W40" s="36" t="n"/>
      <c r="X40" s="42">
        <f>IF(E40="INACTIVE",0,D40+K40+L40+S40+T40+IF(V40="",0,V40)+IF(W40="",0,W40))</f>
        <v/>
      </c>
      <c r="Y40" s="36" t="n"/>
      <c r="Z40" s="42">
        <f>IF(E40="INACTIVE","_",IF(AND(G40&gt;0,H40&gt;0,H40&lt;G40),"[!]น้ำ reset ","")&amp;IF(AND(O40&gt;0,P40&gt;0,P40&lt;O40),"[!]ไฟ reset ","")&amp;IF(AND(F40="MANUAL",J40=""),"[X]units น้ำ ","")&amp;IF(AND(N40="MANUAL",R40=""),"[X]units ไฟ ","")&amp;IF(D40=0,"[!]ค่าเช่า=0",""))</f>
        <v/>
      </c>
      <c r="AA40" s="41">
        <f>IF(C40&lt;&gt;"",C40,CONFIG!$B$6)</f>
        <v/>
      </c>
      <c r="AB40" s="41">
        <f>IF(F40&lt;&gt;"",F40,IFERROR(VLOOKUP(AA40,RULES!$A:$C,3,0),CONFIG!$B$7))</f>
        <v/>
      </c>
      <c r="AC40" s="41">
        <f>IF(IFERROR(VLOOKUP(AA40,RULES!$A:$D,4,0),"")="",CONFIG!$B$10,VLOOKUP(AA40,RULES!$A:$D,4,0))</f>
        <v/>
      </c>
      <c r="AD40" s="41">
        <f>IF(IFERROR(VLOOKUP(AA40,RULES!$A:$E,5,0),"")="",CONFIG!$B$11,VLOOKUP(AA40,RULES!$A:$E,5,0))</f>
        <v/>
      </c>
      <c r="AE40" s="41">
        <f>IFERROR(VLOOKUP(AA40,RULES!$A:$F,6,0)*1,0)</f>
        <v/>
      </c>
      <c r="AF40" s="41">
        <f>IFERROR(VLOOKUP(AA40,RULES!$A:$G,7,0)*1,0)</f>
        <v/>
      </c>
      <c r="AG40" s="41">
        <f>IFERROR(VLOOKUP(AA40,RULES!$A:$H,8,0)*1,0)</f>
        <v/>
      </c>
      <c r="AH40" s="41">
        <f>IFERROR(VLOOKUP(AA40,RULES!$A:$I,9,0)*1,0)</f>
        <v/>
      </c>
      <c r="AI40" s="41">
        <f>IFERROR(VLOOKUP(AA40,RULES!$A:$J,10,0)*1,0)</f>
        <v/>
      </c>
      <c r="AJ40" s="41">
        <f>IFERROR(IF(VLOOKUP(AA40,RULES!$A:$K,11,0)="",999999,VLOOKUP(AA40,RULES!$A:$K,11,0)*1),999999)</f>
        <v/>
      </c>
      <c r="AK40" s="41">
        <f>IFERROR(VLOOKUP(AA40,RULES!$A:$L,12,0)*1,0)</f>
        <v/>
      </c>
      <c r="AL40" s="41">
        <f>IFERROR(VLOOKUP(AA40,RULES!$A:$M,13,0),"NONE")</f>
        <v/>
      </c>
      <c r="AM40" s="41">
        <f>IFERROR(VLOOKUP(AA40,RULES!$A:$N,14,0)*1,0)</f>
        <v/>
      </c>
      <c r="AN40" s="41">
        <f>IFERROR(VLOOKUP(AA40,RULES!$A:$O,15,0)*1,0)</f>
        <v/>
      </c>
      <c r="AO40" s="41">
        <f>IF(N40&lt;&gt;"",N40,IFERROR(VLOOKUP(AA40,RULES!$A:$P,16,0),CONFIG!$B$8))</f>
        <v/>
      </c>
      <c r="AP40" s="41">
        <f>IF(IFERROR(VLOOKUP(AA40,RULES!$A:$Q,17,0),"")="",CONFIG!$B$13,VLOOKUP(AA40,RULES!$A:$Q,17,0))</f>
        <v/>
      </c>
      <c r="AQ40" s="41">
        <f>IF(IFERROR(VLOOKUP(AA40,RULES!$A:$R,18,0),"")="",CONFIG!$B$14,VLOOKUP(AA40,RULES!$A:$R,18,0))</f>
        <v/>
      </c>
      <c r="AR40" s="41">
        <f>IFERROR(VLOOKUP(AA40,RULES!$A:$S,19,0)*1,0)</f>
        <v/>
      </c>
      <c r="AS40" s="41">
        <f>IFERROR(VLOOKUP(AA40,RULES!$A:$T,20,0)*1,0)</f>
        <v/>
      </c>
      <c r="AT40" s="41">
        <f>IFERROR(VLOOKUP(AA40,RULES!$A:$U,21,0)*1,0)</f>
        <v/>
      </c>
      <c r="AU40" s="41">
        <f>IFERROR(VLOOKUP(AA40,RULES!$A:$V,22,0)*1,0)</f>
        <v/>
      </c>
      <c r="AV40" s="41">
        <f>IFERROR(VLOOKUP(AA40,RULES!$A:$W,23,0)*1,0)</f>
        <v/>
      </c>
      <c r="AW40" s="41">
        <f>IFERROR(IF(VLOOKUP(AA40,RULES!$A:$X,24,0)="",999999,VLOOKUP(AA40,RULES!$A:$X,24,0)*1),999999)</f>
        <v/>
      </c>
      <c r="AX40" s="41">
        <f>IFERROR(VLOOKUP(AA40,RULES!$A:$Y,25,0)*1,0)</f>
        <v/>
      </c>
      <c r="AY40" s="41">
        <f>IFERROR(VLOOKUP(AA40,RULES!$A:$Z,26,0),"NONE")</f>
        <v/>
      </c>
      <c r="AZ40" s="41">
        <f>IFERROR(VLOOKUP(AA40,RULES!$A:$AA,27,0)*1,0)</f>
        <v/>
      </c>
      <c r="BA40" s="41">
        <f>IFERROR(VLOOKUP(AA40,RULES!$A:$AB,28,0)*1,0)</f>
        <v/>
      </c>
    </row>
    <row r="41" ht="17" customHeight="1">
      <c r="A41" s="36" t="n"/>
      <c r="B41" s="48" t="inlineStr">
        <is>
          <t>ACC003</t>
        </is>
      </c>
      <c r="C41" s="48" t="inlineStr">
        <is>
          <t>DEFAULT</t>
        </is>
      </c>
      <c r="D41" s="47" t="n"/>
      <c r="E41" s="36">
        <f>IF(OR(D41="",D41=0),"INACTIVE","ACTIVE")</f>
        <v/>
      </c>
      <c r="F41" s="48" t="inlineStr">
        <is>
          <t>NORMAL</t>
        </is>
      </c>
      <c r="G41" s="36" t="n"/>
      <c r="H41" s="36" t="n"/>
      <c r="I41" s="42">
        <f>IF(OR(E41="INACTIVE",H41=""),0,MAX(0,H41-G41))</f>
        <v/>
      </c>
      <c r="J41" s="36" t="n"/>
      <c r="K41" s="42">
        <f>IF(OR(E41="INACTIVE",H41=""),0,IF(AB41="DISABLED",0,IF(AB41="FLAT",AE41,IF(AB41="MANUAL",IF(J41="",0,J41*AC41),IF(AB41="STEP",IF(I41&lt;=AF41,I41*AG41,IF(I41&lt;=AH41,AF41*AG41+(I41-AF41)*AI41,AF41*AG41+(AH41-AF41)*AI41+(I41-AH41)*AK41)),MAX(I41*AC41,AD41))))))</f>
        <v/>
      </c>
      <c r="L41" s="42">
        <f>IF(OR(E41="INACTIVE",H41=""),0,IF(AL41="NONE",0,IF(AL41="FLAT",AM41,IF(AL41="PER_UNIT",I41*AN41,IF(AL41="MANUAL",IF(M41="",0,M41),0)))))</f>
        <v/>
      </c>
      <c r="M41" s="36" t="n"/>
      <c r="N41" s="48" t="inlineStr">
        <is>
          <t>NORMAL</t>
        </is>
      </c>
      <c r="O41" s="36" t="n"/>
      <c r="P41" s="36" t="n"/>
      <c r="Q41" s="42">
        <f>IF(OR(E41="INACTIVE",P41=""),0,MAX(0,P41-O41))</f>
        <v/>
      </c>
      <c r="R41" s="36" t="n"/>
      <c r="S41" s="42">
        <f>IF(OR(E41="INACTIVE",P41=""),0,IF(AO41="DISABLED",0,IF(AO41="FLAT",AR41,IF(AO41="MANUAL",IF(R41="",0,R41*AP41),IF(AO41="STEP",IF(Q41&lt;=AS41,Q41*AT41,IF(Q41&lt;=AU41,AS41*AT41+(Q41-AS41)*AV41,AS41*AT41+(AU41-AS41)*AV41+(Q41-AU41)*AX41)),MAX(Q41*AP41,AQ41))))))</f>
        <v/>
      </c>
      <c r="T41" s="42">
        <f>IF(OR(E41="INACTIVE",P41=""),0,IF(AY41="NONE",0,IF(AY41="FLAT",AZ41,IF(AY41="PER_UNIT",Q41*BA41,IF(AY41="MANUAL",IF(U41="",0,U41),0)))))</f>
        <v/>
      </c>
      <c r="U41" s="36" t="n"/>
      <c r="V41" s="36" t="n"/>
      <c r="W41" s="36" t="n"/>
      <c r="X41" s="42">
        <f>IF(E41="INACTIVE",0,D41+K41+L41+S41+T41+IF(V41="",0,V41)+IF(W41="",0,W41))</f>
        <v/>
      </c>
      <c r="Y41" s="36" t="n"/>
      <c r="Z41" s="42">
        <f>IF(E41="INACTIVE","_",IF(AND(G41&gt;0,H41&gt;0,H41&lt;G41),"[!]น้ำ reset ","")&amp;IF(AND(O41&gt;0,P41&gt;0,P41&lt;O41),"[!]ไฟ reset ","")&amp;IF(AND(F41="MANUAL",J41=""),"[X]units น้ำ ","")&amp;IF(AND(N41="MANUAL",R41=""),"[X]units ไฟ ","")&amp;IF(D41=0,"[!]ค่าเช่า=0",""))</f>
        <v/>
      </c>
      <c r="AA41" s="41">
        <f>IF(C41&lt;&gt;"",C41,CONFIG!$B$6)</f>
        <v/>
      </c>
      <c r="AB41" s="41">
        <f>IF(F41&lt;&gt;"",F41,IFERROR(VLOOKUP(AA41,RULES!$A:$C,3,0),CONFIG!$B$7))</f>
        <v/>
      </c>
      <c r="AC41" s="41">
        <f>IF(IFERROR(VLOOKUP(AA41,RULES!$A:$D,4,0),"")="",CONFIG!$B$10,VLOOKUP(AA41,RULES!$A:$D,4,0))</f>
        <v/>
      </c>
      <c r="AD41" s="41">
        <f>IF(IFERROR(VLOOKUP(AA41,RULES!$A:$E,5,0),"")="",CONFIG!$B$11,VLOOKUP(AA41,RULES!$A:$E,5,0))</f>
        <v/>
      </c>
      <c r="AE41" s="41">
        <f>IFERROR(VLOOKUP(AA41,RULES!$A:$F,6,0)*1,0)</f>
        <v/>
      </c>
      <c r="AF41" s="41">
        <f>IFERROR(VLOOKUP(AA41,RULES!$A:$G,7,0)*1,0)</f>
        <v/>
      </c>
      <c r="AG41" s="41">
        <f>IFERROR(VLOOKUP(AA41,RULES!$A:$H,8,0)*1,0)</f>
        <v/>
      </c>
      <c r="AH41" s="41">
        <f>IFERROR(VLOOKUP(AA41,RULES!$A:$I,9,0)*1,0)</f>
        <v/>
      </c>
      <c r="AI41" s="41">
        <f>IFERROR(VLOOKUP(AA41,RULES!$A:$J,10,0)*1,0)</f>
        <v/>
      </c>
      <c r="AJ41" s="41">
        <f>IFERROR(IF(VLOOKUP(AA41,RULES!$A:$K,11,0)="",999999,VLOOKUP(AA41,RULES!$A:$K,11,0)*1),999999)</f>
        <v/>
      </c>
      <c r="AK41" s="41">
        <f>IFERROR(VLOOKUP(AA41,RULES!$A:$L,12,0)*1,0)</f>
        <v/>
      </c>
      <c r="AL41" s="41">
        <f>IFERROR(VLOOKUP(AA41,RULES!$A:$M,13,0),"NONE")</f>
        <v/>
      </c>
      <c r="AM41" s="41">
        <f>IFERROR(VLOOKUP(AA41,RULES!$A:$N,14,0)*1,0)</f>
        <v/>
      </c>
      <c r="AN41" s="41">
        <f>IFERROR(VLOOKUP(AA41,RULES!$A:$O,15,0)*1,0)</f>
        <v/>
      </c>
      <c r="AO41" s="41">
        <f>IF(N41&lt;&gt;"",N41,IFERROR(VLOOKUP(AA41,RULES!$A:$P,16,0),CONFIG!$B$8))</f>
        <v/>
      </c>
      <c r="AP41" s="41">
        <f>IF(IFERROR(VLOOKUP(AA41,RULES!$A:$Q,17,0),"")="",CONFIG!$B$13,VLOOKUP(AA41,RULES!$A:$Q,17,0))</f>
        <v/>
      </c>
      <c r="AQ41" s="41">
        <f>IF(IFERROR(VLOOKUP(AA41,RULES!$A:$R,18,0),"")="",CONFIG!$B$14,VLOOKUP(AA41,RULES!$A:$R,18,0))</f>
        <v/>
      </c>
      <c r="AR41" s="41">
        <f>IFERROR(VLOOKUP(AA41,RULES!$A:$S,19,0)*1,0)</f>
        <v/>
      </c>
      <c r="AS41" s="41">
        <f>IFERROR(VLOOKUP(AA41,RULES!$A:$T,20,0)*1,0)</f>
        <v/>
      </c>
      <c r="AT41" s="41">
        <f>IFERROR(VLOOKUP(AA41,RULES!$A:$U,21,0)*1,0)</f>
        <v/>
      </c>
      <c r="AU41" s="41">
        <f>IFERROR(VLOOKUP(AA41,RULES!$A:$V,22,0)*1,0)</f>
        <v/>
      </c>
      <c r="AV41" s="41">
        <f>IFERROR(VLOOKUP(AA41,RULES!$A:$W,23,0)*1,0)</f>
        <v/>
      </c>
      <c r="AW41" s="41">
        <f>IFERROR(IF(VLOOKUP(AA41,RULES!$A:$X,24,0)="",999999,VLOOKUP(AA41,RULES!$A:$X,24,0)*1),999999)</f>
        <v/>
      </c>
      <c r="AX41" s="41">
        <f>IFERROR(VLOOKUP(AA41,RULES!$A:$Y,25,0)*1,0)</f>
        <v/>
      </c>
      <c r="AY41" s="41">
        <f>IFERROR(VLOOKUP(AA41,RULES!$A:$Z,26,0),"NONE")</f>
        <v/>
      </c>
      <c r="AZ41" s="41">
        <f>IFERROR(VLOOKUP(AA41,RULES!$A:$AA,27,0)*1,0)</f>
        <v/>
      </c>
      <c r="BA41" s="41">
        <f>IFERROR(VLOOKUP(AA41,RULES!$A:$AB,28,0)*1,0)</f>
        <v/>
      </c>
    </row>
    <row r="42" ht="17" customHeight="1">
      <c r="A42" s="36" t="n"/>
      <c r="B42" s="48" t="inlineStr">
        <is>
          <t>ACC003</t>
        </is>
      </c>
      <c r="C42" s="48" t="inlineStr">
        <is>
          <t>DEFAULT</t>
        </is>
      </c>
      <c r="D42" s="47" t="n"/>
      <c r="E42" s="36">
        <f>IF(OR(D42="",D42=0),"INACTIVE","ACTIVE")</f>
        <v/>
      </c>
      <c r="F42" s="48" t="inlineStr">
        <is>
          <t>NORMAL</t>
        </is>
      </c>
      <c r="G42" s="36" t="n"/>
      <c r="H42" s="36" t="n"/>
      <c r="I42" s="42">
        <f>IF(OR(E42="INACTIVE",H42=""),0,MAX(0,H42-G42))</f>
        <v/>
      </c>
      <c r="J42" s="36" t="n"/>
      <c r="K42" s="42">
        <f>IF(OR(E42="INACTIVE",H42=""),0,IF(AB42="DISABLED",0,IF(AB42="FLAT",AE42,IF(AB42="MANUAL",IF(J42="",0,J42*AC42),IF(AB42="STEP",IF(I42&lt;=AF42,I42*AG42,IF(I42&lt;=AH42,AF42*AG42+(I42-AF42)*AI42,AF42*AG42+(AH42-AF42)*AI42+(I42-AH42)*AK42)),MAX(I42*AC42,AD42))))))</f>
        <v/>
      </c>
      <c r="L42" s="42">
        <f>IF(OR(E42="INACTIVE",H42=""),0,IF(AL42="NONE",0,IF(AL42="FLAT",AM42,IF(AL42="PER_UNIT",I42*AN42,IF(AL42="MANUAL",IF(M42="",0,M42),0)))))</f>
        <v/>
      </c>
      <c r="M42" s="36" t="n"/>
      <c r="N42" s="48" t="inlineStr">
        <is>
          <t>NORMAL</t>
        </is>
      </c>
      <c r="O42" s="36" t="n"/>
      <c r="P42" s="36" t="n"/>
      <c r="Q42" s="42">
        <f>IF(OR(E42="INACTIVE",P42=""),0,MAX(0,P42-O42))</f>
        <v/>
      </c>
      <c r="R42" s="36" t="n"/>
      <c r="S42" s="42">
        <f>IF(OR(E42="INACTIVE",P42=""),0,IF(AO42="DISABLED",0,IF(AO42="FLAT",AR42,IF(AO42="MANUAL",IF(R42="",0,R42*AP42),IF(AO42="STEP",IF(Q42&lt;=AS42,Q42*AT42,IF(Q42&lt;=AU42,AS42*AT42+(Q42-AS42)*AV42,AS42*AT42+(AU42-AS42)*AV42+(Q42-AU42)*AX42)),MAX(Q42*AP42,AQ42))))))</f>
        <v/>
      </c>
      <c r="T42" s="42">
        <f>IF(OR(E42="INACTIVE",P42=""),0,IF(AY42="NONE",0,IF(AY42="FLAT",AZ42,IF(AY42="PER_UNIT",Q42*BA42,IF(AY42="MANUAL",IF(U42="",0,U42),0)))))</f>
        <v/>
      </c>
      <c r="U42" s="36" t="n"/>
      <c r="V42" s="36" t="n"/>
      <c r="W42" s="36" t="n"/>
      <c r="X42" s="42">
        <f>IF(E42="INACTIVE",0,D42+K42+L42+S42+T42+IF(V42="",0,V42)+IF(W42="",0,W42))</f>
        <v/>
      </c>
      <c r="Y42" s="36" t="n"/>
      <c r="Z42" s="42">
        <f>IF(E42="INACTIVE","_",IF(AND(G42&gt;0,H42&gt;0,H42&lt;G42),"[!]น้ำ reset ","")&amp;IF(AND(O42&gt;0,P42&gt;0,P42&lt;O42),"[!]ไฟ reset ","")&amp;IF(AND(F42="MANUAL",J42=""),"[X]units น้ำ ","")&amp;IF(AND(N42="MANUAL",R42=""),"[X]units ไฟ ","")&amp;IF(D42=0,"[!]ค่าเช่า=0",""))</f>
        <v/>
      </c>
      <c r="AA42" s="41">
        <f>IF(C42&lt;&gt;"",C42,CONFIG!$B$6)</f>
        <v/>
      </c>
      <c r="AB42" s="41">
        <f>IF(F42&lt;&gt;"",F42,IFERROR(VLOOKUP(AA42,RULES!$A:$C,3,0),CONFIG!$B$7))</f>
        <v/>
      </c>
      <c r="AC42" s="41">
        <f>IF(IFERROR(VLOOKUP(AA42,RULES!$A:$D,4,0),"")="",CONFIG!$B$10,VLOOKUP(AA42,RULES!$A:$D,4,0))</f>
        <v/>
      </c>
      <c r="AD42" s="41">
        <f>IF(IFERROR(VLOOKUP(AA42,RULES!$A:$E,5,0),"")="",CONFIG!$B$11,VLOOKUP(AA42,RULES!$A:$E,5,0))</f>
        <v/>
      </c>
      <c r="AE42" s="41">
        <f>IFERROR(VLOOKUP(AA42,RULES!$A:$F,6,0)*1,0)</f>
        <v/>
      </c>
      <c r="AF42" s="41">
        <f>IFERROR(VLOOKUP(AA42,RULES!$A:$G,7,0)*1,0)</f>
        <v/>
      </c>
      <c r="AG42" s="41">
        <f>IFERROR(VLOOKUP(AA42,RULES!$A:$H,8,0)*1,0)</f>
        <v/>
      </c>
      <c r="AH42" s="41">
        <f>IFERROR(VLOOKUP(AA42,RULES!$A:$I,9,0)*1,0)</f>
        <v/>
      </c>
      <c r="AI42" s="41">
        <f>IFERROR(VLOOKUP(AA42,RULES!$A:$J,10,0)*1,0)</f>
        <v/>
      </c>
      <c r="AJ42" s="41">
        <f>IFERROR(IF(VLOOKUP(AA42,RULES!$A:$K,11,0)="",999999,VLOOKUP(AA42,RULES!$A:$K,11,0)*1),999999)</f>
        <v/>
      </c>
      <c r="AK42" s="41">
        <f>IFERROR(VLOOKUP(AA42,RULES!$A:$L,12,0)*1,0)</f>
        <v/>
      </c>
      <c r="AL42" s="41">
        <f>IFERROR(VLOOKUP(AA42,RULES!$A:$M,13,0),"NONE")</f>
        <v/>
      </c>
      <c r="AM42" s="41">
        <f>IFERROR(VLOOKUP(AA42,RULES!$A:$N,14,0)*1,0)</f>
        <v/>
      </c>
      <c r="AN42" s="41">
        <f>IFERROR(VLOOKUP(AA42,RULES!$A:$O,15,0)*1,0)</f>
        <v/>
      </c>
      <c r="AO42" s="41">
        <f>IF(N42&lt;&gt;"",N42,IFERROR(VLOOKUP(AA42,RULES!$A:$P,16,0),CONFIG!$B$8))</f>
        <v/>
      </c>
      <c r="AP42" s="41">
        <f>IF(IFERROR(VLOOKUP(AA42,RULES!$A:$Q,17,0),"")="",CONFIG!$B$13,VLOOKUP(AA42,RULES!$A:$Q,17,0))</f>
        <v/>
      </c>
      <c r="AQ42" s="41">
        <f>IF(IFERROR(VLOOKUP(AA42,RULES!$A:$R,18,0),"")="",CONFIG!$B$14,VLOOKUP(AA42,RULES!$A:$R,18,0))</f>
        <v/>
      </c>
      <c r="AR42" s="41">
        <f>IFERROR(VLOOKUP(AA42,RULES!$A:$S,19,0)*1,0)</f>
        <v/>
      </c>
      <c r="AS42" s="41">
        <f>IFERROR(VLOOKUP(AA42,RULES!$A:$T,20,0)*1,0)</f>
        <v/>
      </c>
      <c r="AT42" s="41">
        <f>IFERROR(VLOOKUP(AA42,RULES!$A:$U,21,0)*1,0)</f>
        <v/>
      </c>
      <c r="AU42" s="41">
        <f>IFERROR(VLOOKUP(AA42,RULES!$A:$V,22,0)*1,0)</f>
        <v/>
      </c>
      <c r="AV42" s="41">
        <f>IFERROR(VLOOKUP(AA42,RULES!$A:$W,23,0)*1,0)</f>
        <v/>
      </c>
      <c r="AW42" s="41">
        <f>IFERROR(IF(VLOOKUP(AA42,RULES!$A:$X,24,0)="",999999,VLOOKUP(AA42,RULES!$A:$X,24,0)*1),999999)</f>
        <v/>
      </c>
      <c r="AX42" s="41">
        <f>IFERROR(VLOOKUP(AA42,RULES!$A:$Y,25,0)*1,0)</f>
        <v/>
      </c>
      <c r="AY42" s="41">
        <f>IFERROR(VLOOKUP(AA42,RULES!$A:$Z,26,0),"NONE")</f>
        <v/>
      </c>
      <c r="AZ42" s="41">
        <f>IFERROR(VLOOKUP(AA42,RULES!$A:$AA,27,0)*1,0)</f>
        <v/>
      </c>
      <c r="BA42" s="41">
        <f>IFERROR(VLOOKUP(AA42,RULES!$A:$AB,28,0)*1,0)</f>
        <v/>
      </c>
    </row>
    <row r="43" ht="17" customHeight="1">
      <c r="A43" s="36" t="n"/>
      <c r="B43" s="48" t="inlineStr">
        <is>
          <t>ACC003</t>
        </is>
      </c>
      <c r="C43" s="48" t="inlineStr">
        <is>
          <t>DEFAULT</t>
        </is>
      </c>
      <c r="D43" s="47" t="n"/>
      <c r="E43" s="36">
        <f>IF(OR(D43="",D43=0),"INACTIVE","ACTIVE")</f>
        <v/>
      </c>
      <c r="F43" s="48" t="inlineStr">
        <is>
          <t>NORMAL</t>
        </is>
      </c>
      <c r="G43" s="36" t="n"/>
      <c r="H43" s="36" t="n"/>
      <c r="I43" s="42">
        <f>IF(OR(E43="INACTIVE",H43=""),0,MAX(0,H43-G43))</f>
        <v/>
      </c>
      <c r="J43" s="36" t="n"/>
      <c r="K43" s="42">
        <f>IF(OR(E43="INACTIVE",H43=""),0,IF(AB43="DISABLED",0,IF(AB43="FLAT",AE43,IF(AB43="MANUAL",IF(J43="",0,J43*AC43),IF(AB43="STEP",IF(I43&lt;=AF43,I43*AG43,IF(I43&lt;=AH43,AF43*AG43+(I43-AF43)*AI43,AF43*AG43+(AH43-AF43)*AI43+(I43-AH43)*AK43)),MAX(I43*AC43,AD43))))))</f>
        <v/>
      </c>
      <c r="L43" s="42">
        <f>IF(OR(E43="INACTIVE",H43=""),0,IF(AL43="NONE",0,IF(AL43="FLAT",AM43,IF(AL43="PER_UNIT",I43*AN43,IF(AL43="MANUAL",IF(M43="",0,M43),0)))))</f>
        <v/>
      </c>
      <c r="M43" s="36" t="n"/>
      <c r="N43" s="48" t="inlineStr">
        <is>
          <t>NORMAL</t>
        </is>
      </c>
      <c r="O43" s="36" t="n"/>
      <c r="P43" s="36" t="n"/>
      <c r="Q43" s="42">
        <f>IF(OR(E43="INACTIVE",P43=""),0,MAX(0,P43-O43))</f>
        <v/>
      </c>
      <c r="R43" s="36" t="n"/>
      <c r="S43" s="42">
        <f>IF(OR(E43="INACTIVE",P43=""),0,IF(AO43="DISABLED",0,IF(AO43="FLAT",AR43,IF(AO43="MANUAL",IF(R43="",0,R43*AP43),IF(AO43="STEP",IF(Q43&lt;=AS43,Q43*AT43,IF(Q43&lt;=AU43,AS43*AT43+(Q43-AS43)*AV43,AS43*AT43+(AU43-AS43)*AV43+(Q43-AU43)*AX43)),MAX(Q43*AP43,AQ43))))))</f>
        <v/>
      </c>
      <c r="T43" s="42">
        <f>IF(OR(E43="INACTIVE",P43=""),0,IF(AY43="NONE",0,IF(AY43="FLAT",AZ43,IF(AY43="PER_UNIT",Q43*BA43,IF(AY43="MANUAL",IF(U43="",0,U43),0)))))</f>
        <v/>
      </c>
      <c r="U43" s="36" t="n"/>
      <c r="V43" s="36" t="n"/>
      <c r="W43" s="36" t="n"/>
      <c r="X43" s="42">
        <f>IF(E43="INACTIVE",0,D43+K43+L43+S43+T43+IF(V43="",0,V43)+IF(W43="",0,W43))</f>
        <v/>
      </c>
      <c r="Y43" s="36" t="n"/>
      <c r="Z43" s="42">
        <f>IF(E43="INACTIVE","_",IF(AND(G43&gt;0,H43&gt;0,H43&lt;G43),"[!]น้ำ reset ","")&amp;IF(AND(O43&gt;0,P43&gt;0,P43&lt;O43),"[!]ไฟ reset ","")&amp;IF(AND(F43="MANUAL",J43=""),"[X]units น้ำ ","")&amp;IF(AND(N43="MANUAL",R43=""),"[X]units ไฟ ","")&amp;IF(D43=0,"[!]ค่าเช่า=0",""))</f>
        <v/>
      </c>
      <c r="AA43" s="41">
        <f>IF(C43&lt;&gt;"",C43,CONFIG!$B$6)</f>
        <v/>
      </c>
      <c r="AB43" s="41">
        <f>IF(F43&lt;&gt;"",F43,IFERROR(VLOOKUP(AA43,RULES!$A:$C,3,0),CONFIG!$B$7))</f>
        <v/>
      </c>
      <c r="AC43" s="41">
        <f>IF(IFERROR(VLOOKUP(AA43,RULES!$A:$D,4,0),"")="",CONFIG!$B$10,VLOOKUP(AA43,RULES!$A:$D,4,0))</f>
        <v/>
      </c>
      <c r="AD43" s="41">
        <f>IF(IFERROR(VLOOKUP(AA43,RULES!$A:$E,5,0),"")="",CONFIG!$B$11,VLOOKUP(AA43,RULES!$A:$E,5,0))</f>
        <v/>
      </c>
      <c r="AE43" s="41">
        <f>IFERROR(VLOOKUP(AA43,RULES!$A:$F,6,0)*1,0)</f>
        <v/>
      </c>
      <c r="AF43" s="41">
        <f>IFERROR(VLOOKUP(AA43,RULES!$A:$G,7,0)*1,0)</f>
        <v/>
      </c>
      <c r="AG43" s="41">
        <f>IFERROR(VLOOKUP(AA43,RULES!$A:$H,8,0)*1,0)</f>
        <v/>
      </c>
      <c r="AH43" s="41">
        <f>IFERROR(VLOOKUP(AA43,RULES!$A:$I,9,0)*1,0)</f>
        <v/>
      </c>
      <c r="AI43" s="41">
        <f>IFERROR(VLOOKUP(AA43,RULES!$A:$J,10,0)*1,0)</f>
        <v/>
      </c>
      <c r="AJ43" s="41">
        <f>IFERROR(IF(VLOOKUP(AA43,RULES!$A:$K,11,0)="",999999,VLOOKUP(AA43,RULES!$A:$K,11,0)*1),999999)</f>
        <v/>
      </c>
      <c r="AK43" s="41">
        <f>IFERROR(VLOOKUP(AA43,RULES!$A:$L,12,0)*1,0)</f>
        <v/>
      </c>
      <c r="AL43" s="41">
        <f>IFERROR(VLOOKUP(AA43,RULES!$A:$M,13,0),"NONE")</f>
        <v/>
      </c>
      <c r="AM43" s="41">
        <f>IFERROR(VLOOKUP(AA43,RULES!$A:$N,14,0)*1,0)</f>
        <v/>
      </c>
      <c r="AN43" s="41">
        <f>IFERROR(VLOOKUP(AA43,RULES!$A:$O,15,0)*1,0)</f>
        <v/>
      </c>
      <c r="AO43" s="41">
        <f>IF(N43&lt;&gt;"",N43,IFERROR(VLOOKUP(AA43,RULES!$A:$P,16,0),CONFIG!$B$8))</f>
        <v/>
      </c>
      <c r="AP43" s="41">
        <f>IF(IFERROR(VLOOKUP(AA43,RULES!$A:$Q,17,0),"")="",CONFIG!$B$13,VLOOKUP(AA43,RULES!$A:$Q,17,0))</f>
        <v/>
      </c>
      <c r="AQ43" s="41">
        <f>IF(IFERROR(VLOOKUP(AA43,RULES!$A:$R,18,0),"")="",CONFIG!$B$14,VLOOKUP(AA43,RULES!$A:$R,18,0))</f>
        <v/>
      </c>
      <c r="AR43" s="41">
        <f>IFERROR(VLOOKUP(AA43,RULES!$A:$S,19,0)*1,0)</f>
        <v/>
      </c>
      <c r="AS43" s="41">
        <f>IFERROR(VLOOKUP(AA43,RULES!$A:$T,20,0)*1,0)</f>
        <v/>
      </c>
      <c r="AT43" s="41">
        <f>IFERROR(VLOOKUP(AA43,RULES!$A:$U,21,0)*1,0)</f>
        <v/>
      </c>
      <c r="AU43" s="41">
        <f>IFERROR(VLOOKUP(AA43,RULES!$A:$V,22,0)*1,0)</f>
        <v/>
      </c>
      <c r="AV43" s="41">
        <f>IFERROR(VLOOKUP(AA43,RULES!$A:$W,23,0)*1,0)</f>
        <v/>
      </c>
      <c r="AW43" s="41">
        <f>IFERROR(IF(VLOOKUP(AA43,RULES!$A:$X,24,0)="",999999,VLOOKUP(AA43,RULES!$A:$X,24,0)*1),999999)</f>
        <v/>
      </c>
      <c r="AX43" s="41">
        <f>IFERROR(VLOOKUP(AA43,RULES!$A:$Y,25,0)*1,0)</f>
        <v/>
      </c>
      <c r="AY43" s="41">
        <f>IFERROR(VLOOKUP(AA43,RULES!$A:$Z,26,0),"NONE")</f>
        <v/>
      </c>
      <c r="AZ43" s="41">
        <f>IFERROR(VLOOKUP(AA43,RULES!$A:$AA,27,0)*1,0)</f>
        <v/>
      </c>
      <c r="BA43" s="41">
        <f>IFERROR(VLOOKUP(AA43,RULES!$A:$AB,28,0)*1,0)</f>
        <v/>
      </c>
    </row>
    <row r="44" ht="17" customHeight="1">
      <c r="A44" s="36" t="n"/>
      <c r="B44" s="48" t="inlineStr">
        <is>
          <t>ACC003</t>
        </is>
      </c>
      <c r="C44" s="48" t="inlineStr">
        <is>
          <t>DEFAULT</t>
        </is>
      </c>
      <c r="D44" s="47" t="n"/>
      <c r="E44" s="36">
        <f>IF(OR(D44="",D44=0),"INACTIVE","ACTIVE")</f>
        <v/>
      </c>
      <c r="F44" s="48" t="inlineStr">
        <is>
          <t>NORMAL</t>
        </is>
      </c>
      <c r="G44" s="36" t="n"/>
      <c r="H44" s="36" t="n"/>
      <c r="I44" s="42">
        <f>IF(OR(E44="INACTIVE",H44=""),0,MAX(0,H44-G44))</f>
        <v/>
      </c>
      <c r="J44" s="36" t="n"/>
      <c r="K44" s="42">
        <f>IF(OR(E44="INACTIVE",H44=""),0,IF(AB44="DISABLED",0,IF(AB44="FLAT",AE44,IF(AB44="MANUAL",IF(J44="",0,J44*AC44),IF(AB44="STEP",IF(I44&lt;=AF44,I44*AG44,IF(I44&lt;=AH44,AF44*AG44+(I44-AF44)*AI44,AF44*AG44+(AH44-AF44)*AI44+(I44-AH44)*AK44)),MAX(I44*AC44,AD44))))))</f>
        <v/>
      </c>
      <c r="L44" s="42">
        <f>IF(OR(E44="INACTIVE",H44=""),0,IF(AL44="NONE",0,IF(AL44="FLAT",AM44,IF(AL44="PER_UNIT",I44*AN44,IF(AL44="MANUAL",IF(M44="",0,M44),0)))))</f>
        <v/>
      </c>
      <c r="M44" s="36" t="n"/>
      <c r="N44" s="48" t="inlineStr">
        <is>
          <t>NORMAL</t>
        </is>
      </c>
      <c r="O44" s="36" t="n"/>
      <c r="P44" s="36" t="n"/>
      <c r="Q44" s="42">
        <f>IF(OR(E44="INACTIVE",P44=""),0,MAX(0,P44-O44))</f>
        <v/>
      </c>
      <c r="R44" s="36" t="n"/>
      <c r="S44" s="42">
        <f>IF(OR(E44="INACTIVE",P44=""),0,IF(AO44="DISABLED",0,IF(AO44="FLAT",AR44,IF(AO44="MANUAL",IF(R44="",0,R44*AP44),IF(AO44="STEP",IF(Q44&lt;=AS44,Q44*AT44,IF(Q44&lt;=AU44,AS44*AT44+(Q44-AS44)*AV44,AS44*AT44+(AU44-AS44)*AV44+(Q44-AU44)*AX44)),MAX(Q44*AP44,AQ44))))))</f>
        <v/>
      </c>
      <c r="T44" s="42">
        <f>IF(OR(E44="INACTIVE",P44=""),0,IF(AY44="NONE",0,IF(AY44="FLAT",AZ44,IF(AY44="PER_UNIT",Q44*BA44,IF(AY44="MANUAL",IF(U44="",0,U44),0)))))</f>
        <v/>
      </c>
      <c r="U44" s="36" t="n"/>
      <c r="V44" s="36" t="n"/>
      <c r="W44" s="36" t="n"/>
      <c r="X44" s="42">
        <f>IF(E44="INACTIVE",0,D44+K44+L44+S44+T44+IF(V44="",0,V44)+IF(W44="",0,W44))</f>
        <v/>
      </c>
      <c r="Y44" s="36" t="n"/>
      <c r="Z44" s="42">
        <f>IF(E44="INACTIVE","_",IF(AND(G44&gt;0,H44&gt;0,H44&lt;G44),"[!]น้ำ reset ","")&amp;IF(AND(O44&gt;0,P44&gt;0,P44&lt;O44),"[!]ไฟ reset ","")&amp;IF(AND(F44="MANUAL",J44=""),"[X]units น้ำ ","")&amp;IF(AND(N44="MANUAL",R44=""),"[X]units ไฟ ","")&amp;IF(D44=0,"[!]ค่าเช่า=0",""))</f>
        <v/>
      </c>
      <c r="AA44" s="41">
        <f>IF(C44&lt;&gt;"",C44,CONFIG!$B$6)</f>
        <v/>
      </c>
      <c r="AB44" s="41">
        <f>IF(F44&lt;&gt;"",F44,IFERROR(VLOOKUP(AA44,RULES!$A:$C,3,0),CONFIG!$B$7))</f>
        <v/>
      </c>
      <c r="AC44" s="41">
        <f>IF(IFERROR(VLOOKUP(AA44,RULES!$A:$D,4,0),"")="",CONFIG!$B$10,VLOOKUP(AA44,RULES!$A:$D,4,0))</f>
        <v/>
      </c>
      <c r="AD44" s="41">
        <f>IF(IFERROR(VLOOKUP(AA44,RULES!$A:$E,5,0),"")="",CONFIG!$B$11,VLOOKUP(AA44,RULES!$A:$E,5,0))</f>
        <v/>
      </c>
      <c r="AE44" s="41">
        <f>IFERROR(VLOOKUP(AA44,RULES!$A:$F,6,0)*1,0)</f>
        <v/>
      </c>
      <c r="AF44" s="41">
        <f>IFERROR(VLOOKUP(AA44,RULES!$A:$G,7,0)*1,0)</f>
        <v/>
      </c>
      <c r="AG44" s="41">
        <f>IFERROR(VLOOKUP(AA44,RULES!$A:$H,8,0)*1,0)</f>
        <v/>
      </c>
      <c r="AH44" s="41">
        <f>IFERROR(VLOOKUP(AA44,RULES!$A:$I,9,0)*1,0)</f>
        <v/>
      </c>
      <c r="AI44" s="41">
        <f>IFERROR(VLOOKUP(AA44,RULES!$A:$J,10,0)*1,0)</f>
        <v/>
      </c>
      <c r="AJ44" s="41">
        <f>IFERROR(IF(VLOOKUP(AA44,RULES!$A:$K,11,0)="",999999,VLOOKUP(AA44,RULES!$A:$K,11,0)*1),999999)</f>
        <v/>
      </c>
      <c r="AK44" s="41">
        <f>IFERROR(VLOOKUP(AA44,RULES!$A:$L,12,0)*1,0)</f>
        <v/>
      </c>
      <c r="AL44" s="41">
        <f>IFERROR(VLOOKUP(AA44,RULES!$A:$M,13,0),"NONE")</f>
        <v/>
      </c>
      <c r="AM44" s="41">
        <f>IFERROR(VLOOKUP(AA44,RULES!$A:$N,14,0)*1,0)</f>
        <v/>
      </c>
      <c r="AN44" s="41">
        <f>IFERROR(VLOOKUP(AA44,RULES!$A:$O,15,0)*1,0)</f>
        <v/>
      </c>
      <c r="AO44" s="41">
        <f>IF(N44&lt;&gt;"",N44,IFERROR(VLOOKUP(AA44,RULES!$A:$P,16,0),CONFIG!$B$8))</f>
        <v/>
      </c>
      <c r="AP44" s="41">
        <f>IF(IFERROR(VLOOKUP(AA44,RULES!$A:$Q,17,0),"")="",CONFIG!$B$13,VLOOKUP(AA44,RULES!$A:$Q,17,0))</f>
        <v/>
      </c>
      <c r="AQ44" s="41">
        <f>IF(IFERROR(VLOOKUP(AA44,RULES!$A:$R,18,0),"")="",CONFIG!$B$14,VLOOKUP(AA44,RULES!$A:$R,18,0))</f>
        <v/>
      </c>
      <c r="AR44" s="41">
        <f>IFERROR(VLOOKUP(AA44,RULES!$A:$S,19,0)*1,0)</f>
        <v/>
      </c>
      <c r="AS44" s="41">
        <f>IFERROR(VLOOKUP(AA44,RULES!$A:$T,20,0)*1,0)</f>
        <v/>
      </c>
      <c r="AT44" s="41">
        <f>IFERROR(VLOOKUP(AA44,RULES!$A:$U,21,0)*1,0)</f>
        <v/>
      </c>
      <c r="AU44" s="41">
        <f>IFERROR(VLOOKUP(AA44,RULES!$A:$V,22,0)*1,0)</f>
        <v/>
      </c>
      <c r="AV44" s="41">
        <f>IFERROR(VLOOKUP(AA44,RULES!$A:$W,23,0)*1,0)</f>
        <v/>
      </c>
      <c r="AW44" s="41">
        <f>IFERROR(IF(VLOOKUP(AA44,RULES!$A:$X,24,0)="",999999,VLOOKUP(AA44,RULES!$A:$X,24,0)*1),999999)</f>
        <v/>
      </c>
      <c r="AX44" s="41">
        <f>IFERROR(VLOOKUP(AA44,RULES!$A:$Y,25,0)*1,0)</f>
        <v/>
      </c>
      <c r="AY44" s="41">
        <f>IFERROR(VLOOKUP(AA44,RULES!$A:$Z,26,0),"NONE")</f>
        <v/>
      </c>
      <c r="AZ44" s="41">
        <f>IFERROR(VLOOKUP(AA44,RULES!$A:$AA,27,0)*1,0)</f>
        <v/>
      </c>
      <c r="BA44" s="41">
        <f>IFERROR(VLOOKUP(AA44,RULES!$A:$AB,28,0)*1,0)</f>
        <v/>
      </c>
    </row>
    <row r="45" ht="17" customHeight="1">
      <c r="A45" s="36" t="n"/>
      <c r="B45" s="48" t="inlineStr">
        <is>
          <t>ACC003</t>
        </is>
      </c>
      <c r="C45" s="48" t="inlineStr">
        <is>
          <t>DEFAULT</t>
        </is>
      </c>
      <c r="D45" s="47" t="n"/>
      <c r="E45" s="36">
        <f>IF(OR(D45="",D45=0),"INACTIVE","ACTIVE")</f>
        <v/>
      </c>
      <c r="F45" s="48" t="inlineStr">
        <is>
          <t>NORMAL</t>
        </is>
      </c>
      <c r="G45" s="36" t="n"/>
      <c r="H45" s="36" t="n"/>
      <c r="I45" s="42">
        <f>IF(OR(E45="INACTIVE",H45=""),0,MAX(0,H45-G45))</f>
        <v/>
      </c>
      <c r="J45" s="36" t="n"/>
      <c r="K45" s="42">
        <f>IF(OR(E45="INACTIVE",H45=""),0,IF(AB45="DISABLED",0,IF(AB45="FLAT",AE45,IF(AB45="MANUAL",IF(J45="",0,J45*AC45),IF(AB45="STEP",IF(I45&lt;=AF45,I45*AG45,IF(I45&lt;=AH45,AF45*AG45+(I45-AF45)*AI45,AF45*AG45+(AH45-AF45)*AI45+(I45-AH45)*AK45)),MAX(I45*AC45,AD45))))))</f>
        <v/>
      </c>
      <c r="L45" s="42">
        <f>IF(OR(E45="INACTIVE",H45=""),0,IF(AL45="NONE",0,IF(AL45="FLAT",AM45,IF(AL45="PER_UNIT",I45*AN45,IF(AL45="MANUAL",IF(M45="",0,M45),0)))))</f>
        <v/>
      </c>
      <c r="M45" s="36" t="n"/>
      <c r="N45" s="48" t="inlineStr">
        <is>
          <t>NORMAL</t>
        </is>
      </c>
      <c r="O45" s="36" t="n"/>
      <c r="P45" s="36" t="n"/>
      <c r="Q45" s="42">
        <f>IF(OR(E45="INACTIVE",P45=""),0,MAX(0,P45-O45))</f>
        <v/>
      </c>
      <c r="R45" s="36" t="n"/>
      <c r="S45" s="42">
        <f>IF(OR(E45="INACTIVE",P45=""),0,IF(AO45="DISABLED",0,IF(AO45="FLAT",AR45,IF(AO45="MANUAL",IF(R45="",0,R45*AP45),IF(AO45="STEP",IF(Q45&lt;=AS45,Q45*AT45,IF(Q45&lt;=AU45,AS45*AT45+(Q45-AS45)*AV45,AS45*AT45+(AU45-AS45)*AV45+(Q45-AU45)*AX45)),MAX(Q45*AP45,AQ45))))))</f>
        <v/>
      </c>
      <c r="T45" s="42">
        <f>IF(OR(E45="INACTIVE",P45=""),0,IF(AY45="NONE",0,IF(AY45="FLAT",AZ45,IF(AY45="PER_UNIT",Q45*BA45,IF(AY45="MANUAL",IF(U45="",0,U45),0)))))</f>
        <v/>
      </c>
      <c r="U45" s="36" t="n"/>
      <c r="V45" s="36" t="n"/>
      <c r="W45" s="36" t="n"/>
      <c r="X45" s="42">
        <f>IF(E45="INACTIVE",0,D45+K45+L45+S45+T45+IF(V45="",0,V45)+IF(W45="",0,W45))</f>
        <v/>
      </c>
      <c r="Y45" s="36" t="n"/>
      <c r="Z45" s="42">
        <f>IF(E45="INACTIVE","_",IF(AND(G45&gt;0,H45&gt;0,H45&lt;G45),"[!]น้ำ reset ","")&amp;IF(AND(O45&gt;0,P45&gt;0,P45&lt;O45),"[!]ไฟ reset ","")&amp;IF(AND(F45="MANUAL",J45=""),"[X]units น้ำ ","")&amp;IF(AND(N45="MANUAL",R45=""),"[X]units ไฟ ","")&amp;IF(D45=0,"[!]ค่าเช่า=0",""))</f>
        <v/>
      </c>
      <c r="AA45" s="41">
        <f>IF(C45&lt;&gt;"",C45,CONFIG!$B$6)</f>
        <v/>
      </c>
      <c r="AB45" s="41">
        <f>IF(F45&lt;&gt;"",F45,IFERROR(VLOOKUP(AA45,RULES!$A:$C,3,0),CONFIG!$B$7))</f>
        <v/>
      </c>
      <c r="AC45" s="41">
        <f>IF(IFERROR(VLOOKUP(AA45,RULES!$A:$D,4,0),"")="",CONFIG!$B$10,VLOOKUP(AA45,RULES!$A:$D,4,0))</f>
        <v/>
      </c>
      <c r="AD45" s="41">
        <f>IF(IFERROR(VLOOKUP(AA45,RULES!$A:$E,5,0),"")="",CONFIG!$B$11,VLOOKUP(AA45,RULES!$A:$E,5,0))</f>
        <v/>
      </c>
      <c r="AE45" s="41">
        <f>IFERROR(VLOOKUP(AA45,RULES!$A:$F,6,0)*1,0)</f>
        <v/>
      </c>
      <c r="AF45" s="41">
        <f>IFERROR(VLOOKUP(AA45,RULES!$A:$G,7,0)*1,0)</f>
        <v/>
      </c>
      <c r="AG45" s="41">
        <f>IFERROR(VLOOKUP(AA45,RULES!$A:$H,8,0)*1,0)</f>
        <v/>
      </c>
      <c r="AH45" s="41">
        <f>IFERROR(VLOOKUP(AA45,RULES!$A:$I,9,0)*1,0)</f>
        <v/>
      </c>
      <c r="AI45" s="41">
        <f>IFERROR(VLOOKUP(AA45,RULES!$A:$J,10,0)*1,0)</f>
        <v/>
      </c>
      <c r="AJ45" s="41">
        <f>IFERROR(IF(VLOOKUP(AA45,RULES!$A:$K,11,0)="",999999,VLOOKUP(AA45,RULES!$A:$K,11,0)*1),999999)</f>
        <v/>
      </c>
      <c r="AK45" s="41">
        <f>IFERROR(VLOOKUP(AA45,RULES!$A:$L,12,0)*1,0)</f>
        <v/>
      </c>
      <c r="AL45" s="41">
        <f>IFERROR(VLOOKUP(AA45,RULES!$A:$M,13,0),"NONE")</f>
        <v/>
      </c>
      <c r="AM45" s="41">
        <f>IFERROR(VLOOKUP(AA45,RULES!$A:$N,14,0)*1,0)</f>
        <v/>
      </c>
      <c r="AN45" s="41">
        <f>IFERROR(VLOOKUP(AA45,RULES!$A:$O,15,0)*1,0)</f>
        <v/>
      </c>
      <c r="AO45" s="41">
        <f>IF(N45&lt;&gt;"",N45,IFERROR(VLOOKUP(AA45,RULES!$A:$P,16,0),CONFIG!$B$8))</f>
        <v/>
      </c>
      <c r="AP45" s="41">
        <f>IF(IFERROR(VLOOKUP(AA45,RULES!$A:$Q,17,0),"")="",CONFIG!$B$13,VLOOKUP(AA45,RULES!$A:$Q,17,0))</f>
        <v/>
      </c>
      <c r="AQ45" s="41">
        <f>IF(IFERROR(VLOOKUP(AA45,RULES!$A:$R,18,0),"")="",CONFIG!$B$14,VLOOKUP(AA45,RULES!$A:$R,18,0))</f>
        <v/>
      </c>
      <c r="AR45" s="41">
        <f>IFERROR(VLOOKUP(AA45,RULES!$A:$S,19,0)*1,0)</f>
        <v/>
      </c>
      <c r="AS45" s="41">
        <f>IFERROR(VLOOKUP(AA45,RULES!$A:$T,20,0)*1,0)</f>
        <v/>
      </c>
      <c r="AT45" s="41">
        <f>IFERROR(VLOOKUP(AA45,RULES!$A:$U,21,0)*1,0)</f>
        <v/>
      </c>
      <c r="AU45" s="41">
        <f>IFERROR(VLOOKUP(AA45,RULES!$A:$V,22,0)*1,0)</f>
        <v/>
      </c>
      <c r="AV45" s="41">
        <f>IFERROR(VLOOKUP(AA45,RULES!$A:$W,23,0)*1,0)</f>
        <v/>
      </c>
      <c r="AW45" s="41">
        <f>IFERROR(IF(VLOOKUP(AA45,RULES!$A:$X,24,0)="",999999,VLOOKUP(AA45,RULES!$A:$X,24,0)*1),999999)</f>
        <v/>
      </c>
      <c r="AX45" s="41">
        <f>IFERROR(VLOOKUP(AA45,RULES!$A:$Y,25,0)*1,0)</f>
        <v/>
      </c>
      <c r="AY45" s="41">
        <f>IFERROR(VLOOKUP(AA45,RULES!$A:$Z,26,0),"NONE")</f>
        <v/>
      </c>
      <c r="AZ45" s="41">
        <f>IFERROR(VLOOKUP(AA45,RULES!$A:$AA,27,0)*1,0)</f>
        <v/>
      </c>
      <c r="BA45" s="41">
        <f>IFERROR(VLOOKUP(AA45,RULES!$A:$AB,28,0)*1,0)</f>
        <v/>
      </c>
    </row>
    <row r="46" ht="22" customHeight="1">
      <c r="A46" s="43" t="inlineStr">
        <is>
          <t>Summary Floor 3</t>
        </is>
      </c>
      <c r="B46" s="46" t="n"/>
      <c r="C46" s="44" t="n"/>
      <c r="D46" s="44" t="n"/>
      <c r="E46" s="43">
        <f>COUNTIF(E4:E35,"ACTIVE")&amp;" / "&amp;COUNTIF(E4:E35,"INACTIVE")</f>
        <v/>
      </c>
      <c r="F46" s="44" t="n"/>
      <c r="G46" s="44" t="n"/>
      <c r="H46" s="44" t="n"/>
      <c r="I46" s="44" t="n"/>
      <c r="J46" s="44" t="n"/>
      <c r="K46" s="45">
        <f>SUM(K4:K35)</f>
        <v/>
      </c>
      <c r="L46" s="45">
        <f>SUM(L4:L35)</f>
        <v/>
      </c>
      <c r="M46" s="44" t="n"/>
      <c r="N46" s="44" t="n"/>
      <c r="O46" s="44" t="n"/>
      <c r="P46" s="44" t="n"/>
      <c r="Q46" s="44" t="n"/>
      <c r="R46" s="44" t="n"/>
      <c r="S46" s="45">
        <f>SUM(S4:S35)</f>
        <v/>
      </c>
      <c r="T46" s="45">
        <f>SUM(T4:T35)</f>
        <v/>
      </c>
      <c r="U46" s="44" t="n"/>
      <c r="V46" s="44" t="n"/>
      <c r="W46" s="44" t="n"/>
      <c r="X46" s="45">
        <f>SUM(X4:X35)</f>
        <v/>
      </c>
      <c r="Y46" s="44" t="n"/>
      <c r="Z46" s="44" t="n"/>
    </row>
  </sheetData>
  <mergeCells count="3">
    <mergeCell ref="A1:Z1"/>
    <mergeCell ref="A36:B36"/>
    <mergeCell ref="A46:B46"/>
  </mergeCells>
  <conditionalFormatting sqref="A4:Z46">
    <cfRule type="expression" priority="22" dxfId="11">
      <formula>=$E4="INACTIVE"</formula>
    </cfRule>
  </conditionalFormatting>
  <conditionalFormatting sqref="E4:E46">
    <cfRule type="expression" priority="23" dxfId="12">
      <formula>=E4="ACTIVE"</formula>
    </cfRule>
    <cfRule type="expression" priority="24" dxfId="13">
      <formula>=E4="INACTIVE"</formula>
    </cfRule>
  </conditionalFormatting>
  <conditionalFormatting sqref="F4:F46">
    <cfRule type="expression" priority="25" dxfId="14">
      <formula>=F4="NORMAL"</formula>
    </cfRule>
    <cfRule type="expression" priority="26" dxfId="15">
      <formula>=F4="MANUAL"</formula>
    </cfRule>
    <cfRule type="expression" priority="27" dxfId="16">
      <formula>=F4="DISABLED"</formula>
    </cfRule>
    <cfRule type="expression" priority="28" dxfId="17">
      <formula>=F4="FLAT"</formula>
    </cfRule>
    <cfRule type="expression" priority="29" dxfId="18">
      <formula>=F4="STEP"</formula>
    </cfRule>
  </conditionalFormatting>
  <conditionalFormatting sqref="N4:N46">
    <cfRule type="expression" priority="30" dxfId="14">
      <formula>=N4="NORMAL"</formula>
    </cfRule>
    <cfRule type="expression" priority="31" dxfId="15">
      <formula>=N4="MANUAL"</formula>
    </cfRule>
    <cfRule type="expression" priority="32" dxfId="16">
      <formula>=N4="DISABLED"</formula>
    </cfRule>
    <cfRule type="expression" priority="33" dxfId="17">
      <formula>=N4="FLAT"</formula>
    </cfRule>
    <cfRule type="expression" priority="34" dxfId="18">
      <formula>=N4="STEP"</formula>
    </cfRule>
  </conditionalFormatting>
  <conditionalFormatting sqref="Z4:Z46">
    <cfRule type="expression" priority="35" dxfId="19">
      <formula>=ISNUMBER(SEARCH("[X]",Z4))</formula>
    </cfRule>
    <cfRule type="expression" priority="36" dxfId="20">
      <formula>=ISNUMBER(SEARCH("[!]",Z4))</formula>
    </cfRule>
    <cfRule type="expression" priority="37" dxfId="16">
      <formula>=Z4="_"</formula>
    </cfRule>
    <cfRule type="expression" priority="38" dxfId="14">
      <formula>=AND(Z4="",E4="ACTIVE")</formula>
    </cfRule>
  </conditionalFormatting>
  <conditionalFormatting sqref="B4:B46">
    <cfRule type="expression" priority="39" dxfId="21">
      <formula>=B4&lt;&gt;""</formula>
    </cfRule>
  </conditionalFormatting>
  <conditionalFormatting sqref="C4:C46">
    <cfRule type="expression" priority="40" dxfId="21">
      <formula>=AND(C4&lt;&gt;"",C4&lt;&gt;"DEFAULT")</formula>
    </cfRule>
  </conditionalFormatting>
  <conditionalFormatting sqref="J4:J46">
    <cfRule type="expression" priority="41" dxfId="19">
      <formula>=AND(AB4="MANUAL",J4="")</formula>
    </cfRule>
  </conditionalFormatting>
  <conditionalFormatting sqref="R4:R46">
    <cfRule type="expression" priority="42" dxfId="19">
      <formula>=AND(AO4="MANUAL",R4="")</formula>
    </cfRule>
  </conditionalFormatting>
  <dataValidations count="4">
    <dataValidation sqref="B4:B45" showDropDown="0" showInputMessage="0" showErrorMessage="0" allowBlank="0" type="list">
      <formula1>=ACCOUNTS!$A$2:$A$30</formula1>
    </dataValidation>
    <dataValidation sqref="C4:C45" showDropDown="0" showInputMessage="0" showErrorMessage="0" allowBlank="0" type="list">
      <formula1>=RULES!$A$2:$A$50</formula1>
    </dataValidation>
    <dataValidation sqref="F4:F45" showDropDown="0" showInputMessage="0" showErrorMessage="0" allowBlank="0" type="list">
      <formula1>"NORMAL,MANUAL,DISABLED,FLAT,STEP"</formula1>
    </dataValidation>
    <dataValidation sqref="N4:N45" showDropDown="0" showInputMessage="0" showErrorMessage="0" allowBlank="0" type="list">
      <formula1>"NORMAL,MANUAL,DISABLED,FLAT,STEP"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46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1" customWidth="1" min="12" max="12"/>
    <col width="11" customWidth="1" min="13" max="13"/>
    <col width="10" customWidth="1" min="14" max="14"/>
    <col width="8" customWidth="1" min="15" max="15"/>
    <col width="8" customWidth="1" min="16" max="16"/>
    <col width="8" customWidth="1" min="17" max="17"/>
    <col width="10" customWidth="1" min="18" max="18"/>
    <col width="10" customWidth="1" min="19" max="19"/>
    <col width="11" customWidth="1" min="20" max="20"/>
    <col width="11" customWidth="1" min="21" max="21"/>
    <col width="9" customWidth="1" min="22" max="22"/>
    <col width="9" customWidth="1" min="23" max="23"/>
    <col width="11" customWidth="1" min="24" max="24"/>
    <col width="16" customWidth="1" min="25" max="25"/>
    <col width="22" customWidth="1" min="26" max="26"/>
    <col hidden="1" width="0.5" customWidth="1" min="27" max="27"/>
    <col hidden="1" width="0.5" customWidth="1" min="28" max="28"/>
    <col hidden="1" width="0.5" customWidth="1" min="29" max="29"/>
    <col hidden="1" width="0.5" customWidth="1" min="30" max="30"/>
    <col hidden="1" width="0.5" customWidth="1" min="31" max="31"/>
    <col hidden="1" width="0.5" customWidth="1" min="32" max="32"/>
    <col hidden="1" width="0.5" customWidth="1" min="33" max="33"/>
    <col hidden="1" width="0.5" customWidth="1" min="34" max="34"/>
    <col hidden="1" width="0.5" customWidth="1" min="35" max="35"/>
    <col hidden="1" width="0.5" customWidth="1" min="36" max="36"/>
    <col hidden="1" width="0.5" customWidth="1" min="37" max="37"/>
    <col hidden="1" width="0.5" customWidth="1" min="38" max="38"/>
    <col hidden="1" width="0.5" customWidth="1" min="39" max="39"/>
    <col hidden="1" width="0.5" customWidth="1" min="40" max="40"/>
    <col hidden="1" width="0.5" customWidth="1" min="41" max="41"/>
    <col hidden="1" width="0.5" customWidth="1" min="42" max="42"/>
    <col hidden="1" width="0.5" customWidth="1" min="43" max="43"/>
    <col hidden="1" width="0.5" customWidth="1" min="44" max="44"/>
    <col hidden="1" width="0.5" customWidth="1" min="45" max="45"/>
    <col hidden="1" width="0.5" customWidth="1" min="46" max="46"/>
    <col hidden="1" width="0.5" customWidth="1" min="47" max="47"/>
    <col hidden="1" width="0.5" customWidth="1" min="48" max="48"/>
    <col hidden="1" width="0.5" customWidth="1" min="49" max="49"/>
    <col hidden="1" width="0.5" customWidth="1" min="50" max="50"/>
    <col hidden="1" width="0.5" customWidth="1" min="51" max="51"/>
    <col hidden="1" width="0.5" customWidth="1" min="52" max="52"/>
    <col hidden="1" width="0.5" customWidth="1" min="53" max="53"/>
  </cols>
  <sheetData>
    <row r="1" ht="28" customHeight="1">
      <c r="A1" s="1" t="inlineStr">
        <is>
          <t>ข้อมูลบิล ชั้น 4</t>
        </is>
      </c>
    </row>
    <row r="2" ht="20" customHeight="1">
      <c r="A2" s="9" t="inlineStr">
        <is>
          <t>room</t>
        </is>
      </c>
      <c r="B2" s="9" t="inlineStr">
        <is>
          <t>account_id</t>
        </is>
      </c>
      <c r="C2" s="9" t="inlineStr">
        <is>
          <t>rule_code</t>
        </is>
      </c>
      <c r="D2" s="9" t="inlineStr">
        <is>
          <t>rent_amount</t>
        </is>
      </c>
      <c r="E2" s="9" t="inlineStr">
        <is>
          <t>room_status</t>
        </is>
      </c>
      <c r="F2" s="9" t="inlineStr">
        <is>
          <t>water_mode</t>
        </is>
      </c>
      <c r="G2" s="9" t="inlineStr">
        <is>
          <t>water_prev</t>
        </is>
      </c>
      <c r="H2" s="9" t="inlineStr">
        <is>
          <t>water_curr</t>
        </is>
      </c>
      <c r="I2" s="9" t="inlineStr">
        <is>
          <t>water_units</t>
        </is>
      </c>
      <c r="J2" s="9" t="inlineStr">
        <is>
          <t>water_units_manual</t>
        </is>
      </c>
      <c r="K2" s="9" t="inlineStr">
        <is>
          <t>water_charge</t>
        </is>
      </c>
      <c r="L2" s="9" t="inlineStr">
        <is>
          <t>water_fee</t>
        </is>
      </c>
      <c r="M2" s="9" t="inlineStr">
        <is>
          <t>water_fee_manual</t>
        </is>
      </c>
      <c r="N2" s="9" t="inlineStr">
        <is>
          <t>electric_mode</t>
        </is>
      </c>
      <c r="O2" s="9" t="inlineStr">
        <is>
          <t>electric_prev</t>
        </is>
      </c>
      <c r="P2" s="9" t="inlineStr">
        <is>
          <t>electric_curr</t>
        </is>
      </c>
      <c r="Q2" s="9" t="inlineStr">
        <is>
          <t>electric_units</t>
        </is>
      </c>
      <c r="R2" s="9" t="inlineStr">
        <is>
          <t>electric_units_manual</t>
        </is>
      </c>
      <c r="S2" s="9" t="inlineStr">
        <is>
          <t>electric_charge</t>
        </is>
      </c>
      <c r="T2" s="9" t="inlineStr">
        <is>
          <t>electric_fee</t>
        </is>
      </c>
      <c r="U2" s="9" t="inlineStr">
        <is>
          <t>electric_fee_manual</t>
        </is>
      </c>
      <c r="V2" s="9" t="inlineStr">
        <is>
          <t>furniture_fee</t>
        </is>
      </c>
      <c r="W2" s="9" t="inlineStr">
        <is>
          <t>other_fee</t>
        </is>
      </c>
      <c r="X2" s="9" t="inlineStr">
        <is>
          <t>total_due</t>
        </is>
      </c>
      <c r="Y2" s="9" t="inlineStr">
        <is>
          <t>note</t>
        </is>
      </c>
      <c r="Z2" s="9" t="inlineStr">
        <is>
          <t>check_notes</t>
        </is>
      </c>
      <c r="AA2" s="21" t="inlineStr">
        <is>
          <t>_helpers (hidden)</t>
        </is>
      </c>
    </row>
    <row r="3" ht="22" customHeight="1">
      <c r="A3" s="10" t="inlineStr">
        <is>
          <t>เลขห้อง</t>
        </is>
      </c>
      <c r="B3" s="10" t="inlineStr">
        <is>
          <t>บัญชีรับเงิน</t>
        </is>
      </c>
      <c r="C3" s="10" t="inlineStr">
        <is>
          <t>กฎ billing</t>
        </is>
      </c>
      <c r="D3" s="10" t="inlineStr">
        <is>
          <t>ค่าเช่า (กรอกเอง)</t>
        </is>
      </c>
      <c r="E3" s="10" t="inlineStr">
        <is>
          <t>สถานะ</t>
        </is>
      </c>
      <c r="F3" s="10" t="inlineStr">
        <is>
          <t>โหมดน้ำ</t>
        </is>
      </c>
      <c r="G3" s="10" t="inlineStr">
        <is>
          <t>น้ำก่อน</t>
        </is>
      </c>
      <c r="H3" s="10" t="inlineStr">
        <is>
          <t>น้ำหลัง</t>
        </is>
      </c>
      <c r="I3" s="10" t="inlineStr">
        <is>
          <t>ใช้น้ำ</t>
        </is>
      </c>
      <c r="J3" s="10" t="inlineStr">
        <is>
          <t>units น้ำ(manual)</t>
        </is>
      </c>
      <c r="K3" s="10" t="inlineStr">
        <is>
          <t>ค่าน้ำ</t>
        </is>
      </c>
      <c r="L3" s="10" t="inlineStr">
        <is>
          <t>ค่าบริการน้ำ</t>
        </is>
      </c>
      <c r="M3" s="10" t="inlineStr">
        <is>
          <t>ค่าบริการน้ำ(M)</t>
        </is>
      </c>
      <c r="N3" s="10" t="inlineStr">
        <is>
          <t>โหมดไฟ</t>
        </is>
      </c>
      <c r="O3" s="10" t="inlineStr">
        <is>
          <t>ไฟก่อน</t>
        </is>
      </c>
      <c r="P3" s="10" t="inlineStr">
        <is>
          <t>ไฟหลัง</t>
        </is>
      </c>
      <c r="Q3" s="10" t="inlineStr">
        <is>
          <t>ใช้ไฟ</t>
        </is>
      </c>
      <c r="R3" s="10" t="inlineStr">
        <is>
          <t>units ไฟ(manual)</t>
        </is>
      </c>
      <c r="S3" s="10" t="inlineStr">
        <is>
          <t>ค่าไฟ</t>
        </is>
      </c>
      <c r="T3" s="10" t="inlineStr">
        <is>
          <t>ค่าบริการไฟ</t>
        </is>
      </c>
      <c r="U3" s="10" t="inlineStr">
        <is>
          <t>ค่าบริการไฟ(M)</t>
        </is>
      </c>
      <c r="V3" s="10" t="inlineStr">
        <is>
          <t>ค่าเฟอร์</t>
        </is>
      </c>
      <c r="W3" s="10" t="inlineStr">
        <is>
          <t>อื่นๆ</t>
        </is>
      </c>
      <c r="X3" s="10" t="inlineStr">
        <is>
          <t>รวมเงิน</t>
        </is>
      </c>
      <c r="Y3" s="10" t="inlineStr">
        <is>
          <t>หมายเหตุ</t>
        </is>
      </c>
      <c r="Z3" s="10" t="inlineStr">
        <is>
          <t>ตรวจสอบ</t>
        </is>
      </c>
    </row>
    <row r="4" ht="17" customHeight="1">
      <c r="A4" s="22" t="inlineStr">
        <is>
          <t>3401</t>
        </is>
      </c>
      <c r="B4" s="48" t="inlineStr">
        <is>
          <t>ACC004</t>
        </is>
      </c>
      <c r="C4" s="48" t="inlineStr">
        <is>
          <t>DEFAULT</t>
        </is>
      </c>
      <c r="D4" s="47" t="n"/>
      <c r="E4" s="22">
        <f>IF(OR(D4="",D4=0),"INACTIVE","ACTIVE")</f>
        <v/>
      </c>
      <c r="F4" s="48" t="inlineStr">
        <is>
          <t>NORMAL</t>
        </is>
      </c>
      <c r="G4" s="25" t="n"/>
      <c r="H4" s="25" t="n"/>
      <c r="I4" s="26">
        <f>IF(OR(E4="INACTIVE",H4=""),0,MAX(0,H4-G4))</f>
        <v/>
      </c>
      <c r="J4" s="23" t="n"/>
      <c r="K4" s="26">
        <f>IF(OR(E4="INACTIVE",H4=""),0,IF(AB4="DISABLED",0,IF(AB4="FLAT",AE4,IF(AB4="MANUAL",IF(J4="",0,J4*AC4),IF(AB4="STEP",IF(I4&lt;=AF4,I4*AG4,IF(I4&lt;=AH4,AF4*AG4+(I4-AF4)*AI4,AF4*AG4+(AH4-AF4)*AI4+(I4-AH4)*AK4)),MAX(I4*AC4,AD4))))))</f>
        <v/>
      </c>
      <c r="L4" s="26">
        <f>IF(OR(E4="INACTIVE",H4=""),0,IF(AL4="NONE",0,IF(AL4="FLAT",AM4,IF(AL4="PER_UNIT",I4*AN4,IF(AL4="MANUAL",IF(M4="",0,M4),0)))))</f>
        <v/>
      </c>
      <c r="M4" s="23" t="n"/>
      <c r="N4" s="48" t="inlineStr">
        <is>
          <t>NORMAL</t>
        </is>
      </c>
      <c r="O4" s="25" t="n"/>
      <c r="P4" s="25" t="n"/>
      <c r="Q4" s="26">
        <f>IF(OR(E4="INACTIVE",P4=""),0,MAX(0,P4-O4))</f>
        <v/>
      </c>
      <c r="R4" s="23" t="n"/>
      <c r="S4" s="26">
        <f>IF(OR(E4="INACTIVE",P4=""),0,IF(AO4="DISABLED",0,IF(AO4="FLAT",AR4,IF(AO4="MANUAL",IF(R4="",0,R4*AP4),IF(AO4="STEP",IF(Q4&lt;=AS4,Q4*AT4,IF(Q4&lt;=AU4,AS4*AT4+(Q4-AS4)*AV4,AS4*AT4+(AU4-AS4)*AV4+(Q4-AU4)*AX4)),MAX(Q4*AP4,AQ4))))))</f>
        <v/>
      </c>
      <c r="T4" s="26">
        <f>IF(OR(E4="INACTIVE",P4=""),0,IF(AY4="NONE",0,IF(AY4="FLAT",AZ4,IF(AY4="PER_UNIT",Q4*BA4,IF(AY4="MANUAL",IF(U4="",0,U4),0)))))</f>
        <v/>
      </c>
      <c r="U4" s="23" t="n"/>
      <c r="V4" s="25" t="n"/>
      <c r="W4" s="25" t="n"/>
      <c r="X4" s="26">
        <f>IF(E4="INACTIVE",0,D4+K4+L4+S4+T4+IF(V4="",0,V4)+IF(W4="",0,W4))</f>
        <v/>
      </c>
      <c r="Y4" s="27" t="n"/>
      <c r="Z4" s="28">
        <f>IF(E4="INACTIVE","_",IF(AND(G4&gt;0,H4&gt;0,H4&lt;G4),"[!]น้ำ reset ","")&amp;IF(AND(O4&gt;0,P4&gt;0,P4&lt;O4),"[!]ไฟ reset ","")&amp;IF(AND(F4="MANUAL",J4=""),"[X]units น้ำ ","")&amp;IF(AND(N4="MANUAL",R4=""),"[X]units ไฟ ","")&amp;IF(D4=0,"[!]ค่าเช่า=0",""))</f>
        <v/>
      </c>
      <c r="AA4" s="29">
        <f>IF(C4&lt;&gt;"",C4,CONFIG!$B$6)</f>
        <v/>
      </c>
      <c r="AB4" s="29">
        <f>IF(F4&lt;&gt;"",F4,IFERROR(VLOOKUP(AA4,RULES!$A:$C,3,0),CONFIG!$B$7))</f>
        <v/>
      </c>
      <c r="AC4" s="29">
        <f>IF(IFERROR(VLOOKUP(AA4,RULES!$A:$D,4,0),"")="",CONFIG!$B$10,VLOOKUP(AA4,RULES!$A:$D,4,0))</f>
        <v/>
      </c>
      <c r="AD4" s="29">
        <f>IF(IFERROR(VLOOKUP(AA4,RULES!$A:$E,5,0),"")="",CONFIG!$B$11,VLOOKUP(AA4,RULES!$A:$E,5,0))</f>
        <v/>
      </c>
      <c r="AE4" s="29">
        <f>IFERROR(VLOOKUP(AA4,RULES!$A:$F,6,0)*1,0)</f>
        <v/>
      </c>
      <c r="AF4" s="29">
        <f>IFERROR(VLOOKUP(AA4,RULES!$A:$G,7,0)*1,0)</f>
        <v/>
      </c>
      <c r="AG4" s="29">
        <f>IFERROR(VLOOKUP(AA4,RULES!$A:$H,8,0)*1,0)</f>
        <v/>
      </c>
      <c r="AH4" s="29">
        <f>IFERROR(VLOOKUP(AA4,RULES!$A:$I,9,0)*1,0)</f>
        <v/>
      </c>
      <c r="AI4" s="29">
        <f>IFERROR(VLOOKUP(AA4,RULES!$A:$J,10,0)*1,0)</f>
        <v/>
      </c>
      <c r="AJ4" s="29">
        <f>IFERROR(IF(VLOOKUP(AA4,RULES!$A:$K,11,0)="",999999,VLOOKUP(AA4,RULES!$A:$K,11,0)*1),999999)</f>
        <v/>
      </c>
      <c r="AK4" s="29">
        <f>IFERROR(VLOOKUP(AA4,RULES!$A:$L,12,0)*1,0)</f>
        <v/>
      </c>
      <c r="AL4" s="29">
        <f>IFERROR(VLOOKUP(AA4,RULES!$A:$M,13,0),"NONE")</f>
        <v/>
      </c>
      <c r="AM4" s="29">
        <f>IFERROR(VLOOKUP(AA4,RULES!$A:$N,14,0)*1,0)</f>
        <v/>
      </c>
      <c r="AN4" s="29">
        <f>IFERROR(VLOOKUP(AA4,RULES!$A:$O,15,0)*1,0)</f>
        <v/>
      </c>
      <c r="AO4" s="29">
        <f>IF(N4&lt;&gt;"",N4,IFERROR(VLOOKUP(AA4,RULES!$A:$P,16,0),CONFIG!$B$8))</f>
        <v/>
      </c>
      <c r="AP4" s="29">
        <f>IF(IFERROR(VLOOKUP(AA4,RULES!$A:$Q,17,0),"")="",CONFIG!$B$13,VLOOKUP(AA4,RULES!$A:$Q,17,0))</f>
        <v/>
      </c>
      <c r="AQ4" s="29">
        <f>IF(IFERROR(VLOOKUP(AA4,RULES!$A:$R,18,0),"")="",CONFIG!$B$14,VLOOKUP(AA4,RULES!$A:$R,18,0))</f>
        <v/>
      </c>
      <c r="AR4" s="29">
        <f>IFERROR(VLOOKUP(AA4,RULES!$A:$S,19,0)*1,0)</f>
        <v/>
      </c>
      <c r="AS4" s="29">
        <f>IFERROR(VLOOKUP(AA4,RULES!$A:$T,20,0)*1,0)</f>
        <v/>
      </c>
      <c r="AT4" s="29">
        <f>IFERROR(VLOOKUP(AA4,RULES!$A:$U,21,0)*1,0)</f>
        <v/>
      </c>
      <c r="AU4" s="29">
        <f>IFERROR(VLOOKUP(AA4,RULES!$A:$V,22,0)*1,0)</f>
        <v/>
      </c>
      <c r="AV4" s="29">
        <f>IFERROR(VLOOKUP(AA4,RULES!$A:$W,23,0)*1,0)</f>
        <v/>
      </c>
      <c r="AW4" s="29">
        <f>IFERROR(IF(VLOOKUP(AA4,RULES!$A:$X,24,0)="",999999,VLOOKUP(AA4,RULES!$A:$X,24,0)*1),999999)</f>
        <v/>
      </c>
      <c r="AX4" s="29">
        <f>IFERROR(VLOOKUP(AA4,RULES!$A:$Y,25,0)*1,0)</f>
        <v/>
      </c>
      <c r="AY4" s="29">
        <f>IFERROR(VLOOKUP(AA4,RULES!$A:$Z,26,0),"NONE")</f>
        <v/>
      </c>
      <c r="AZ4" s="29">
        <f>IFERROR(VLOOKUP(AA4,RULES!$A:$AA,27,0)*1,0)</f>
        <v/>
      </c>
      <c r="BA4" s="29">
        <f>IFERROR(VLOOKUP(AA4,RULES!$A:$AB,28,0)*1,0)</f>
        <v/>
      </c>
    </row>
    <row r="5" ht="17" customHeight="1">
      <c r="A5" s="22" t="inlineStr">
        <is>
          <t>3402</t>
        </is>
      </c>
      <c r="B5" s="48" t="inlineStr">
        <is>
          <t>ACC004</t>
        </is>
      </c>
      <c r="C5" s="48" t="inlineStr">
        <is>
          <t>DEFAULT</t>
        </is>
      </c>
      <c r="D5" s="47" t="n"/>
      <c r="E5" s="22">
        <f>IF(OR(D5="",D5=0),"INACTIVE","ACTIVE")</f>
        <v/>
      </c>
      <c r="F5" s="48" t="inlineStr">
        <is>
          <t>NORMAL</t>
        </is>
      </c>
      <c r="G5" s="25" t="n"/>
      <c r="H5" s="25" t="n"/>
      <c r="I5" s="26">
        <f>IF(OR(E5="INACTIVE",H5=""),0,MAX(0,H5-G5))</f>
        <v/>
      </c>
      <c r="J5" s="23" t="n"/>
      <c r="K5" s="26">
        <f>IF(OR(E5="INACTIVE",H5=""),0,IF(AB5="DISABLED",0,IF(AB5="FLAT",AE5,IF(AB5="MANUAL",IF(J5="",0,J5*AC5),IF(AB5="STEP",IF(I5&lt;=AF5,I5*AG5,IF(I5&lt;=AH5,AF5*AG5+(I5-AF5)*AI5,AF5*AG5+(AH5-AF5)*AI5+(I5-AH5)*AK5)),MAX(I5*AC5,AD5))))))</f>
        <v/>
      </c>
      <c r="L5" s="26">
        <f>IF(OR(E5="INACTIVE",H5=""),0,IF(AL5="NONE",0,IF(AL5="FLAT",AM5,IF(AL5="PER_UNIT",I5*AN5,IF(AL5="MANUAL",IF(M5="",0,M5),0)))))</f>
        <v/>
      </c>
      <c r="M5" s="23" t="n"/>
      <c r="N5" s="48" t="inlineStr">
        <is>
          <t>NORMAL</t>
        </is>
      </c>
      <c r="O5" s="25" t="n"/>
      <c r="P5" s="25" t="n"/>
      <c r="Q5" s="26">
        <f>IF(OR(E5="INACTIVE",P5=""),0,MAX(0,P5-O5))</f>
        <v/>
      </c>
      <c r="R5" s="23" t="n"/>
      <c r="S5" s="26">
        <f>IF(OR(E5="INACTIVE",P5=""),0,IF(AO5="DISABLED",0,IF(AO5="FLAT",AR5,IF(AO5="MANUAL",IF(R5="",0,R5*AP5),IF(AO5="STEP",IF(Q5&lt;=AS5,Q5*AT5,IF(Q5&lt;=AU5,AS5*AT5+(Q5-AS5)*AV5,AS5*AT5+(AU5-AS5)*AV5+(Q5-AU5)*AX5)),MAX(Q5*AP5,AQ5))))))</f>
        <v/>
      </c>
      <c r="T5" s="26">
        <f>IF(OR(E5="INACTIVE",P5=""),0,IF(AY5="NONE",0,IF(AY5="FLAT",AZ5,IF(AY5="PER_UNIT",Q5*BA5,IF(AY5="MANUAL",IF(U5="",0,U5),0)))))</f>
        <v/>
      </c>
      <c r="U5" s="23" t="n"/>
      <c r="V5" s="25" t="n"/>
      <c r="W5" s="25" t="n"/>
      <c r="X5" s="26">
        <f>IF(E5="INACTIVE",0,D5+K5+L5+S5+T5+IF(V5="",0,V5)+IF(W5="",0,W5))</f>
        <v/>
      </c>
      <c r="Y5" s="27" t="n"/>
      <c r="Z5" s="28">
        <f>IF(E5="INACTIVE","_",IF(AND(G5&gt;0,H5&gt;0,H5&lt;G5),"[!]น้ำ reset ","")&amp;IF(AND(O5&gt;0,P5&gt;0,P5&lt;O5),"[!]ไฟ reset ","")&amp;IF(AND(F5="MANUAL",J5=""),"[X]units น้ำ ","")&amp;IF(AND(N5="MANUAL",R5=""),"[X]units ไฟ ","")&amp;IF(D5=0,"[!]ค่าเช่า=0",""))</f>
        <v/>
      </c>
      <c r="AA5" s="29">
        <f>IF(C5&lt;&gt;"",C5,CONFIG!$B$6)</f>
        <v/>
      </c>
      <c r="AB5" s="29">
        <f>IF(F5&lt;&gt;"",F5,IFERROR(VLOOKUP(AA5,RULES!$A:$C,3,0),CONFIG!$B$7))</f>
        <v/>
      </c>
      <c r="AC5" s="29">
        <f>IF(IFERROR(VLOOKUP(AA5,RULES!$A:$D,4,0),"")="",CONFIG!$B$10,VLOOKUP(AA5,RULES!$A:$D,4,0))</f>
        <v/>
      </c>
      <c r="AD5" s="29">
        <f>IF(IFERROR(VLOOKUP(AA5,RULES!$A:$E,5,0),"")="",CONFIG!$B$11,VLOOKUP(AA5,RULES!$A:$E,5,0))</f>
        <v/>
      </c>
      <c r="AE5" s="29">
        <f>IFERROR(VLOOKUP(AA5,RULES!$A:$F,6,0)*1,0)</f>
        <v/>
      </c>
      <c r="AF5" s="29">
        <f>IFERROR(VLOOKUP(AA5,RULES!$A:$G,7,0)*1,0)</f>
        <v/>
      </c>
      <c r="AG5" s="29">
        <f>IFERROR(VLOOKUP(AA5,RULES!$A:$H,8,0)*1,0)</f>
        <v/>
      </c>
      <c r="AH5" s="29">
        <f>IFERROR(VLOOKUP(AA5,RULES!$A:$I,9,0)*1,0)</f>
        <v/>
      </c>
      <c r="AI5" s="29">
        <f>IFERROR(VLOOKUP(AA5,RULES!$A:$J,10,0)*1,0)</f>
        <v/>
      </c>
      <c r="AJ5" s="29">
        <f>IFERROR(IF(VLOOKUP(AA5,RULES!$A:$K,11,0)="",999999,VLOOKUP(AA5,RULES!$A:$K,11,0)*1),999999)</f>
        <v/>
      </c>
      <c r="AK5" s="29">
        <f>IFERROR(VLOOKUP(AA5,RULES!$A:$L,12,0)*1,0)</f>
        <v/>
      </c>
      <c r="AL5" s="29">
        <f>IFERROR(VLOOKUP(AA5,RULES!$A:$M,13,0),"NONE")</f>
        <v/>
      </c>
      <c r="AM5" s="29">
        <f>IFERROR(VLOOKUP(AA5,RULES!$A:$N,14,0)*1,0)</f>
        <v/>
      </c>
      <c r="AN5" s="29">
        <f>IFERROR(VLOOKUP(AA5,RULES!$A:$O,15,0)*1,0)</f>
        <v/>
      </c>
      <c r="AO5" s="29">
        <f>IF(N5&lt;&gt;"",N5,IFERROR(VLOOKUP(AA5,RULES!$A:$P,16,0),CONFIG!$B$8))</f>
        <v/>
      </c>
      <c r="AP5" s="29">
        <f>IF(IFERROR(VLOOKUP(AA5,RULES!$A:$Q,17,0),"")="",CONFIG!$B$13,VLOOKUP(AA5,RULES!$A:$Q,17,0))</f>
        <v/>
      </c>
      <c r="AQ5" s="29">
        <f>IF(IFERROR(VLOOKUP(AA5,RULES!$A:$R,18,0),"")="",CONFIG!$B$14,VLOOKUP(AA5,RULES!$A:$R,18,0))</f>
        <v/>
      </c>
      <c r="AR5" s="29">
        <f>IFERROR(VLOOKUP(AA5,RULES!$A:$S,19,0)*1,0)</f>
        <v/>
      </c>
      <c r="AS5" s="29">
        <f>IFERROR(VLOOKUP(AA5,RULES!$A:$T,20,0)*1,0)</f>
        <v/>
      </c>
      <c r="AT5" s="29">
        <f>IFERROR(VLOOKUP(AA5,RULES!$A:$U,21,0)*1,0)</f>
        <v/>
      </c>
      <c r="AU5" s="29">
        <f>IFERROR(VLOOKUP(AA5,RULES!$A:$V,22,0)*1,0)</f>
        <v/>
      </c>
      <c r="AV5" s="29">
        <f>IFERROR(VLOOKUP(AA5,RULES!$A:$W,23,0)*1,0)</f>
        <v/>
      </c>
      <c r="AW5" s="29">
        <f>IFERROR(IF(VLOOKUP(AA5,RULES!$A:$X,24,0)="",999999,VLOOKUP(AA5,RULES!$A:$X,24,0)*1),999999)</f>
        <v/>
      </c>
      <c r="AX5" s="29">
        <f>IFERROR(VLOOKUP(AA5,RULES!$A:$Y,25,0)*1,0)</f>
        <v/>
      </c>
      <c r="AY5" s="29">
        <f>IFERROR(VLOOKUP(AA5,RULES!$A:$Z,26,0),"NONE")</f>
        <v/>
      </c>
      <c r="AZ5" s="29">
        <f>IFERROR(VLOOKUP(AA5,RULES!$A:$AA,27,0)*1,0)</f>
        <v/>
      </c>
      <c r="BA5" s="29">
        <f>IFERROR(VLOOKUP(AA5,RULES!$A:$AB,28,0)*1,0)</f>
        <v/>
      </c>
    </row>
    <row r="6" ht="17" customHeight="1">
      <c r="A6" s="22" t="inlineStr">
        <is>
          <t>3403</t>
        </is>
      </c>
      <c r="B6" s="48" t="inlineStr">
        <is>
          <t>ACC004</t>
        </is>
      </c>
      <c r="C6" s="48" t="inlineStr">
        <is>
          <t>DEFAULT</t>
        </is>
      </c>
      <c r="D6" s="47" t="n"/>
      <c r="E6" s="22">
        <f>IF(OR(D6="",D6=0),"INACTIVE","ACTIVE")</f>
        <v/>
      </c>
      <c r="F6" s="48" t="inlineStr">
        <is>
          <t>NORMAL</t>
        </is>
      </c>
      <c r="G6" s="25" t="n"/>
      <c r="H6" s="25" t="n"/>
      <c r="I6" s="26">
        <f>IF(OR(E6="INACTIVE",H6=""),0,MAX(0,H6-G6))</f>
        <v/>
      </c>
      <c r="J6" s="23" t="n"/>
      <c r="K6" s="26">
        <f>IF(OR(E6="INACTIVE",H6=""),0,IF(AB6="DISABLED",0,IF(AB6="FLAT",AE6,IF(AB6="MANUAL",IF(J6="",0,J6*AC6),IF(AB6="STEP",IF(I6&lt;=AF6,I6*AG6,IF(I6&lt;=AH6,AF6*AG6+(I6-AF6)*AI6,AF6*AG6+(AH6-AF6)*AI6+(I6-AH6)*AK6)),MAX(I6*AC6,AD6))))))</f>
        <v/>
      </c>
      <c r="L6" s="26">
        <f>IF(OR(E6="INACTIVE",H6=""),0,IF(AL6="NONE",0,IF(AL6="FLAT",AM6,IF(AL6="PER_UNIT",I6*AN6,IF(AL6="MANUAL",IF(M6="",0,M6),0)))))</f>
        <v/>
      </c>
      <c r="M6" s="23" t="n"/>
      <c r="N6" s="48" t="inlineStr">
        <is>
          <t>NORMAL</t>
        </is>
      </c>
      <c r="O6" s="25" t="n"/>
      <c r="P6" s="25" t="n"/>
      <c r="Q6" s="26">
        <f>IF(OR(E6="INACTIVE",P6=""),0,MAX(0,P6-O6))</f>
        <v/>
      </c>
      <c r="R6" s="23" t="n"/>
      <c r="S6" s="26">
        <f>IF(OR(E6="INACTIVE",P6=""),0,IF(AO6="DISABLED",0,IF(AO6="FLAT",AR6,IF(AO6="MANUAL",IF(R6="",0,R6*AP6),IF(AO6="STEP",IF(Q6&lt;=AS6,Q6*AT6,IF(Q6&lt;=AU6,AS6*AT6+(Q6-AS6)*AV6,AS6*AT6+(AU6-AS6)*AV6+(Q6-AU6)*AX6)),MAX(Q6*AP6,AQ6))))))</f>
        <v/>
      </c>
      <c r="T6" s="26">
        <f>IF(OR(E6="INACTIVE",P6=""),0,IF(AY6="NONE",0,IF(AY6="FLAT",AZ6,IF(AY6="PER_UNIT",Q6*BA6,IF(AY6="MANUAL",IF(U6="",0,U6),0)))))</f>
        <v/>
      </c>
      <c r="U6" s="23" t="n"/>
      <c r="V6" s="25" t="n"/>
      <c r="W6" s="25" t="n"/>
      <c r="X6" s="26">
        <f>IF(E6="INACTIVE",0,D6+K6+L6+S6+T6+IF(V6="",0,V6)+IF(W6="",0,W6))</f>
        <v/>
      </c>
      <c r="Y6" s="27" t="n"/>
      <c r="Z6" s="28">
        <f>IF(E6="INACTIVE","_",IF(AND(G6&gt;0,H6&gt;0,H6&lt;G6),"[!]น้ำ reset ","")&amp;IF(AND(O6&gt;0,P6&gt;0,P6&lt;O6),"[!]ไฟ reset ","")&amp;IF(AND(F6="MANUAL",J6=""),"[X]units น้ำ ","")&amp;IF(AND(N6="MANUAL",R6=""),"[X]units ไฟ ","")&amp;IF(D6=0,"[!]ค่าเช่า=0",""))</f>
        <v/>
      </c>
      <c r="AA6" s="29">
        <f>IF(C6&lt;&gt;"",C6,CONFIG!$B$6)</f>
        <v/>
      </c>
      <c r="AB6" s="29">
        <f>IF(F6&lt;&gt;"",F6,IFERROR(VLOOKUP(AA6,RULES!$A:$C,3,0),CONFIG!$B$7))</f>
        <v/>
      </c>
      <c r="AC6" s="29">
        <f>IF(IFERROR(VLOOKUP(AA6,RULES!$A:$D,4,0),"")="",CONFIG!$B$10,VLOOKUP(AA6,RULES!$A:$D,4,0))</f>
        <v/>
      </c>
      <c r="AD6" s="29">
        <f>IF(IFERROR(VLOOKUP(AA6,RULES!$A:$E,5,0),"")="",CONFIG!$B$11,VLOOKUP(AA6,RULES!$A:$E,5,0))</f>
        <v/>
      </c>
      <c r="AE6" s="29">
        <f>IFERROR(VLOOKUP(AA6,RULES!$A:$F,6,0)*1,0)</f>
        <v/>
      </c>
      <c r="AF6" s="29">
        <f>IFERROR(VLOOKUP(AA6,RULES!$A:$G,7,0)*1,0)</f>
        <v/>
      </c>
      <c r="AG6" s="29">
        <f>IFERROR(VLOOKUP(AA6,RULES!$A:$H,8,0)*1,0)</f>
        <v/>
      </c>
      <c r="AH6" s="29">
        <f>IFERROR(VLOOKUP(AA6,RULES!$A:$I,9,0)*1,0)</f>
        <v/>
      </c>
      <c r="AI6" s="29">
        <f>IFERROR(VLOOKUP(AA6,RULES!$A:$J,10,0)*1,0)</f>
        <v/>
      </c>
      <c r="AJ6" s="29">
        <f>IFERROR(IF(VLOOKUP(AA6,RULES!$A:$K,11,0)="",999999,VLOOKUP(AA6,RULES!$A:$K,11,0)*1),999999)</f>
        <v/>
      </c>
      <c r="AK6" s="29">
        <f>IFERROR(VLOOKUP(AA6,RULES!$A:$L,12,0)*1,0)</f>
        <v/>
      </c>
      <c r="AL6" s="29">
        <f>IFERROR(VLOOKUP(AA6,RULES!$A:$M,13,0),"NONE")</f>
        <v/>
      </c>
      <c r="AM6" s="29">
        <f>IFERROR(VLOOKUP(AA6,RULES!$A:$N,14,0)*1,0)</f>
        <v/>
      </c>
      <c r="AN6" s="29">
        <f>IFERROR(VLOOKUP(AA6,RULES!$A:$O,15,0)*1,0)</f>
        <v/>
      </c>
      <c r="AO6" s="29">
        <f>IF(N6&lt;&gt;"",N6,IFERROR(VLOOKUP(AA6,RULES!$A:$P,16,0),CONFIG!$B$8))</f>
        <v/>
      </c>
      <c r="AP6" s="29">
        <f>IF(IFERROR(VLOOKUP(AA6,RULES!$A:$Q,17,0),"")="",CONFIG!$B$13,VLOOKUP(AA6,RULES!$A:$Q,17,0))</f>
        <v/>
      </c>
      <c r="AQ6" s="29">
        <f>IF(IFERROR(VLOOKUP(AA6,RULES!$A:$R,18,0),"")="",CONFIG!$B$14,VLOOKUP(AA6,RULES!$A:$R,18,0))</f>
        <v/>
      </c>
      <c r="AR6" s="29">
        <f>IFERROR(VLOOKUP(AA6,RULES!$A:$S,19,0)*1,0)</f>
        <v/>
      </c>
      <c r="AS6" s="29">
        <f>IFERROR(VLOOKUP(AA6,RULES!$A:$T,20,0)*1,0)</f>
        <v/>
      </c>
      <c r="AT6" s="29">
        <f>IFERROR(VLOOKUP(AA6,RULES!$A:$U,21,0)*1,0)</f>
        <v/>
      </c>
      <c r="AU6" s="29">
        <f>IFERROR(VLOOKUP(AA6,RULES!$A:$V,22,0)*1,0)</f>
        <v/>
      </c>
      <c r="AV6" s="29">
        <f>IFERROR(VLOOKUP(AA6,RULES!$A:$W,23,0)*1,0)</f>
        <v/>
      </c>
      <c r="AW6" s="29">
        <f>IFERROR(IF(VLOOKUP(AA6,RULES!$A:$X,24,0)="",999999,VLOOKUP(AA6,RULES!$A:$X,24,0)*1),999999)</f>
        <v/>
      </c>
      <c r="AX6" s="29">
        <f>IFERROR(VLOOKUP(AA6,RULES!$A:$Y,25,0)*1,0)</f>
        <v/>
      </c>
      <c r="AY6" s="29">
        <f>IFERROR(VLOOKUP(AA6,RULES!$A:$Z,26,0),"NONE")</f>
        <v/>
      </c>
      <c r="AZ6" s="29">
        <f>IFERROR(VLOOKUP(AA6,RULES!$A:$AA,27,0)*1,0)</f>
        <v/>
      </c>
      <c r="BA6" s="29">
        <f>IFERROR(VLOOKUP(AA6,RULES!$A:$AB,28,0)*1,0)</f>
        <v/>
      </c>
    </row>
    <row r="7" ht="17" customHeight="1">
      <c r="A7" s="22" t="inlineStr">
        <is>
          <t>3404</t>
        </is>
      </c>
      <c r="B7" s="48" t="inlineStr">
        <is>
          <t>ACC004</t>
        </is>
      </c>
      <c r="C7" s="48" t="inlineStr">
        <is>
          <t>DEFAULT</t>
        </is>
      </c>
      <c r="D7" s="47" t="n"/>
      <c r="E7" s="22">
        <f>IF(OR(D7="",D7=0),"INACTIVE","ACTIVE")</f>
        <v/>
      </c>
      <c r="F7" s="48" t="inlineStr">
        <is>
          <t>NORMAL</t>
        </is>
      </c>
      <c r="G7" s="25" t="n"/>
      <c r="H7" s="25" t="n"/>
      <c r="I7" s="26">
        <f>IF(OR(E7="INACTIVE",H7=""),0,MAX(0,H7-G7))</f>
        <v/>
      </c>
      <c r="J7" s="23" t="n"/>
      <c r="K7" s="26">
        <f>IF(OR(E7="INACTIVE",H7=""),0,IF(AB7="DISABLED",0,IF(AB7="FLAT",AE7,IF(AB7="MANUAL",IF(J7="",0,J7*AC7),IF(AB7="STEP",IF(I7&lt;=AF7,I7*AG7,IF(I7&lt;=AH7,AF7*AG7+(I7-AF7)*AI7,AF7*AG7+(AH7-AF7)*AI7+(I7-AH7)*AK7)),MAX(I7*AC7,AD7))))))</f>
        <v/>
      </c>
      <c r="L7" s="26">
        <f>IF(OR(E7="INACTIVE",H7=""),0,IF(AL7="NONE",0,IF(AL7="FLAT",AM7,IF(AL7="PER_UNIT",I7*AN7,IF(AL7="MANUAL",IF(M7="",0,M7),0)))))</f>
        <v/>
      </c>
      <c r="M7" s="23" t="n"/>
      <c r="N7" s="48" t="inlineStr">
        <is>
          <t>NORMAL</t>
        </is>
      </c>
      <c r="O7" s="25" t="n"/>
      <c r="P7" s="25" t="n"/>
      <c r="Q7" s="26">
        <f>IF(OR(E7="INACTIVE",P7=""),0,MAX(0,P7-O7))</f>
        <v/>
      </c>
      <c r="R7" s="23" t="n"/>
      <c r="S7" s="26">
        <f>IF(OR(E7="INACTIVE",P7=""),0,IF(AO7="DISABLED",0,IF(AO7="FLAT",AR7,IF(AO7="MANUAL",IF(R7="",0,R7*AP7),IF(AO7="STEP",IF(Q7&lt;=AS7,Q7*AT7,IF(Q7&lt;=AU7,AS7*AT7+(Q7-AS7)*AV7,AS7*AT7+(AU7-AS7)*AV7+(Q7-AU7)*AX7)),MAX(Q7*AP7,AQ7))))))</f>
        <v/>
      </c>
      <c r="T7" s="26">
        <f>IF(OR(E7="INACTIVE",P7=""),0,IF(AY7="NONE",0,IF(AY7="FLAT",AZ7,IF(AY7="PER_UNIT",Q7*BA7,IF(AY7="MANUAL",IF(U7="",0,U7),0)))))</f>
        <v/>
      </c>
      <c r="U7" s="23" t="n"/>
      <c r="V7" s="25" t="n"/>
      <c r="W7" s="25" t="n"/>
      <c r="X7" s="26">
        <f>IF(E7="INACTIVE",0,D7+K7+L7+S7+T7+IF(V7="",0,V7)+IF(W7="",0,W7))</f>
        <v/>
      </c>
      <c r="Y7" s="27" t="n"/>
      <c r="Z7" s="28">
        <f>IF(E7="INACTIVE","_",IF(AND(G7&gt;0,H7&gt;0,H7&lt;G7),"[!]น้ำ reset ","")&amp;IF(AND(O7&gt;0,P7&gt;0,P7&lt;O7),"[!]ไฟ reset ","")&amp;IF(AND(F7="MANUAL",J7=""),"[X]units น้ำ ","")&amp;IF(AND(N7="MANUAL",R7=""),"[X]units ไฟ ","")&amp;IF(D7=0,"[!]ค่าเช่า=0",""))</f>
        <v/>
      </c>
      <c r="AA7" s="29">
        <f>IF(C7&lt;&gt;"",C7,CONFIG!$B$6)</f>
        <v/>
      </c>
      <c r="AB7" s="29">
        <f>IF(F7&lt;&gt;"",F7,IFERROR(VLOOKUP(AA7,RULES!$A:$C,3,0),CONFIG!$B$7))</f>
        <v/>
      </c>
      <c r="AC7" s="29">
        <f>IF(IFERROR(VLOOKUP(AA7,RULES!$A:$D,4,0),"")="",CONFIG!$B$10,VLOOKUP(AA7,RULES!$A:$D,4,0))</f>
        <v/>
      </c>
      <c r="AD7" s="29">
        <f>IF(IFERROR(VLOOKUP(AA7,RULES!$A:$E,5,0),"")="",CONFIG!$B$11,VLOOKUP(AA7,RULES!$A:$E,5,0))</f>
        <v/>
      </c>
      <c r="AE7" s="29">
        <f>IFERROR(VLOOKUP(AA7,RULES!$A:$F,6,0)*1,0)</f>
        <v/>
      </c>
      <c r="AF7" s="29">
        <f>IFERROR(VLOOKUP(AA7,RULES!$A:$G,7,0)*1,0)</f>
        <v/>
      </c>
      <c r="AG7" s="29">
        <f>IFERROR(VLOOKUP(AA7,RULES!$A:$H,8,0)*1,0)</f>
        <v/>
      </c>
      <c r="AH7" s="29">
        <f>IFERROR(VLOOKUP(AA7,RULES!$A:$I,9,0)*1,0)</f>
        <v/>
      </c>
      <c r="AI7" s="29">
        <f>IFERROR(VLOOKUP(AA7,RULES!$A:$J,10,0)*1,0)</f>
        <v/>
      </c>
      <c r="AJ7" s="29">
        <f>IFERROR(IF(VLOOKUP(AA7,RULES!$A:$K,11,0)="",999999,VLOOKUP(AA7,RULES!$A:$K,11,0)*1),999999)</f>
        <v/>
      </c>
      <c r="AK7" s="29">
        <f>IFERROR(VLOOKUP(AA7,RULES!$A:$L,12,0)*1,0)</f>
        <v/>
      </c>
      <c r="AL7" s="29">
        <f>IFERROR(VLOOKUP(AA7,RULES!$A:$M,13,0),"NONE")</f>
        <v/>
      </c>
      <c r="AM7" s="29">
        <f>IFERROR(VLOOKUP(AA7,RULES!$A:$N,14,0)*1,0)</f>
        <v/>
      </c>
      <c r="AN7" s="29">
        <f>IFERROR(VLOOKUP(AA7,RULES!$A:$O,15,0)*1,0)</f>
        <v/>
      </c>
      <c r="AO7" s="29">
        <f>IF(N7&lt;&gt;"",N7,IFERROR(VLOOKUP(AA7,RULES!$A:$P,16,0),CONFIG!$B$8))</f>
        <v/>
      </c>
      <c r="AP7" s="29">
        <f>IF(IFERROR(VLOOKUP(AA7,RULES!$A:$Q,17,0),"")="",CONFIG!$B$13,VLOOKUP(AA7,RULES!$A:$Q,17,0))</f>
        <v/>
      </c>
      <c r="AQ7" s="29">
        <f>IF(IFERROR(VLOOKUP(AA7,RULES!$A:$R,18,0),"")="",CONFIG!$B$14,VLOOKUP(AA7,RULES!$A:$R,18,0))</f>
        <v/>
      </c>
      <c r="AR7" s="29">
        <f>IFERROR(VLOOKUP(AA7,RULES!$A:$S,19,0)*1,0)</f>
        <v/>
      </c>
      <c r="AS7" s="29">
        <f>IFERROR(VLOOKUP(AA7,RULES!$A:$T,20,0)*1,0)</f>
        <v/>
      </c>
      <c r="AT7" s="29">
        <f>IFERROR(VLOOKUP(AA7,RULES!$A:$U,21,0)*1,0)</f>
        <v/>
      </c>
      <c r="AU7" s="29">
        <f>IFERROR(VLOOKUP(AA7,RULES!$A:$V,22,0)*1,0)</f>
        <v/>
      </c>
      <c r="AV7" s="29">
        <f>IFERROR(VLOOKUP(AA7,RULES!$A:$W,23,0)*1,0)</f>
        <v/>
      </c>
      <c r="AW7" s="29">
        <f>IFERROR(IF(VLOOKUP(AA7,RULES!$A:$X,24,0)="",999999,VLOOKUP(AA7,RULES!$A:$X,24,0)*1),999999)</f>
        <v/>
      </c>
      <c r="AX7" s="29">
        <f>IFERROR(VLOOKUP(AA7,RULES!$A:$Y,25,0)*1,0)</f>
        <v/>
      </c>
      <c r="AY7" s="29">
        <f>IFERROR(VLOOKUP(AA7,RULES!$A:$Z,26,0),"NONE")</f>
        <v/>
      </c>
      <c r="AZ7" s="29">
        <f>IFERROR(VLOOKUP(AA7,RULES!$A:$AA,27,0)*1,0)</f>
        <v/>
      </c>
      <c r="BA7" s="29">
        <f>IFERROR(VLOOKUP(AA7,RULES!$A:$AB,28,0)*1,0)</f>
        <v/>
      </c>
    </row>
    <row r="8" ht="17" customHeight="1">
      <c r="A8" s="22" t="inlineStr">
        <is>
          <t>3405</t>
        </is>
      </c>
      <c r="B8" s="48" t="inlineStr">
        <is>
          <t>ACC004</t>
        </is>
      </c>
      <c r="C8" s="48" t="inlineStr">
        <is>
          <t>DEFAULT</t>
        </is>
      </c>
      <c r="D8" s="47" t="n"/>
      <c r="E8" s="22">
        <f>IF(OR(D8="",D8=0),"INACTIVE","ACTIVE")</f>
        <v/>
      </c>
      <c r="F8" s="48" t="inlineStr">
        <is>
          <t>NORMAL</t>
        </is>
      </c>
      <c r="G8" s="25" t="n"/>
      <c r="H8" s="25" t="n"/>
      <c r="I8" s="26">
        <f>IF(OR(E8="INACTIVE",H8=""),0,MAX(0,H8-G8))</f>
        <v/>
      </c>
      <c r="J8" s="23" t="n"/>
      <c r="K8" s="26">
        <f>IF(OR(E8="INACTIVE",H8=""),0,IF(AB8="DISABLED",0,IF(AB8="FLAT",AE8,IF(AB8="MANUAL",IF(J8="",0,J8*AC8),IF(AB8="STEP",IF(I8&lt;=AF8,I8*AG8,IF(I8&lt;=AH8,AF8*AG8+(I8-AF8)*AI8,AF8*AG8+(AH8-AF8)*AI8+(I8-AH8)*AK8)),MAX(I8*AC8,AD8))))))</f>
        <v/>
      </c>
      <c r="L8" s="26">
        <f>IF(OR(E8="INACTIVE",H8=""),0,IF(AL8="NONE",0,IF(AL8="FLAT",AM8,IF(AL8="PER_UNIT",I8*AN8,IF(AL8="MANUAL",IF(M8="",0,M8),0)))))</f>
        <v/>
      </c>
      <c r="M8" s="23" t="n"/>
      <c r="N8" s="48" t="inlineStr">
        <is>
          <t>NORMAL</t>
        </is>
      </c>
      <c r="O8" s="25" t="n"/>
      <c r="P8" s="25" t="n"/>
      <c r="Q8" s="26">
        <f>IF(OR(E8="INACTIVE",P8=""),0,MAX(0,P8-O8))</f>
        <v/>
      </c>
      <c r="R8" s="23" t="n"/>
      <c r="S8" s="26">
        <f>IF(OR(E8="INACTIVE",P8=""),0,IF(AO8="DISABLED",0,IF(AO8="FLAT",AR8,IF(AO8="MANUAL",IF(R8="",0,R8*AP8),IF(AO8="STEP",IF(Q8&lt;=AS8,Q8*AT8,IF(Q8&lt;=AU8,AS8*AT8+(Q8-AS8)*AV8,AS8*AT8+(AU8-AS8)*AV8+(Q8-AU8)*AX8)),MAX(Q8*AP8,AQ8))))))</f>
        <v/>
      </c>
      <c r="T8" s="26">
        <f>IF(OR(E8="INACTIVE",P8=""),0,IF(AY8="NONE",0,IF(AY8="FLAT",AZ8,IF(AY8="PER_UNIT",Q8*BA8,IF(AY8="MANUAL",IF(U8="",0,U8),0)))))</f>
        <v/>
      </c>
      <c r="U8" s="23" t="n"/>
      <c r="V8" s="25" t="n"/>
      <c r="W8" s="25" t="n"/>
      <c r="X8" s="26">
        <f>IF(E8="INACTIVE",0,D8+K8+L8+S8+T8+IF(V8="",0,V8)+IF(W8="",0,W8))</f>
        <v/>
      </c>
      <c r="Y8" s="27" t="n"/>
      <c r="Z8" s="28">
        <f>IF(E8="INACTIVE","_",IF(AND(G8&gt;0,H8&gt;0,H8&lt;G8),"[!]น้ำ reset ","")&amp;IF(AND(O8&gt;0,P8&gt;0,P8&lt;O8),"[!]ไฟ reset ","")&amp;IF(AND(F8="MANUAL",J8=""),"[X]units น้ำ ","")&amp;IF(AND(N8="MANUAL",R8=""),"[X]units ไฟ ","")&amp;IF(D8=0,"[!]ค่าเช่า=0",""))</f>
        <v/>
      </c>
      <c r="AA8" s="29">
        <f>IF(C8&lt;&gt;"",C8,CONFIG!$B$6)</f>
        <v/>
      </c>
      <c r="AB8" s="29">
        <f>IF(F8&lt;&gt;"",F8,IFERROR(VLOOKUP(AA8,RULES!$A:$C,3,0),CONFIG!$B$7))</f>
        <v/>
      </c>
      <c r="AC8" s="29">
        <f>IF(IFERROR(VLOOKUP(AA8,RULES!$A:$D,4,0),"")="",CONFIG!$B$10,VLOOKUP(AA8,RULES!$A:$D,4,0))</f>
        <v/>
      </c>
      <c r="AD8" s="29">
        <f>IF(IFERROR(VLOOKUP(AA8,RULES!$A:$E,5,0),"")="",CONFIG!$B$11,VLOOKUP(AA8,RULES!$A:$E,5,0))</f>
        <v/>
      </c>
      <c r="AE8" s="29">
        <f>IFERROR(VLOOKUP(AA8,RULES!$A:$F,6,0)*1,0)</f>
        <v/>
      </c>
      <c r="AF8" s="29">
        <f>IFERROR(VLOOKUP(AA8,RULES!$A:$G,7,0)*1,0)</f>
        <v/>
      </c>
      <c r="AG8" s="29">
        <f>IFERROR(VLOOKUP(AA8,RULES!$A:$H,8,0)*1,0)</f>
        <v/>
      </c>
      <c r="AH8" s="29">
        <f>IFERROR(VLOOKUP(AA8,RULES!$A:$I,9,0)*1,0)</f>
        <v/>
      </c>
      <c r="AI8" s="29">
        <f>IFERROR(VLOOKUP(AA8,RULES!$A:$J,10,0)*1,0)</f>
        <v/>
      </c>
      <c r="AJ8" s="29">
        <f>IFERROR(IF(VLOOKUP(AA8,RULES!$A:$K,11,0)="",999999,VLOOKUP(AA8,RULES!$A:$K,11,0)*1),999999)</f>
        <v/>
      </c>
      <c r="AK8" s="29">
        <f>IFERROR(VLOOKUP(AA8,RULES!$A:$L,12,0)*1,0)</f>
        <v/>
      </c>
      <c r="AL8" s="29">
        <f>IFERROR(VLOOKUP(AA8,RULES!$A:$M,13,0),"NONE")</f>
        <v/>
      </c>
      <c r="AM8" s="29">
        <f>IFERROR(VLOOKUP(AA8,RULES!$A:$N,14,0)*1,0)</f>
        <v/>
      </c>
      <c r="AN8" s="29">
        <f>IFERROR(VLOOKUP(AA8,RULES!$A:$O,15,0)*1,0)</f>
        <v/>
      </c>
      <c r="AO8" s="29">
        <f>IF(N8&lt;&gt;"",N8,IFERROR(VLOOKUP(AA8,RULES!$A:$P,16,0),CONFIG!$B$8))</f>
        <v/>
      </c>
      <c r="AP8" s="29">
        <f>IF(IFERROR(VLOOKUP(AA8,RULES!$A:$Q,17,0),"")="",CONFIG!$B$13,VLOOKUP(AA8,RULES!$A:$Q,17,0))</f>
        <v/>
      </c>
      <c r="AQ8" s="29">
        <f>IF(IFERROR(VLOOKUP(AA8,RULES!$A:$R,18,0),"")="",CONFIG!$B$14,VLOOKUP(AA8,RULES!$A:$R,18,0))</f>
        <v/>
      </c>
      <c r="AR8" s="29">
        <f>IFERROR(VLOOKUP(AA8,RULES!$A:$S,19,0)*1,0)</f>
        <v/>
      </c>
      <c r="AS8" s="29">
        <f>IFERROR(VLOOKUP(AA8,RULES!$A:$T,20,0)*1,0)</f>
        <v/>
      </c>
      <c r="AT8" s="29">
        <f>IFERROR(VLOOKUP(AA8,RULES!$A:$U,21,0)*1,0)</f>
        <v/>
      </c>
      <c r="AU8" s="29">
        <f>IFERROR(VLOOKUP(AA8,RULES!$A:$V,22,0)*1,0)</f>
        <v/>
      </c>
      <c r="AV8" s="29">
        <f>IFERROR(VLOOKUP(AA8,RULES!$A:$W,23,0)*1,0)</f>
        <v/>
      </c>
      <c r="AW8" s="29">
        <f>IFERROR(IF(VLOOKUP(AA8,RULES!$A:$X,24,0)="",999999,VLOOKUP(AA8,RULES!$A:$X,24,0)*1),999999)</f>
        <v/>
      </c>
      <c r="AX8" s="29">
        <f>IFERROR(VLOOKUP(AA8,RULES!$A:$Y,25,0)*1,0)</f>
        <v/>
      </c>
      <c r="AY8" s="29">
        <f>IFERROR(VLOOKUP(AA8,RULES!$A:$Z,26,0),"NONE")</f>
        <v/>
      </c>
      <c r="AZ8" s="29">
        <f>IFERROR(VLOOKUP(AA8,RULES!$A:$AA,27,0)*1,0)</f>
        <v/>
      </c>
      <c r="BA8" s="29">
        <f>IFERROR(VLOOKUP(AA8,RULES!$A:$AB,28,0)*1,0)</f>
        <v/>
      </c>
    </row>
    <row r="9" ht="17" customHeight="1">
      <c r="A9" s="22" t="inlineStr">
        <is>
          <t>3406</t>
        </is>
      </c>
      <c r="B9" s="48" t="inlineStr">
        <is>
          <t>ACC004</t>
        </is>
      </c>
      <c r="C9" s="48" t="inlineStr">
        <is>
          <t>DEFAULT</t>
        </is>
      </c>
      <c r="D9" s="47" t="n"/>
      <c r="E9" s="22">
        <f>IF(OR(D9="",D9=0),"INACTIVE","ACTIVE")</f>
        <v/>
      </c>
      <c r="F9" s="48" t="inlineStr">
        <is>
          <t>NORMAL</t>
        </is>
      </c>
      <c r="G9" s="25" t="n"/>
      <c r="H9" s="25" t="n"/>
      <c r="I9" s="26">
        <f>IF(OR(E9="INACTIVE",H9=""),0,MAX(0,H9-G9))</f>
        <v/>
      </c>
      <c r="J9" s="23" t="n"/>
      <c r="K9" s="26">
        <f>IF(OR(E9="INACTIVE",H9=""),0,IF(AB9="DISABLED",0,IF(AB9="FLAT",AE9,IF(AB9="MANUAL",IF(J9="",0,J9*AC9),IF(AB9="STEP",IF(I9&lt;=AF9,I9*AG9,IF(I9&lt;=AH9,AF9*AG9+(I9-AF9)*AI9,AF9*AG9+(AH9-AF9)*AI9+(I9-AH9)*AK9)),MAX(I9*AC9,AD9))))))</f>
        <v/>
      </c>
      <c r="L9" s="26">
        <f>IF(OR(E9="INACTIVE",H9=""),0,IF(AL9="NONE",0,IF(AL9="FLAT",AM9,IF(AL9="PER_UNIT",I9*AN9,IF(AL9="MANUAL",IF(M9="",0,M9),0)))))</f>
        <v/>
      </c>
      <c r="M9" s="23" t="n"/>
      <c r="N9" s="48" t="inlineStr">
        <is>
          <t>NORMAL</t>
        </is>
      </c>
      <c r="O9" s="25" t="n"/>
      <c r="P9" s="25" t="n"/>
      <c r="Q9" s="26">
        <f>IF(OR(E9="INACTIVE",P9=""),0,MAX(0,P9-O9))</f>
        <v/>
      </c>
      <c r="R9" s="23" t="n"/>
      <c r="S9" s="26">
        <f>IF(OR(E9="INACTIVE",P9=""),0,IF(AO9="DISABLED",0,IF(AO9="FLAT",AR9,IF(AO9="MANUAL",IF(R9="",0,R9*AP9),IF(AO9="STEP",IF(Q9&lt;=AS9,Q9*AT9,IF(Q9&lt;=AU9,AS9*AT9+(Q9-AS9)*AV9,AS9*AT9+(AU9-AS9)*AV9+(Q9-AU9)*AX9)),MAX(Q9*AP9,AQ9))))))</f>
        <v/>
      </c>
      <c r="T9" s="26">
        <f>IF(OR(E9="INACTIVE",P9=""),0,IF(AY9="NONE",0,IF(AY9="FLAT",AZ9,IF(AY9="PER_UNIT",Q9*BA9,IF(AY9="MANUAL",IF(U9="",0,U9),0)))))</f>
        <v/>
      </c>
      <c r="U9" s="23" t="n"/>
      <c r="V9" s="25" t="n"/>
      <c r="W9" s="25" t="n"/>
      <c r="X9" s="26">
        <f>IF(E9="INACTIVE",0,D9+K9+L9+S9+T9+IF(V9="",0,V9)+IF(W9="",0,W9))</f>
        <v/>
      </c>
      <c r="Y9" s="27" t="n"/>
      <c r="Z9" s="28">
        <f>IF(E9="INACTIVE","_",IF(AND(G9&gt;0,H9&gt;0,H9&lt;G9),"[!]น้ำ reset ","")&amp;IF(AND(O9&gt;0,P9&gt;0,P9&lt;O9),"[!]ไฟ reset ","")&amp;IF(AND(F9="MANUAL",J9=""),"[X]units น้ำ ","")&amp;IF(AND(N9="MANUAL",R9=""),"[X]units ไฟ ","")&amp;IF(D9=0,"[!]ค่าเช่า=0",""))</f>
        <v/>
      </c>
      <c r="AA9" s="29">
        <f>IF(C9&lt;&gt;"",C9,CONFIG!$B$6)</f>
        <v/>
      </c>
      <c r="AB9" s="29">
        <f>IF(F9&lt;&gt;"",F9,IFERROR(VLOOKUP(AA9,RULES!$A:$C,3,0),CONFIG!$B$7))</f>
        <v/>
      </c>
      <c r="AC9" s="29">
        <f>IF(IFERROR(VLOOKUP(AA9,RULES!$A:$D,4,0),"")="",CONFIG!$B$10,VLOOKUP(AA9,RULES!$A:$D,4,0))</f>
        <v/>
      </c>
      <c r="AD9" s="29">
        <f>IF(IFERROR(VLOOKUP(AA9,RULES!$A:$E,5,0),"")="",CONFIG!$B$11,VLOOKUP(AA9,RULES!$A:$E,5,0))</f>
        <v/>
      </c>
      <c r="AE9" s="29">
        <f>IFERROR(VLOOKUP(AA9,RULES!$A:$F,6,0)*1,0)</f>
        <v/>
      </c>
      <c r="AF9" s="29">
        <f>IFERROR(VLOOKUP(AA9,RULES!$A:$G,7,0)*1,0)</f>
        <v/>
      </c>
      <c r="AG9" s="29">
        <f>IFERROR(VLOOKUP(AA9,RULES!$A:$H,8,0)*1,0)</f>
        <v/>
      </c>
      <c r="AH9" s="29">
        <f>IFERROR(VLOOKUP(AA9,RULES!$A:$I,9,0)*1,0)</f>
        <v/>
      </c>
      <c r="AI9" s="29">
        <f>IFERROR(VLOOKUP(AA9,RULES!$A:$J,10,0)*1,0)</f>
        <v/>
      </c>
      <c r="AJ9" s="29">
        <f>IFERROR(IF(VLOOKUP(AA9,RULES!$A:$K,11,0)="",999999,VLOOKUP(AA9,RULES!$A:$K,11,0)*1),999999)</f>
        <v/>
      </c>
      <c r="AK9" s="29">
        <f>IFERROR(VLOOKUP(AA9,RULES!$A:$L,12,0)*1,0)</f>
        <v/>
      </c>
      <c r="AL9" s="29">
        <f>IFERROR(VLOOKUP(AA9,RULES!$A:$M,13,0),"NONE")</f>
        <v/>
      </c>
      <c r="AM9" s="29">
        <f>IFERROR(VLOOKUP(AA9,RULES!$A:$N,14,0)*1,0)</f>
        <v/>
      </c>
      <c r="AN9" s="29">
        <f>IFERROR(VLOOKUP(AA9,RULES!$A:$O,15,0)*1,0)</f>
        <v/>
      </c>
      <c r="AO9" s="29">
        <f>IF(N9&lt;&gt;"",N9,IFERROR(VLOOKUP(AA9,RULES!$A:$P,16,0),CONFIG!$B$8))</f>
        <v/>
      </c>
      <c r="AP9" s="29">
        <f>IF(IFERROR(VLOOKUP(AA9,RULES!$A:$Q,17,0),"")="",CONFIG!$B$13,VLOOKUP(AA9,RULES!$A:$Q,17,0))</f>
        <v/>
      </c>
      <c r="AQ9" s="29">
        <f>IF(IFERROR(VLOOKUP(AA9,RULES!$A:$R,18,0),"")="",CONFIG!$B$14,VLOOKUP(AA9,RULES!$A:$R,18,0))</f>
        <v/>
      </c>
      <c r="AR9" s="29">
        <f>IFERROR(VLOOKUP(AA9,RULES!$A:$S,19,0)*1,0)</f>
        <v/>
      </c>
      <c r="AS9" s="29">
        <f>IFERROR(VLOOKUP(AA9,RULES!$A:$T,20,0)*1,0)</f>
        <v/>
      </c>
      <c r="AT9" s="29">
        <f>IFERROR(VLOOKUP(AA9,RULES!$A:$U,21,0)*1,0)</f>
        <v/>
      </c>
      <c r="AU9" s="29">
        <f>IFERROR(VLOOKUP(AA9,RULES!$A:$V,22,0)*1,0)</f>
        <v/>
      </c>
      <c r="AV9" s="29">
        <f>IFERROR(VLOOKUP(AA9,RULES!$A:$W,23,0)*1,0)</f>
        <v/>
      </c>
      <c r="AW9" s="29">
        <f>IFERROR(IF(VLOOKUP(AA9,RULES!$A:$X,24,0)="",999999,VLOOKUP(AA9,RULES!$A:$X,24,0)*1),999999)</f>
        <v/>
      </c>
      <c r="AX9" s="29">
        <f>IFERROR(VLOOKUP(AA9,RULES!$A:$Y,25,0)*1,0)</f>
        <v/>
      </c>
      <c r="AY9" s="29">
        <f>IFERROR(VLOOKUP(AA9,RULES!$A:$Z,26,0),"NONE")</f>
        <v/>
      </c>
      <c r="AZ9" s="29">
        <f>IFERROR(VLOOKUP(AA9,RULES!$A:$AA,27,0)*1,0)</f>
        <v/>
      </c>
      <c r="BA9" s="29">
        <f>IFERROR(VLOOKUP(AA9,RULES!$A:$AB,28,0)*1,0)</f>
        <v/>
      </c>
    </row>
    <row r="10" ht="17" customHeight="1">
      <c r="A10" s="22" t="inlineStr">
        <is>
          <t>3407</t>
        </is>
      </c>
      <c r="B10" s="48" t="inlineStr">
        <is>
          <t>ACC004</t>
        </is>
      </c>
      <c r="C10" s="48" t="inlineStr">
        <is>
          <t>DEFAULT</t>
        </is>
      </c>
      <c r="D10" s="47" t="n"/>
      <c r="E10" s="22">
        <f>IF(OR(D10="",D10=0),"INACTIVE","ACTIVE")</f>
        <v/>
      </c>
      <c r="F10" s="48" t="inlineStr">
        <is>
          <t>NORMAL</t>
        </is>
      </c>
      <c r="G10" s="25" t="n"/>
      <c r="H10" s="25" t="n"/>
      <c r="I10" s="26">
        <f>IF(OR(E10="INACTIVE",H10=""),0,MAX(0,H10-G10))</f>
        <v/>
      </c>
      <c r="J10" s="23" t="n"/>
      <c r="K10" s="26">
        <f>IF(OR(E10="INACTIVE",H10=""),0,IF(AB10="DISABLED",0,IF(AB10="FLAT",AE10,IF(AB10="MANUAL",IF(J10="",0,J10*AC10),IF(AB10="STEP",IF(I10&lt;=AF10,I10*AG10,IF(I10&lt;=AH10,AF10*AG10+(I10-AF10)*AI10,AF10*AG10+(AH10-AF10)*AI10+(I10-AH10)*AK10)),MAX(I10*AC10,AD10))))))</f>
        <v/>
      </c>
      <c r="L10" s="26">
        <f>IF(OR(E10="INACTIVE",H10=""),0,IF(AL10="NONE",0,IF(AL10="FLAT",AM10,IF(AL10="PER_UNIT",I10*AN10,IF(AL10="MANUAL",IF(M10="",0,M10),0)))))</f>
        <v/>
      </c>
      <c r="M10" s="23" t="n"/>
      <c r="N10" s="48" t="inlineStr">
        <is>
          <t>NORMAL</t>
        </is>
      </c>
      <c r="O10" s="25" t="n"/>
      <c r="P10" s="25" t="n"/>
      <c r="Q10" s="26">
        <f>IF(OR(E10="INACTIVE",P10=""),0,MAX(0,P10-O10))</f>
        <v/>
      </c>
      <c r="R10" s="23" t="n"/>
      <c r="S10" s="26">
        <f>IF(OR(E10="INACTIVE",P10=""),0,IF(AO10="DISABLED",0,IF(AO10="FLAT",AR10,IF(AO10="MANUAL",IF(R10="",0,R10*AP10),IF(AO10="STEP",IF(Q10&lt;=AS10,Q10*AT10,IF(Q10&lt;=AU10,AS10*AT10+(Q10-AS10)*AV10,AS10*AT10+(AU10-AS10)*AV10+(Q10-AU10)*AX10)),MAX(Q10*AP10,AQ10))))))</f>
        <v/>
      </c>
      <c r="T10" s="26">
        <f>IF(OR(E10="INACTIVE",P10=""),0,IF(AY10="NONE",0,IF(AY10="FLAT",AZ10,IF(AY10="PER_UNIT",Q10*BA10,IF(AY10="MANUAL",IF(U10="",0,U10),0)))))</f>
        <v/>
      </c>
      <c r="U10" s="23" t="n"/>
      <c r="V10" s="25" t="n"/>
      <c r="W10" s="25" t="n"/>
      <c r="X10" s="26">
        <f>IF(E10="INACTIVE",0,D10+K10+L10+S10+T10+IF(V10="",0,V10)+IF(W10="",0,W10))</f>
        <v/>
      </c>
      <c r="Y10" s="27" t="n"/>
      <c r="Z10" s="28">
        <f>IF(E10="INACTIVE","_",IF(AND(G10&gt;0,H10&gt;0,H10&lt;G10),"[!]น้ำ reset ","")&amp;IF(AND(O10&gt;0,P10&gt;0,P10&lt;O10),"[!]ไฟ reset ","")&amp;IF(AND(F10="MANUAL",J10=""),"[X]units น้ำ ","")&amp;IF(AND(N10="MANUAL",R10=""),"[X]units ไฟ ","")&amp;IF(D10=0,"[!]ค่าเช่า=0",""))</f>
        <v/>
      </c>
      <c r="AA10" s="29">
        <f>IF(C10&lt;&gt;"",C10,CONFIG!$B$6)</f>
        <v/>
      </c>
      <c r="AB10" s="29">
        <f>IF(F10&lt;&gt;"",F10,IFERROR(VLOOKUP(AA10,RULES!$A:$C,3,0),CONFIG!$B$7))</f>
        <v/>
      </c>
      <c r="AC10" s="29">
        <f>IF(IFERROR(VLOOKUP(AA10,RULES!$A:$D,4,0),"")="",CONFIG!$B$10,VLOOKUP(AA10,RULES!$A:$D,4,0))</f>
        <v/>
      </c>
      <c r="AD10" s="29">
        <f>IF(IFERROR(VLOOKUP(AA10,RULES!$A:$E,5,0),"")="",CONFIG!$B$11,VLOOKUP(AA10,RULES!$A:$E,5,0))</f>
        <v/>
      </c>
      <c r="AE10" s="29">
        <f>IFERROR(VLOOKUP(AA10,RULES!$A:$F,6,0)*1,0)</f>
        <v/>
      </c>
      <c r="AF10" s="29">
        <f>IFERROR(VLOOKUP(AA10,RULES!$A:$G,7,0)*1,0)</f>
        <v/>
      </c>
      <c r="AG10" s="29">
        <f>IFERROR(VLOOKUP(AA10,RULES!$A:$H,8,0)*1,0)</f>
        <v/>
      </c>
      <c r="AH10" s="29">
        <f>IFERROR(VLOOKUP(AA10,RULES!$A:$I,9,0)*1,0)</f>
        <v/>
      </c>
      <c r="AI10" s="29">
        <f>IFERROR(VLOOKUP(AA10,RULES!$A:$J,10,0)*1,0)</f>
        <v/>
      </c>
      <c r="AJ10" s="29">
        <f>IFERROR(IF(VLOOKUP(AA10,RULES!$A:$K,11,0)="",999999,VLOOKUP(AA10,RULES!$A:$K,11,0)*1),999999)</f>
        <v/>
      </c>
      <c r="AK10" s="29">
        <f>IFERROR(VLOOKUP(AA10,RULES!$A:$L,12,0)*1,0)</f>
        <v/>
      </c>
      <c r="AL10" s="29">
        <f>IFERROR(VLOOKUP(AA10,RULES!$A:$M,13,0),"NONE")</f>
        <v/>
      </c>
      <c r="AM10" s="29">
        <f>IFERROR(VLOOKUP(AA10,RULES!$A:$N,14,0)*1,0)</f>
        <v/>
      </c>
      <c r="AN10" s="29">
        <f>IFERROR(VLOOKUP(AA10,RULES!$A:$O,15,0)*1,0)</f>
        <v/>
      </c>
      <c r="AO10" s="29">
        <f>IF(N10&lt;&gt;"",N10,IFERROR(VLOOKUP(AA10,RULES!$A:$P,16,0),CONFIG!$B$8))</f>
        <v/>
      </c>
      <c r="AP10" s="29">
        <f>IF(IFERROR(VLOOKUP(AA10,RULES!$A:$Q,17,0),"")="",CONFIG!$B$13,VLOOKUP(AA10,RULES!$A:$Q,17,0))</f>
        <v/>
      </c>
      <c r="AQ10" s="29">
        <f>IF(IFERROR(VLOOKUP(AA10,RULES!$A:$R,18,0),"")="",CONFIG!$B$14,VLOOKUP(AA10,RULES!$A:$R,18,0))</f>
        <v/>
      </c>
      <c r="AR10" s="29">
        <f>IFERROR(VLOOKUP(AA10,RULES!$A:$S,19,0)*1,0)</f>
        <v/>
      </c>
      <c r="AS10" s="29">
        <f>IFERROR(VLOOKUP(AA10,RULES!$A:$T,20,0)*1,0)</f>
        <v/>
      </c>
      <c r="AT10" s="29">
        <f>IFERROR(VLOOKUP(AA10,RULES!$A:$U,21,0)*1,0)</f>
        <v/>
      </c>
      <c r="AU10" s="29">
        <f>IFERROR(VLOOKUP(AA10,RULES!$A:$V,22,0)*1,0)</f>
        <v/>
      </c>
      <c r="AV10" s="29">
        <f>IFERROR(VLOOKUP(AA10,RULES!$A:$W,23,0)*1,0)</f>
        <v/>
      </c>
      <c r="AW10" s="29">
        <f>IFERROR(IF(VLOOKUP(AA10,RULES!$A:$X,24,0)="",999999,VLOOKUP(AA10,RULES!$A:$X,24,0)*1),999999)</f>
        <v/>
      </c>
      <c r="AX10" s="29">
        <f>IFERROR(VLOOKUP(AA10,RULES!$A:$Y,25,0)*1,0)</f>
        <v/>
      </c>
      <c r="AY10" s="29">
        <f>IFERROR(VLOOKUP(AA10,RULES!$A:$Z,26,0),"NONE")</f>
        <v/>
      </c>
      <c r="AZ10" s="29">
        <f>IFERROR(VLOOKUP(AA10,RULES!$A:$AA,27,0)*1,0)</f>
        <v/>
      </c>
      <c r="BA10" s="29">
        <f>IFERROR(VLOOKUP(AA10,RULES!$A:$AB,28,0)*1,0)</f>
        <v/>
      </c>
    </row>
    <row r="11" ht="17" customHeight="1">
      <c r="A11" s="22" t="inlineStr">
        <is>
          <t>3408</t>
        </is>
      </c>
      <c r="B11" s="48" t="inlineStr">
        <is>
          <t>ACC004</t>
        </is>
      </c>
      <c r="C11" s="48" t="inlineStr">
        <is>
          <t>DEFAULT</t>
        </is>
      </c>
      <c r="D11" s="47" t="n"/>
      <c r="E11" s="22">
        <f>IF(OR(D11="",D11=0),"INACTIVE","ACTIVE")</f>
        <v/>
      </c>
      <c r="F11" s="48" t="inlineStr">
        <is>
          <t>NORMAL</t>
        </is>
      </c>
      <c r="G11" s="25" t="n"/>
      <c r="H11" s="25" t="n"/>
      <c r="I11" s="26">
        <f>IF(OR(E11="INACTIVE",H11=""),0,MAX(0,H11-G11))</f>
        <v/>
      </c>
      <c r="J11" s="23" t="n"/>
      <c r="K11" s="26">
        <f>IF(OR(E11="INACTIVE",H11=""),0,IF(AB11="DISABLED",0,IF(AB11="FLAT",AE11,IF(AB11="MANUAL",IF(J11="",0,J11*AC11),IF(AB11="STEP",IF(I11&lt;=AF11,I11*AG11,IF(I11&lt;=AH11,AF11*AG11+(I11-AF11)*AI11,AF11*AG11+(AH11-AF11)*AI11+(I11-AH11)*AK11)),MAX(I11*AC11,AD11))))))</f>
        <v/>
      </c>
      <c r="L11" s="26">
        <f>IF(OR(E11="INACTIVE",H11=""),0,IF(AL11="NONE",0,IF(AL11="FLAT",AM11,IF(AL11="PER_UNIT",I11*AN11,IF(AL11="MANUAL",IF(M11="",0,M11),0)))))</f>
        <v/>
      </c>
      <c r="M11" s="23" t="n"/>
      <c r="N11" s="48" t="inlineStr">
        <is>
          <t>NORMAL</t>
        </is>
      </c>
      <c r="O11" s="25" t="n"/>
      <c r="P11" s="25" t="n"/>
      <c r="Q11" s="26">
        <f>IF(OR(E11="INACTIVE",P11=""),0,MAX(0,P11-O11))</f>
        <v/>
      </c>
      <c r="R11" s="23" t="n"/>
      <c r="S11" s="26">
        <f>IF(OR(E11="INACTIVE",P11=""),0,IF(AO11="DISABLED",0,IF(AO11="FLAT",AR11,IF(AO11="MANUAL",IF(R11="",0,R11*AP11),IF(AO11="STEP",IF(Q11&lt;=AS11,Q11*AT11,IF(Q11&lt;=AU11,AS11*AT11+(Q11-AS11)*AV11,AS11*AT11+(AU11-AS11)*AV11+(Q11-AU11)*AX11)),MAX(Q11*AP11,AQ11))))))</f>
        <v/>
      </c>
      <c r="T11" s="26">
        <f>IF(OR(E11="INACTIVE",P11=""),0,IF(AY11="NONE",0,IF(AY11="FLAT",AZ11,IF(AY11="PER_UNIT",Q11*BA11,IF(AY11="MANUAL",IF(U11="",0,U11),0)))))</f>
        <v/>
      </c>
      <c r="U11" s="23" t="n"/>
      <c r="V11" s="25" t="n"/>
      <c r="W11" s="25" t="n"/>
      <c r="X11" s="26">
        <f>IF(E11="INACTIVE",0,D11+K11+L11+S11+T11+IF(V11="",0,V11)+IF(W11="",0,W11))</f>
        <v/>
      </c>
      <c r="Y11" s="27" t="n"/>
      <c r="Z11" s="28">
        <f>IF(E11="INACTIVE","_",IF(AND(G11&gt;0,H11&gt;0,H11&lt;G11),"[!]น้ำ reset ","")&amp;IF(AND(O11&gt;0,P11&gt;0,P11&lt;O11),"[!]ไฟ reset ","")&amp;IF(AND(F11="MANUAL",J11=""),"[X]units น้ำ ","")&amp;IF(AND(N11="MANUAL",R11=""),"[X]units ไฟ ","")&amp;IF(D11=0,"[!]ค่าเช่า=0",""))</f>
        <v/>
      </c>
      <c r="AA11" s="29">
        <f>IF(C11&lt;&gt;"",C11,CONFIG!$B$6)</f>
        <v/>
      </c>
      <c r="AB11" s="29">
        <f>IF(F11&lt;&gt;"",F11,IFERROR(VLOOKUP(AA11,RULES!$A:$C,3,0),CONFIG!$B$7))</f>
        <v/>
      </c>
      <c r="AC11" s="29">
        <f>IF(IFERROR(VLOOKUP(AA11,RULES!$A:$D,4,0),"")="",CONFIG!$B$10,VLOOKUP(AA11,RULES!$A:$D,4,0))</f>
        <v/>
      </c>
      <c r="AD11" s="29">
        <f>IF(IFERROR(VLOOKUP(AA11,RULES!$A:$E,5,0),"")="",CONFIG!$B$11,VLOOKUP(AA11,RULES!$A:$E,5,0))</f>
        <v/>
      </c>
      <c r="AE11" s="29">
        <f>IFERROR(VLOOKUP(AA11,RULES!$A:$F,6,0)*1,0)</f>
        <v/>
      </c>
      <c r="AF11" s="29">
        <f>IFERROR(VLOOKUP(AA11,RULES!$A:$G,7,0)*1,0)</f>
        <v/>
      </c>
      <c r="AG11" s="29">
        <f>IFERROR(VLOOKUP(AA11,RULES!$A:$H,8,0)*1,0)</f>
        <v/>
      </c>
      <c r="AH11" s="29">
        <f>IFERROR(VLOOKUP(AA11,RULES!$A:$I,9,0)*1,0)</f>
        <v/>
      </c>
      <c r="AI11" s="29">
        <f>IFERROR(VLOOKUP(AA11,RULES!$A:$J,10,0)*1,0)</f>
        <v/>
      </c>
      <c r="AJ11" s="29">
        <f>IFERROR(IF(VLOOKUP(AA11,RULES!$A:$K,11,0)="",999999,VLOOKUP(AA11,RULES!$A:$K,11,0)*1),999999)</f>
        <v/>
      </c>
      <c r="AK11" s="29">
        <f>IFERROR(VLOOKUP(AA11,RULES!$A:$L,12,0)*1,0)</f>
        <v/>
      </c>
      <c r="AL11" s="29">
        <f>IFERROR(VLOOKUP(AA11,RULES!$A:$M,13,0),"NONE")</f>
        <v/>
      </c>
      <c r="AM11" s="29">
        <f>IFERROR(VLOOKUP(AA11,RULES!$A:$N,14,0)*1,0)</f>
        <v/>
      </c>
      <c r="AN11" s="29">
        <f>IFERROR(VLOOKUP(AA11,RULES!$A:$O,15,0)*1,0)</f>
        <v/>
      </c>
      <c r="AO11" s="29">
        <f>IF(N11&lt;&gt;"",N11,IFERROR(VLOOKUP(AA11,RULES!$A:$P,16,0),CONFIG!$B$8))</f>
        <v/>
      </c>
      <c r="AP11" s="29">
        <f>IF(IFERROR(VLOOKUP(AA11,RULES!$A:$Q,17,0),"")="",CONFIG!$B$13,VLOOKUP(AA11,RULES!$A:$Q,17,0))</f>
        <v/>
      </c>
      <c r="AQ11" s="29">
        <f>IF(IFERROR(VLOOKUP(AA11,RULES!$A:$R,18,0),"")="",CONFIG!$B$14,VLOOKUP(AA11,RULES!$A:$R,18,0))</f>
        <v/>
      </c>
      <c r="AR11" s="29">
        <f>IFERROR(VLOOKUP(AA11,RULES!$A:$S,19,0)*1,0)</f>
        <v/>
      </c>
      <c r="AS11" s="29">
        <f>IFERROR(VLOOKUP(AA11,RULES!$A:$T,20,0)*1,0)</f>
        <v/>
      </c>
      <c r="AT11" s="29">
        <f>IFERROR(VLOOKUP(AA11,RULES!$A:$U,21,0)*1,0)</f>
        <v/>
      </c>
      <c r="AU11" s="29">
        <f>IFERROR(VLOOKUP(AA11,RULES!$A:$V,22,0)*1,0)</f>
        <v/>
      </c>
      <c r="AV11" s="29">
        <f>IFERROR(VLOOKUP(AA11,RULES!$A:$W,23,0)*1,0)</f>
        <v/>
      </c>
      <c r="AW11" s="29">
        <f>IFERROR(IF(VLOOKUP(AA11,RULES!$A:$X,24,0)="",999999,VLOOKUP(AA11,RULES!$A:$X,24,0)*1),999999)</f>
        <v/>
      </c>
      <c r="AX11" s="29">
        <f>IFERROR(VLOOKUP(AA11,RULES!$A:$Y,25,0)*1,0)</f>
        <v/>
      </c>
      <c r="AY11" s="29">
        <f>IFERROR(VLOOKUP(AA11,RULES!$A:$Z,26,0),"NONE")</f>
        <v/>
      </c>
      <c r="AZ11" s="29">
        <f>IFERROR(VLOOKUP(AA11,RULES!$A:$AA,27,0)*1,0)</f>
        <v/>
      </c>
      <c r="BA11" s="29">
        <f>IFERROR(VLOOKUP(AA11,RULES!$A:$AB,28,0)*1,0)</f>
        <v/>
      </c>
    </row>
    <row r="12" ht="17" customHeight="1">
      <c r="A12" s="22" t="inlineStr">
        <is>
          <t>3409</t>
        </is>
      </c>
      <c r="B12" s="48" t="inlineStr">
        <is>
          <t>ACC004</t>
        </is>
      </c>
      <c r="C12" s="48" t="inlineStr">
        <is>
          <t>DEFAULT</t>
        </is>
      </c>
      <c r="D12" s="47" t="n"/>
      <c r="E12" s="22">
        <f>IF(OR(D12="",D12=0),"INACTIVE","ACTIVE")</f>
        <v/>
      </c>
      <c r="F12" s="48" t="inlineStr">
        <is>
          <t>NORMAL</t>
        </is>
      </c>
      <c r="G12" s="25" t="n"/>
      <c r="H12" s="25" t="n"/>
      <c r="I12" s="26">
        <f>IF(OR(E12="INACTIVE",H12=""),0,MAX(0,H12-G12))</f>
        <v/>
      </c>
      <c r="J12" s="23" t="n"/>
      <c r="K12" s="26">
        <f>IF(OR(E12="INACTIVE",H12=""),0,IF(AB12="DISABLED",0,IF(AB12="FLAT",AE12,IF(AB12="MANUAL",IF(J12="",0,J12*AC12),IF(AB12="STEP",IF(I12&lt;=AF12,I12*AG12,IF(I12&lt;=AH12,AF12*AG12+(I12-AF12)*AI12,AF12*AG12+(AH12-AF12)*AI12+(I12-AH12)*AK12)),MAX(I12*AC12,AD12))))))</f>
        <v/>
      </c>
      <c r="L12" s="26">
        <f>IF(OR(E12="INACTIVE",H12=""),0,IF(AL12="NONE",0,IF(AL12="FLAT",AM12,IF(AL12="PER_UNIT",I12*AN12,IF(AL12="MANUAL",IF(M12="",0,M12),0)))))</f>
        <v/>
      </c>
      <c r="M12" s="23" t="n"/>
      <c r="N12" s="48" t="inlineStr">
        <is>
          <t>NORMAL</t>
        </is>
      </c>
      <c r="O12" s="25" t="n"/>
      <c r="P12" s="25" t="n"/>
      <c r="Q12" s="26">
        <f>IF(OR(E12="INACTIVE",P12=""),0,MAX(0,P12-O12))</f>
        <v/>
      </c>
      <c r="R12" s="23" t="n"/>
      <c r="S12" s="26">
        <f>IF(OR(E12="INACTIVE",P12=""),0,IF(AO12="DISABLED",0,IF(AO12="FLAT",AR12,IF(AO12="MANUAL",IF(R12="",0,R12*AP12),IF(AO12="STEP",IF(Q12&lt;=AS12,Q12*AT12,IF(Q12&lt;=AU12,AS12*AT12+(Q12-AS12)*AV12,AS12*AT12+(AU12-AS12)*AV12+(Q12-AU12)*AX12)),MAX(Q12*AP12,AQ12))))))</f>
        <v/>
      </c>
      <c r="T12" s="26">
        <f>IF(OR(E12="INACTIVE",P12=""),0,IF(AY12="NONE",0,IF(AY12="FLAT",AZ12,IF(AY12="PER_UNIT",Q12*BA12,IF(AY12="MANUAL",IF(U12="",0,U12),0)))))</f>
        <v/>
      </c>
      <c r="U12" s="23" t="n"/>
      <c r="V12" s="25" t="n"/>
      <c r="W12" s="25" t="n"/>
      <c r="X12" s="26">
        <f>IF(E12="INACTIVE",0,D12+K12+L12+S12+T12+IF(V12="",0,V12)+IF(W12="",0,W12))</f>
        <v/>
      </c>
      <c r="Y12" s="27" t="n"/>
      <c r="Z12" s="28">
        <f>IF(E12="INACTIVE","_",IF(AND(G12&gt;0,H12&gt;0,H12&lt;G12),"[!]น้ำ reset ","")&amp;IF(AND(O12&gt;0,P12&gt;0,P12&lt;O12),"[!]ไฟ reset ","")&amp;IF(AND(F12="MANUAL",J12=""),"[X]units น้ำ ","")&amp;IF(AND(N12="MANUAL",R12=""),"[X]units ไฟ ","")&amp;IF(D12=0,"[!]ค่าเช่า=0",""))</f>
        <v/>
      </c>
      <c r="AA12" s="29">
        <f>IF(C12&lt;&gt;"",C12,CONFIG!$B$6)</f>
        <v/>
      </c>
      <c r="AB12" s="29">
        <f>IF(F12&lt;&gt;"",F12,IFERROR(VLOOKUP(AA12,RULES!$A:$C,3,0),CONFIG!$B$7))</f>
        <v/>
      </c>
      <c r="AC12" s="29">
        <f>IF(IFERROR(VLOOKUP(AA12,RULES!$A:$D,4,0),"")="",CONFIG!$B$10,VLOOKUP(AA12,RULES!$A:$D,4,0))</f>
        <v/>
      </c>
      <c r="AD12" s="29">
        <f>IF(IFERROR(VLOOKUP(AA12,RULES!$A:$E,5,0),"")="",CONFIG!$B$11,VLOOKUP(AA12,RULES!$A:$E,5,0))</f>
        <v/>
      </c>
      <c r="AE12" s="29">
        <f>IFERROR(VLOOKUP(AA12,RULES!$A:$F,6,0)*1,0)</f>
        <v/>
      </c>
      <c r="AF12" s="29">
        <f>IFERROR(VLOOKUP(AA12,RULES!$A:$G,7,0)*1,0)</f>
        <v/>
      </c>
      <c r="AG12" s="29">
        <f>IFERROR(VLOOKUP(AA12,RULES!$A:$H,8,0)*1,0)</f>
        <v/>
      </c>
      <c r="AH12" s="29">
        <f>IFERROR(VLOOKUP(AA12,RULES!$A:$I,9,0)*1,0)</f>
        <v/>
      </c>
      <c r="AI12" s="29">
        <f>IFERROR(VLOOKUP(AA12,RULES!$A:$J,10,0)*1,0)</f>
        <v/>
      </c>
      <c r="AJ12" s="29">
        <f>IFERROR(IF(VLOOKUP(AA12,RULES!$A:$K,11,0)="",999999,VLOOKUP(AA12,RULES!$A:$K,11,0)*1),999999)</f>
        <v/>
      </c>
      <c r="AK12" s="29">
        <f>IFERROR(VLOOKUP(AA12,RULES!$A:$L,12,0)*1,0)</f>
        <v/>
      </c>
      <c r="AL12" s="29">
        <f>IFERROR(VLOOKUP(AA12,RULES!$A:$M,13,0),"NONE")</f>
        <v/>
      </c>
      <c r="AM12" s="29">
        <f>IFERROR(VLOOKUP(AA12,RULES!$A:$N,14,0)*1,0)</f>
        <v/>
      </c>
      <c r="AN12" s="29">
        <f>IFERROR(VLOOKUP(AA12,RULES!$A:$O,15,0)*1,0)</f>
        <v/>
      </c>
      <c r="AO12" s="29">
        <f>IF(N12&lt;&gt;"",N12,IFERROR(VLOOKUP(AA12,RULES!$A:$P,16,0),CONFIG!$B$8))</f>
        <v/>
      </c>
      <c r="AP12" s="29">
        <f>IF(IFERROR(VLOOKUP(AA12,RULES!$A:$Q,17,0),"")="",CONFIG!$B$13,VLOOKUP(AA12,RULES!$A:$Q,17,0))</f>
        <v/>
      </c>
      <c r="AQ12" s="29">
        <f>IF(IFERROR(VLOOKUP(AA12,RULES!$A:$R,18,0),"")="",CONFIG!$B$14,VLOOKUP(AA12,RULES!$A:$R,18,0))</f>
        <v/>
      </c>
      <c r="AR12" s="29">
        <f>IFERROR(VLOOKUP(AA12,RULES!$A:$S,19,0)*1,0)</f>
        <v/>
      </c>
      <c r="AS12" s="29">
        <f>IFERROR(VLOOKUP(AA12,RULES!$A:$T,20,0)*1,0)</f>
        <v/>
      </c>
      <c r="AT12" s="29">
        <f>IFERROR(VLOOKUP(AA12,RULES!$A:$U,21,0)*1,0)</f>
        <v/>
      </c>
      <c r="AU12" s="29">
        <f>IFERROR(VLOOKUP(AA12,RULES!$A:$V,22,0)*1,0)</f>
        <v/>
      </c>
      <c r="AV12" s="29">
        <f>IFERROR(VLOOKUP(AA12,RULES!$A:$W,23,0)*1,0)</f>
        <v/>
      </c>
      <c r="AW12" s="29">
        <f>IFERROR(IF(VLOOKUP(AA12,RULES!$A:$X,24,0)="",999999,VLOOKUP(AA12,RULES!$A:$X,24,0)*1),999999)</f>
        <v/>
      </c>
      <c r="AX12" s="29">
        <f>IFERROR(VLOOKUP(AA12,RULES!$A:$Y,25,0)*1,0)</f>
        <v/>
      </c>
      <c r="AY12" s="29">
        <f>IFERROR(VLOOKUP(AA12,RULES!$A:$Z,26,0),"NONE")</f>
        <v/>
      </c>
      <c r="AZ12" s="29">
        <f>IFERROR(VLOOKUP(AA12,RULES!$A:$AA,27,0)*1,0)</f>
        <v/>
      </c>
      <c r="BA12" s="29">
        <f>IFERROR(VLOOKUP(AA12,RULES!$A:$AB,28,0)*1,0)</f>
        <v/>
      </c>
    </row>
    <row r="13" ht="17" customHeight="1">
      <c r="A13" s="22" t="inlineStr">
        <is>
          <t>3410</t>
        </is>
      </c>
      <c r="B13" s="48" t="inlineStr">
        <is>
          <t>ACC004</t>
        </is>
      </c>
      <c r="C13" s="48" t="inlineStr">
        <is>
          <t>DEFAULT</t>
        </is>
      </c>
      <c r="D13" s="47" t="n"/>
      <c r="E13" s="22">
        <f>IF(OR(D13="",D13=0),"INACTIVE","ACTIVE")</f>
        <v/>
      </c>
      <c r="F13" s="48" t="inlineStr">
        <is>
          <t>NORMAL</t>
        </is>
      </c>
      <c r="G13" s="25" t="n"/>
      <c r="H13" s="25" t="n"/>
      <c r="I13" s="26">
        <f>IF(OR(E13="INACTIVE",H13=""),0,MAX(0,H13-G13))</f>
        <v/>
      </c>
      <c r="J13" s="23" t="n"/>
      <c r="K13" s="26">
        <f>IF(OR(E13="INACTIVE",H13=""),0,IF(AB13="DISABLED",0,IF(AB13="FLAT",AE13,IF(AB13="MANUAL",IF(J13="",0,J13*AC13),IF(AB13="STEP",IF(I13&lt;=AF13,I13*AG13,IF(I13&lt;=AH13,AF13*AG13+(I13-AF13)*AI13,AF13*AG13+(AH13-AF13)*AI13+(I13-AH13)*AK13)),MAX(I13*AC13,AD13))))))</f>
        <v/>
      </c>
      <c r="L13" s="26">
        <f>IF(OR(E13="INACTIVE",H13=""),0,IF(AL13="NONE",0,IF(AL13="FLAT",AM13,IF(AL13="PER_UNIT",I13*AN13,IF(AL13="MANUAL",IF(M13="",0,M13),0)))))</f>
        <v/>
      </c>
      <c r="M13" s="23" t="n"/>
      <c r="N13" s="48" t="inlineStr">
        <is>
          <t>NORMAL</t>
        </is>
      </c>
      <c r="O13" s="25" t="n"/>
      <c r="P13" s="25" t="n"/>
      <c r="Q13" s="26">
        <f>IF(OR(E13="INACTIVE",P13=""),0,MAX(0,P13-O13))</f>
        <v/>
      </c>
      <c r="R13" s="23" t="n"/>
      <c r="S13" s="26">
        <f>IF(OR(E13="INACTIVE",P13=""),0,IF(AO13="DISABLED",0,IF(AO13="FLAT",AR13,IF(AO13="MANUAL",IF(R13="",0,R13*AP13),IF(AO13="STEP",IF(Q13&lt;=AS13,Q13*AT13,IF(Q13&lt;=AU13,AS13*AT13+(Q13-AS13)*AV13,AS13*AT13+(AU13-AS13)*AV13+(Q13-AU13)*AX13)),MAX(Q13*AP13,AQ13))))))</f>
        <v/>
      </c>
      <c r="T13" s="26">
        <f>IF(OR(E13="INACTIVE",P13=""),0,IF(AY13="NONE",0,IF(AY13="FLAT",AZ13,IF(AY13="PER_UNIT",Q13*BA13,IF(AY13="MANUAL",IF(U13="",0,U13),0)))))</f>
        <v/>
      </c>
      <c r="U13" s="23" t="n"/>
      <c r="V13" s="25" t="n"/>
      <c r="W13" s="25" t="n"/>
      <c r="X13" s="26">
        <f>IF(E13="INACTIVE",0,D13+K13+L13+S13+T13+IF(V13="",0,V13)+IF(W13="",0,W13))</f>
        <v/>
      </c>
      <c r="Y13" s="27" t="n"/>
      <c r="Z13" s="28">
        <f>IF(E13="INACTIVE","_",IF(AND(G13&gt;0,H13&gt;0,H13&lt;G13),"[!]น้ำ reset ","")&amp;IF(AND(O13&gt;0,P13&gt;0,P13&lt;O13),"[!]ไฟ reset ","")&amp;IF(AND(F13="MANUAL",J13=""),"[X]units น้ำ ","")&amp;IF(AND(N13="MANUAL",R13=""),"[X]units ไฟ ","")&amp;IF(D13=0,"[!]ค่าเช่า=0",""))</f>
        <v/>
      </c>
      <c r="AA13" s="29">
        <f>IF(C13&lt;&gt;"",C13,CONFIG!$B$6)</f>
        <v/>
      </c>
      <c r="AB13" s="29">
        <f>IF(F13&lt;&gt;"",F13,IFERROR(VLOOKUP(AA13,RULES!$A:$C,3,0),CONFIG!$B$7))</f>
        <v/>
      </c>
      <c r="AC13" s="29">
        <f>IF(IFERROR(VLOOKUP(AA13,RULES!$A:$D,4,0),"")="",CONFIG!$B$10,VLOOKUP(AA13,RULES!$A:$D,4,0))</f>
        <v/>
      </c>
      <c r="AD13" s="29">
        <f>IF(IFERROR(VLOOKUP(AA13,RULES!$A:$E,5,0),"")="",CONFIG!$B$11,VLOOKUP(AA13,RULES!$A:$E,5,0))</f>
        <v/>
      </c>
      <c r="AE13" s="29">
        <f>IFERROR(VLOOKUP(AA13,RULES!$A:$F,6,0)*1,0)</f>
        <v/>
      </c>
      <c r="AF13" s="29">
        <f>IFERROR(VLOOKUP(AA13,RULES!$A:$G,7,0)*1,0)</f>
        <v/>
      </c>
      <c r="AG13" s="29">
        <f>IFERROR(VLOOKUP(AA13,RULES!$A:$H,8,0)*1,0)</f>
        <v/>
      </c>
      <c r="AH13" s="29">
        <f>IFERROR(VLOOKUP(AA13,RULES!$A:$I,9,0)*1,0)</f>
        <v/>
      </c>
      <c r="AI13" s="29">
        <f>IFERROR(VLOOKUP(AA13,RULES!$A:$J,10,0)*1,0)</f>
        <v/>
      </c>
      <c r="AJ13" s="29">
        <f>IFERROR(IF(VLOOKUP(AA13,RULES!$A:$K,11,0)="",999999,VLOOKUP(AA13,RULES!$A:$K,11,0)*1),999999)</f>
        <v/>
      </c>
      <c r="AK13" s="29">
        <f>IFERROR(VLOOKUP(AA13,RULES!$A:$L,12,0)*1,0)</f>
        <v/>
      </c>
      <c r="AL13" s="29">
        <f>IFERROR(VLOOKUP(AA13,RULES!$A:$M,13,0),"NONE")</f>
        <v/>
      </c>
      <c r="AM13" s="29">
        <f>IFERROR(VLOOKUP(AA13,RULES!$A:$N,14,0)*1,0)</f>
        <v/>
      </c>
      <c r="AN13" s="29">
        <f>IFERROR(VLOOKUP(AA13,RULES!$A:$O,15,0)*1,0)</f>
        <v/>
      </c>
      <c r="AO13" s="29">
        <f>IF(N13&lt;&gt;"",N13,IFERROR(VLOOKUP(AA13,RULES!$A:$P,16,0),CONFIG!$B$8))</f>
        <v/>
      </c>
      <c r="AP13" s="29">
        <f>IF(IFERROR(VLOOKUP(AA13,RULES!$A:$Q,17,0),"")="",CONFIG!$B$13,VLOOKUP(AA13,RULES!$A:$Q,17,0))</f>
        <v/>
      </c>
      <c r="AQ13" s="29">
        <f>IF(IFERROR(VLOOKUP(AA13,RULES!$A:$R,18,0),"")="",CONFIG!$B$14,VLOOKUP(AA13,RULES!$A:$R,18,0))</f>
        <v/>
      </c>
      <c r="AR13" s="29">
        <f>IFERROR(VLOOKUP(AA13,RULES!$A:$S,19,0)*1,0)</f>
        <v/>
      </c>
      <c r="AS13" s="29">
        <f>IFERROR(VLOOKUP(AA13,RULES!$A:$T,20,0)*1,0)</f>
        <v/>
      </c>
      <c r="AT13" s="29">
        <f>IFERROR(VLOOKUP(AA13,RULES!$A:$U,21,0)*1,0)</f>
        <v/>
      </c>
      <c r="AU13" s="29">
        <f>IFERROR(VLOOKUP(AA13,RULES!$A:$V,22,0)*1,0)</f>
        <v/>
      </c>
      <c r="AV13" s="29">
        <f>IFERROR(VLOOKUP(AA13,RULES!$A:$W,23,0)*1,0)</f>
        <v/>
      </c>
      <c r="AW13" s="29">
        <f>IFERROR(IF(VLOOKUP(AA13,RULES!$A:$X,24,0)="",999999,VLOOKUP(AA13,RULES!$A:$X,24,0)*1),999999)</f>
        <v/>
      </c>
      <c r="AX13" s="29">
        <f>IFERROR(VLOOKUP(AA13,RULES!$A:$Y,25,0)*1,0)</f>
        <v/>
      </c>
      <c r="AY13" s="29">
        <f>IFERROR(VLOOKUP(AA13,RULES!$A:$Z,26,0),"NONE")</f>
        <v/>
      </c>
      <c r="AZ13" s="29">
        <f>IFERROR(VLOOKUP(AA13,RULES!$A:$AA,27,0)*1,0)</f>
        <v/>
      </c>
      <c r="BA13" s="29">
        <f>IFERROR(VLOOKUP(AA13,RULES!$A:$AB,28,0)*1,0)</f>
        <v/>
      </c>
    </row>
    <row r="14" ht="17" customHeight="1">
      <c r="A14" s="22" t="inlineStr">
        <is>
          <t>3411</t>
        </is>
      </c>
      <c r="B14" s="48" t="inlineStr">
        <is>
          <t>ACC004</t>
        </is>
      </c>
      <c r="C14" s="48" t="inlineStr">
        <is>
          <t>DEFAULT</t>
        </is>
      </c>
      <c r="D14" s="47" t="n"/>
      <c r="E14" s="22">
        <f>IF(OR(D14="",D14=0),"INACTIVE","ACTIVE")</f>
        <v/>
      </c>
      <c r="F14" s="48" t="inlineStr">
        <is>
          <t>NORMAL</t>
        </is>
      </c>
      <c r="G14" s="25" t="n"/>
      <c r="H14" s="25" t="n"/>
      <c r="I14" s="26">
        <f>IF(OR(E14="INACTIVE",H14=""),0,MAX(0,H14-G14))</f>
        <v/>
      </c>
      <c r="J14" s="23" t="n"/>
      <c r="K14" s="26">
        <f>IF(OR(E14="INACTIVE",H14=""),0,IF(AB14="DISABLED",0,IF(AB14="FLAT",AE14,IF(AB14="MANUAL",IF(J14="",0,J14*AC14),IF(AB14="STEP",IF(I14&lt;=AF14,I14*AG14,IF(I14&lt;=AH14,AF14*AG14+(I14-AF14)*AI14,AF14*AG14+(AH14-AF14)*AI14+(I14-AH14)*AK14)),MAX(I14*AC14,AD14))))))</f>
        <v/>
      </c>
      <c r="L14" s="26">
        <f>IF(OR(E14="INACTIVE",H14=""),0,IF(AL14="NONE",0,IF(AL14="FLAT",AM14,IF(AL14="PER_UNIT",I14*AN14,IF(AL14="MANUAL",IF(M14="",0,M14),0)))))</f>
        <v/>
      </c>
      <c r="M14" s="23" t="n"/>
      <c r="N14" s="48" t="inlineStr">
        <is>
          <t>NORMAL</t>
        </is>
      </c>
      <c r="O14" s="25" t="n"/>
      <c r="P14" s="25" t="n"/>
      <c r="Q14" s="26">
        <f>IF(OR(E14="INACTIVE",P14=""),0,MAX(0,P14-O14))</f>
        <v/>
      </c>
      <c r="R14" s="23" t="n"/>
      <c r="S14" s="26">
        <f>IF(OR(E14="INACTIVE",P14=""),0,IF(AO14="DISABLED",0,IF(AO14="FLAT",AR14,IF(AO14="MANUAL",IF(R14="",0,R14*AP14),IF(AO14="STEP",IF(Q14&lt;=AS14,Q14*AT14,IF(Q14&lt;=AU14,AS14*AT14+(Q14-AS14)*AV14,AS14*AT14+(AU14-AS14)*AV14+(Q14-AU14)*AX14)),MAX(Q14*AP14,AQ14))))))</f>
        <v/>
      </c>
      <c r="T14" s="26">
        <f>IF(OR(E14="INACTIVE",P14=""),0,IF(AY14="NONE",0,IF(AY14="FLAT",AZ14,IF(AY14="PER_UNIT",Q14*BA14,IF(AY14="MANUAL",IF(U14="",0,U14),0)))))</f>
        <v/>
      </c>
      <c r="U14" s="23" t="n"/>
      <c r="V14" s="25" t="n"/>
      <c r="W14" s="25" t="n"/>
      <c r="X14" s="26">
        <f>IF(E14="INACTIVE",0,D14+K14+L14+S14+T14+IF(V14="",0,V14)+IF(W14="",0,W14))</f>
        <v/>
      </c>
      <c r="Y14" s="27" t="n"/>
      <c r="Z14" s="28">
        <f>IF(E14="INACTIVE","_",IF(AND(G14&gt;0,H14&gt;0,H14&lt;G14),"[!]น้ำ reset ","")&amp;IF(AND(O14&gt;0,P14&gt;0,P14&lt;O14),"[!]ไฟ reset ","")&amp;IF(AND(F14="MANUAL",J14=""),"[X]units น้ำ ","")&amp;IF(AND(N14="MANUAL",R14=""),"[X]units ไฟ ","")&amp;IF(D14=0,"[!]ค่าเช่า=0",""))</f>
        <v/>
      </c>
      <c r="AA14" s="29">
        <f>IF(C14&lt;&gt;"",C14,CONFIG!$B$6)</f>
        <v/>
      </c>
      <c r="AB14" s="29">
        <f>IF(F14&lt;&gt;"",F14,IFERROR(VLOOKUP(AA14,RULES!$A:$C,3,0),CONFIG!$B$7))</f>
        <v/>
      </c>
      <c r="AC14" s="29">
        <f>IF(IFERROR(VLOOKUP(AA14,RULES!$A:$D,4,0),"")="",CONFIG!$B$10,VLOOKUP(AA14,RULES!$A:$D,4,0))</f>
        <v/>
      </c>
      <c r="AD14" s="29">
        <f>IF(IFERROR(VLOOKUP(AA14,RULES!$A:$E,5,0),"")="",CONFIG!$B$11,VLOOKUP(AA14,RULES!$A:$E,5,0))</f>
        <v/>
      </c>
      <c r="AE14" s="29">
        <f>IFERROR(VLOOKUP(AA14,RULES!$A:$F,6,0)*1,0)</f>
        <v/>
      </c>
      <c r="AF14" s="29">
        <f>IFERROR(VLOOKUP(AA14,RULES!$A:$G,7,0)*1,0)</f>
        <v/>
      </c>
      <c r="AG14" s="29">
        <f>IFERROR(VLOOKUP(AA14,RULES!$A:$H,8,0)*1,0)</f>
        <v/>
      </c>
      <c r="AH14" s="29">
        <f>IFERROR(VLOOKUP(AA14,RULES!$A:$I,9,0)*1,0)</f>
        <v/>
      </c>
      <c r="AI14" s="29">
        <f>IFERROR(VLOOKUP(AA14,RULES!$A:$J,10,0)*1,0)</f>
        <v/>
      </c>
      <c r="AJ14" s="29">
        <f>IFERROR(IF(VLOOKUP(AA14,RULES!$A:$K,11,0)="",999999,VLOOKUP(AA14,RULES!$A:$K,11,0)*1),999999)</f>
        <v/>
      </c>
      <c r="AK14" s="29">
        <f>IFERROR(VLOOKUP(AA14,RULES!$A:$L,12,0)*1,0)</f>
        <v/>
      </c>
      <c r="AL14" s="29">
        <f>IFERROR(VLOOKUP(AA14,RULES!$A:$M,13,0),"NONE")</f>
        <v/>
      </c>
      <c r="AM14" s="29">
        <f>IFERROR(VLOOKUP(AA14,RULES!$A:$N,14,0)*1,0)</f>
        <v/>
      </c>
      <c r="AN14" s="29">
        <f>IFERROR(VLOOKUP(AA14,RULES!$A:$O,15,0)*1,0)</f>
        <v/>
      </c>
      <c r="AO14" s="29">
        <f>IF(N14&lt;&gt;"",N14,IFERROR(VLOOKUP(AA14,RULES!$A:$P,16,0),CONFIG!$B$8))</f>
        <v/>
      </c>
      <c r="AP14" s="29">
        <f>IF(IFERROR(VLOOKUP(AA14,RULES!$A:$Q,17,0),"")="",CONFIG!$B$13,VLOOKUP(AA14,RULES!$A:$Q,17,0))</f>
        <v/>
      </c>
      <c r="AQ14" s="29">
        <f>IF(IFERROR(VLOOKUP(AA14,RULES!$A:$R,18,0),"")="",CONFIG!$B$14,VLOOKUP(AA14,RULES!$A:$R,18,0))</f>
        <v/>
      </c>
      <c r="AR14" s="29">
        <f>IFERROR(VLOOKUP(AA14,RULES!$A:$S,19,0)*1,0)</f>
        <v/>
      </c>
      <c r="AS14" s="29">
        <f>IFERROR(VLOOKUP(AA14,RULES!$A:$T,20,0)*1,0)</f>
        <v/>
      </c>
      <c r="AT14" s="29">
        <f>IFERROR(VLOOKUP(AA14,RULES!$A:$U,21,0)*1,0)</f>
        <v/>
      </c>
      <c r="AU14" s="29">
        <f>IFERROR(VLOOKUP(AA14,RULES!$A:$V,22,0)*1,0)</f>
        <v/>
      </c>
      <c r="AV14" s="29">
        <f>IFERROR(VLOOKUP(AA14,RULES!$A:$W,23,0)*1,0)</f>
        <v/>
      </c>
      <c r="AW14" s="29">
        <f>IFERROR(IF(VLOOKUP(AA14,RULES!$A:$X,24,0)="",999999,VLOOKUP(AA14,RULES!$A:$X,24,0)*1),999999)</f>
        <v/>
      </c>
      <c r="AX14" s="29">
        <f>IFERROR(VLOOKUP(AA14,RULES!$A:$Y,25,0)*1,0)</f>
        <v/>
      </c>
      <c r="AY14" s="29">
        <f>IFERROR(VLOOKUP(AA14,RULES!$A:$Z,26,0),"NONE")</f>
        <v/>
      </c>
      <c r="AZ14" s="29">
        <f>IFERROR(VLOOKUP(AA14,RULES!$A:$AA,27,0)*1,0)</f>
        <v/>
      </c>
      <c r="BA14" s="29">
        <f>IFERROR(VLOOKUP(AA14,RULES!$A:$AB,28,0)*1,0)</f>
        <v/>
      </c>
    </row>
    <row r="15" ht="17" customHeight="1">
      <c r="A15" s="22" t="inlineStr">
        <is>
          <t>3412</t>
        </is>
      </c>
      <c r="B15" s="48" t="inlineStr">
        <is>
          <t>ACC004</t>
        </is>
      </c>
      <c r="C15" s="48" t="inlineStr">
        <is>
          <t>DEFAULT</t>
        </is>
      </c>
      <c r="D15" s="47" t="n"/>
      <c r="E15" s="22">
        <f>IF(OR(D15="",D15=0),"INACTIVE","ACTIVE")</f>
        <v/>
      </c>
      <c r="F15" s="48" t="inlineStr">
        <is>
          <t>NORMAL</t>
        </is>
      </c>
      <c r="G15" s="25" t="n"/>
      <c r="H15" s="25" t="n"/>
      <c r="I15" s="26">
        <f>IF(OR(E15="INACTIVE",H15=""),0,MAX(0,H15-G15))</f>
        <v/>
      </c>
      <c r="J15" s="23" t="n"/>
      <c r="K15" s="26">
        <f>IF(OR(E15="INACTIVE",H15=""),0,IF(AB15="DISABLED",0,IF(AB15="FLAT",AE15,IF(AB15="MANUAL",IF(J15="",0,J15*AC15),IF(AB15="STEP",IF(I15&lt;=AF15,I15*AG15,IF(I15&lt;=AH15,AF15*AG15+(I15-AF15)*AI15,AF15*AG15+(AH15-AF15)*AI15+(I15-AH15)*AK15)),MAX(I15*AC15,AD15))))))</f>
        <v/>
      </c>
      <c r="L15" s="26">
        <f>IF(OR(E15="INACTIVE",H15=""),0,IF(AL15="NONE",0,IF(AL15="FLAT",AM15,IF(AL15="PER_UNIT",I15*AN15,IF(AL15="MANUAL",IF(M15="",0,M15),0)))))</f>
        <v/>
      </c>
      <c r="M15" s="23" t="n"/>
      <c r="N15" s="48" t="inlineStr">
        <is>
          <t>NORMAL</t>
        </is>
      </c>
      <c r="O15" s="25" t="n"/>
      <c r="P15" s="25" t="n"/>
      <c r="Q15" s="26">
        <f>IF(OR(E15="INACTIVE",P15=""),0,MAX(0,P15-O15))</f>
        <v/>
      </c>
      <c r="R15" s="23" t="n"/>
      <c r="S15" s="26">
        <f>IF(OR(E15="INACTIVE",P15=""),0,IF(AO15="DISABLED",0,IF(AO15="FLAT",AR15,IF(AO15="MANUAL",IF(R15="",0,R15*AP15),IF(AO15="STEP",IF(Q15&lt;=AS15,Q15*AT15,IF(Q15&lt;=AU15,AS15*AT15+(Q15-AS15)*AV15,AS15*AT15+(AU15-AS15)*AV15+(Q15-AU15)*AX15)),MAX(Q15*AP15,AQ15))))))</f>
        <v/>
      </c>
      <c r="T15" s="26">
        <f>IF(OR(E15="INACTIVE",P15=""),0,IF(AY15="NONE",0,IF(AY15="FLAT",AZ15,IF(AY15="PER_UNIT",Q15*BA15,IF(AY15="MANUAL",IF(U15="",0,U15),0)))))</f>
        <v/>
      </c>
      <c r="U15" s="23" t="n"/>
      <c r="V15" s="25" t="n"/>
      <c r="W15" s="25" t="n"/>
      <c r="X15" s="26">
        <f>IF(E15="INACTIVE",0,D15+K15+L15+S15+T15+IF(V15="",0,V15)+IF(W15="",0,W15))</f>
        <v/>
      </c>
      <c r="Y15" s="27" t="n"/>
      <c r="Z15" s="28">
        <f>IF(E15="INACTIVE","_",IF(AND(G15&gt;0,H15&gt;0,H15&lt;G15),"[!]น้ำ reset ","")&amp;IF(AND(O15&gt;0,P15&gt;0,P15&lt;O15),"[!]ไฟ reset ","")&amp;IF(AND(F15="MANUAL",J15=""),"[X]units น้ำ ","")&amp;IF(AND(N15="MANUAL",R15=""),"[X]units ไฟ ","")&amp;IF(D15=0,"[!]ค่าเช่า=0",""))</f>
        <v/>
      </c>
      <c r="AA15" s="29">
        <f>IF(C15&lt;&gt;"",C15,CONFIG!$B$6)</f>
        <v/>
      </c>
      <c r="AB15" s="29">
        <f>IF(F15&lt;&gt;"",F15,IFERROR(VLOOKUP(AA15,RULES!$A:$C,3,0),CONFIG!$B$7))</f>
        <v/>
      </c>
      <c r="AC15" s="29">
        <f>IF(IFERROR(VLOOKUP(AA15,RULES!$A:$D,4,0),"")="",CONFIG!$B$10,VLOOKUP(AA15,RULES!$A:$D,4,0))</f>
        <v/>
      </c>
      <c r="AD15" s="29">
        <f>IF(IFERROR(VLOOKUP(AA15,RULES!$A:$E,5,0),"")="",CONFIG!$B$11,VLOOKUP(AA15,RULES!$A:$E,5,0))</f>
        <v/>
      </c>
      <c r="AE15" s="29">
        <f>IFERROR(VLOOKUP(AA15,RULES!$A:$F,6,0)*1,0)</f>
        <v/>
      </c>
      <c r="AF15" s="29">
        <f>IFERROR(VLOOKUP(AA15,RULES!$A:$G,7,0)*1,0)</f>
        <v/>
      </c>
      <c r="AG15" s="29">
        <f>IFERROR(VLOOKUP(AA15,RULES!$A:$H,8,0)*1,0)</f>
        <v/>
      </c>
      <c r="AH15" s="29">
        <f>IFERROR(VLOOKUP(AA15,RULES!$A:$I,9,0)*1,0)</f>
        <v/>
      </c>
      <c r="AI15" s="29">
        <f>IFERROR(VLOOKUP(AA15,RULES!$A:$J,10,0)*1,0)</f>
        <v/>
      </c>
      <c r="AJ15" s="29">
        <f>IFERROR(IF(VLOOKUP(AA15,RULES!$A:$K,11,0)="",999999,VLOOKUP(AA15,RULES!$A:$K,11,0)*1),999999)</f>
        <v/>
      </c>
      <c r="AK15" s="29">
        <f>IFERROR(VLOOKUP(AA15,RULES!$A:$L,12,0)*1,0)</f>
        <v/>
      </c>
      <c r="AL15" s="29">
        <f>IFERROR(VLOOKUP(AA15,RULES!$A:$M,13,0),"NONE")</f>
        <v/>
      </c>
      <c r="AM15" s="29">
        <f>IFERROR(VLOOKUP(AA15,RULES!$A:$N,14,0)*1,0)</f>
        <v/>
      </c>
      <c r="AN15" s="29">
        <f>IFERROR(VLOOKUP(AA15,RULES!$A:$O,15,0)*1,0)</f>
        <v/>
      </c>
      <c r="AO15" s="29">
        <f>IF(N15&lt;&gt;"",N15,IFERROR(VLOOKUP(AA15,RULES!$A:$P,16,0),CONFIG!$B$8))</f>
        <v/>
      </c>
      <c r="AP15" s="29">
        <f>IF(IFERROR(VLOOKUP(AA15,RULES!$A:$Q,17,0),"")="",CONFIG!$B$13,VLOOKUP(AA15,RULES!$A:$Q,17,0))</f>
        <v/>
      </c>
      <c r="AQ15" s="29">
        <f>IF(IFERROR(VLOOKUP(AA15,RULES!$A:$R,18,0),"")="",CONFIG!$B$14,VLOOKUP(AA15,RULES!$A:$R,18,0))</f>
        <v/>
      </c>
      <c r="AR15" s="29">
        <f>IFERROR(VLOOKUP(AA15,RULES!$A:$S,19,0)*1,0)</f>
        <v/>
      </c>
      <c r="AS15" s="29">
        <f>IFERROR(VLOOKUP(AA15,RULES!$A:$T,20,0)*1,0)</f>
        <v/>
      </c>
      <c r="AT15" s="29">
        <f>IFERROR(VLOOKUP(AA15,RULES!$A:$U,21,0)*1,0)</f>
        <v/>
      </c>
      <c r="AU15" s="29">
        <f>IFERROR(VLOOKUP(AA15,RULES!$A:$V,22,0)*1,0)</f>
        <v/>
      </c>
      <c r="AV15" s="29">
        <f>IFERROR(VLOOKUP(AA15,RULES!$A:$W,23,0)*1,0)</f>
        <v/>
      </c>
      <c r="AW15" s="29">
        <f>IFERROR(IF(VLOOKUP(AA15,RULES!$A:$X,24,0)="",999999,VLOOKUP(AA15,RULES!$A:$X,24,0)*1),999999)</f>
        <v/>
      </c>
      <c r="AX15" s="29">
        <f>IFERROR(VLOOKUP(AA15,RULES!$A:$Y,25,0)*1,0)</f>
        <v/>
      </c>
      <c r="AY15" s="29">
        <f>IFERROR(VLOOKUP(AA15,RULES!$A:$Z,26,0),"NONE")</f>
        <v/>
      </c>
      <c r="AZ15" s="29">
        <f>IFERROR(VLOOKUP(AA15,RULES!$A:$AA,27,0)*1,0)</f>
        <v/>
      </c>
      <c r="BA15" s="29">
        <f>IFERROR(VLOOKUP(AA15,RULES!$A:$AB,28,0)*1,0)</f>
        <v/>
      </c>
    </row>
    <row r="16" ht="17" customHeight="1">
      <c r="A16" s="22" t="inlineStr">
        <is>
          <t>3413</t>
        </is>
      </c>
      <c r="B16" s="48" t="inlineStr">
        <is>
          <t>ACC004</t>
        </is>
      </c>
      <c r="C16" s="48" t="inlineStr">
        <is>
          <t>DEFAULT</t>
        </is>
      </c>
      <c r="D16" s="47" t="n"/>
      <c r="E16" s="22">
        <f>IF(OR(D16="",D16=0),"INACTIVE","ACTIVE")</f>
        <v/>
      </c>
      <c r="F16" s="48" t="inlineStr">
        <is>
          <t>NORMAL</t>
        </is>
      </c>
      <c r="G16" s="25" t="n"/>
      <c r="H16" s="25" t="n"/>
      <c r="I16" s="26">
        <f>IF(OR(E16="INACTIVE",H16=""),0,MAX(0,H16-G16))</f>
        <v/>
      </c>
      <c r="J16" s="23" t="n"/>
      <c r="K16" s="26">
        <f>IF(OR(E16="INACTIVE",H16=""),0,IF(AB16="DISABLED",0,IF(AB16="FLAT",AE16,IF(AB16="MANUAL",IF(J16="",0,J16*AC16),IF(AB16="STEP",IF(I16&lt;=AF16,I16*AG16,IF(I16&lt;=AH16,AF16*AG16+(I16-AF16)*AI16,AF16*AG16+(AH16-AF16)*AI16+(I16-AH16)*AK16)),MAX(I16*AC16,AD16))))))</f>
        <v/>
      </c>
      <c r="L16" s="26">
        <f>IF(OR(E16="INACTIVE",H16=""),0,IF(AL16="NONE",0,IF(AL16="FLAT",AM16,IF(AL16="PER_UNIT",I16*AN16,IF(AL16="MANUAL",IF(M16="",0,M16),0)))))</f>
        <v/>
      </c>
      <c r="M16" s="23" t="n"/>
      <c r="N16" s="48" t="inlineStr">
        <is>
          <t>NORMAL</t>
        </is>
      </c>
      <c r="O16" s="25" t="n"/>
      <c r="P16" s="25" t="n"/>
      <c r="Q16" s="26">
        <f>IF(OR(E16="INACTIVE",P16=""),0,MAX(0,P16-O16))</f>
        <v/>
      </c>
      <c r="R16" s="23" t="n"/>
      <c r="S16" s="26">
        <f>IF(OR(E16="INACTIVE",P16=""),0,IF(AO16="DISABLED",0,IF(AO16="FLAT",AR16,IF(AO16="MANUAL",IF(R16="",0,R16*AP16),IF(AO16="STEP",IF(Q16&lt;=AS16,Q16*AT16,IF(Q16&lt;=AU16,AS16*AT16+(Q16-AS16)*AV16,AS16*AT16+(AU16-AS16)*AV16+(Q16-AU16)*AX16)),MAX(Q16*AP16,AQ16))))))</f>
        <v/>
      </c>
      <c r="T16" s="26">
        <f>IF(OR(E16="INACTIVE",P16=""),0,IF(AY16="NONE",0,IF(AY16="FLAT",AZ16,IF(AY16="PER_UNIT",Q16*BA16,IF(AY16="MANUAL",IF(U16="",0,U16),0)))))</f>
        <v/>
      </c>
      <c r="U16" s="23" t="n"/>
      <c r="V16" s="25" t="n"/>
      <c r="W16" s="25" t="n"/>
      <c r="X16" s="26">
        <f>IF(E16="INACTIVE",0,D16+K16+L16+S16+T16+IF(V16="",0,V16)+IF(W16="",0,W16))</f>
        <v/>
      </c>
      <c r="Y16" s="27" t="n"/>
      <c r="Z16" s="28">
        <f>IF(E16="INACTIVE","_",IF(AND(G16&gt;0,H16&gt;0,H16&lt;G16),"[!]น้ำ reset ","")&amp;IF(AND(O16&gt;0,P16&gt;0,P16&lt;O16),"[!]ไฟ reset ","")&amp;IF(AND(F16="MANUAL",J16=""),"[X]units น้ำ ","")&amp;IF(AND(N16="MANUAL",R16=""),"[X]units ไฟ ","")&amp;IF(D16=0,"[!]ค่าเช่า=0",""))</f>
        <v/>
      </c>
      <c r="AA16" s="29">
        <f>IF(C16&lt;&gt;"",C16,CONFIG!$B$6)</f>
        <v/>
      </c>
      <c r="AB16" s="29">
        <f>IF(F16&lt;&gt;"",F16,IFERROR(VLOOKUP(AA16,RULES!$A:$C,3,0),CONFIG!$B$7))</f>
        <v/>
      </c>
      <c r="AC16" s="29">
        <f>IF(IFERROR(VLOOKUP(AA16,RULES!$A:$D,4,0),"")="",CONFIG!$B$10,VLOOKUP(AA16,RULES!$A:$D,4,0))</f>
        <v/>
      </c>
      <c r="AD16" s="29">
        <f>IF(IFERROR(VLOOKUP(AA16,RULES!$A:$E,5,0),"")="",CONFIG!$B$11,VLOOKUP(AA16,RULES!$A:$E,5,0))</f>
        <v/>
      </c>
      <c r="AE16" s="29">
        <f>IFERROR(VLOOKUP(AA16,RULES!$A:$F,6,0)*1,0)</f>
        <v/>
      </c>
      <c r="AF16" s="29">
        <f>IFERROR(VLOOKUP(AA16,RULES!$A:$G,7,0)*1,0)</f>
        <v/>
      </c>
      <c r="AG16" s="29">
        <f>IFERROR(VLOOKUP(AA16,RULES!$A:$H,8,0)*1,0)</f>
        <v/>
      </c>
      <c r="AH16" s="29">
        <f>IFERROR(VLOOKUP(AA16,RULES!$A:$I,9,0)*1,0)</f>
        <v/>
      </c>
      <c r="AI16" s="29">
        <f>IFERROR(VLOOKUP(AA16,RULES!$A:$J,10,0)*1,0)</f>
        <v/>
      </c>
      <c r="AJ16" s="29">
        <f>IFERROR(IF(VLOOKUP(AA16,RULES!$A:$K,11,0)="",999999,VLOOKUP(AA16,RULES!$A:$K,11,0)*1),999999)</f>
        <v/>
      </c>
      <c r="AK16" s="29">
        <f>IFERROR(VLOOKUP(AA16,RULES!$A:$L,12,0)*1,0)</f>
        <v/>
      </c>
      <c r="AL16" s="29">
        <f>IFERROR(VLOOKUP(AA16,RULES!$A:$M,13,0),"NONE")</f>
        <v/>
      </c>
      <c r="AM16" s="29">
        <f>IFERROR(VLOOKUP(AA16,RULES!$A:$N,14,0)*1,0)</f>
        <v/>
      </c>
      <c r="AN16" s="29">
        <f>IFERROR(VLOOKUP(AA16,RULES!$A:$O,15,0)*1,0)</f>
        <v/>
      </c>
      <c r="AO16" s="29">
        <f>IF(N16&lt;&gt;"",N16,IFERROR(VLOOKUP(AA16,RULES!$A:$P,16,0),CONFIG!$B$8))</f>
        <v/>
      </c>
      <c r="AP16" s="29">
        <f>IF(IFERROR(VLOOKUP(AA16,RULES!$A:$Q,17,0),"")="",CONFIG!$B$13,VLOOKUP(AA16,RULES!$A:$Q,17,0))</f>
        <v/>
      </c>
      <c r="AQ16" s="29">
        <f>IF(IFERROR(VLOOKUP(AA16,RULES!$A:$R,18,0),"")="",CONFIG!$B$14,VLOOKUP(AA16,RULES!$A:$R,18,0))</f>
        <v/>
      </c>
      <c r="AR16" s="29">
        <f>IFERROR(VLOOKUP(AA16,RULES!$A:$S,19,0)*1,0)</f>
        <v/>
      </c>
      <c r="AS16" s="29">
        <f>IFERROR(VLOOKUP(AA16,RULES!$A:$T,20,0)*1,0)</f>
        <v/>
      </c>
      <c r="AT16" s="29">
        <f>IFERROR(VLOOKUP(AA16,RULES!$A:$U,21,0)*1,0)</f>
        <v/>
      </c>
      <c r="AU16" s="29">
        <f>IFERROR(VLOOKUP(AA16,RULES!$A:$V,22,0)*1,0)</f>
        <v/>
      </c>
      <c r="AV16" s="29">
        <f>IFERROR(VLOOKUP(AA16,RULES!$A:$W,23,0)*1,0)</f>
        <v/>
      </c>
      <c r="AW16" s="29">
        <f>IFERROR(IF(VLOOKUP(AA16,RULES!$A:$X,24,0)="",999999,VLOOKUP(AA16,RULES!$A:$X,24,0)*1),999999)</f>
        <v/>
      </c>
      <c r="AX16" s="29">
        <f>IFERROR(VLOOKUP(AA16,RULES!$A:$Y,25,0)*1,0)</f>
        <v/>
      </c>
      <c r="AY16" s="29">
        <f>IFERROR(VLOOKUP(AA16,RULES!$A:$Z,26,0),"NONE")</f>
        <v/>
      </c>
      <c r="AZ16" s="29">
        <f>IFERROR(VLOOKUP(AA16,RULES!$A:$AA,27,0)*1,0)</f>
        <v/>
      </c>
      <c r="BA16" s="29">
        <f>IFERROR(VLOOKUP(AA16,RULES!$A:$AB,28,0)*1,0)</f>
        <v/>
      </c>
    </row>
    <row r="17" ht="17" customHeight="1">
      <c r="A17" s="22" t="inlineStr">
        <is>
          <t>3414</t>
        </is>
      </c>
      <c r="B17" s="48" t="inlineStr">
        <is>
          <t>ACC004</t>
        </is>
      </c>
      <c r="C17" s="48" t="inlineStr">
        <is>
          <t>DEFAULT</t>
        </is>
      </c>
      <c r="D17" s="47" t="n"/>
      <c r="E17" s="22">
        <f>IF(OR(D17="",D17=0),"INACTIVE","ACTIVE")</f>
        <v/>
      </c>
      <c r="F17" s="48" t="inlineStr">
        <is>
          <t>NORMAL</t>
        </is>
      </c>
      <c r="G17" s="25" t="n"/>
      <c r="H17" s="25" t="n"/>
      <c r="I17" s="26">
        <f>IF(OR(E17="INACTIVE",H17=""),0,MAX(0,H17-G17))</f>
        <v/>
      </c>
      <c r="J17" s="23" t="n"/>
      <c r="K17" s="26">
        <f>IF(OR(E17="INACTIVE",H17=""),0,IF(AB17="DISABLED",0,IF(AB17="FLAT",AE17,IF(AB17="MANUAL",IF(J17="",0,J17*AC17),IF(AB17="STEP",IF(I17&lt;=AF17,I17*AG17,IF(I17&lt;=AH17,AF17*AG17+(I17-AF17)*AI17,AF17*AG17+(AH17-AF17)*AI17+(I17-AH17)*AK17)),MAX(I17*AC17,AD17))))))</f>
        <v/>
      </c>
      <c r="L17" s="26">
        <f>IF(OR(E17="INACTIVE",H17=""),0,IF(AL17="NONE",0,IF(AL17="FLAT",AM17,IF(AL17="PER_UNIT",I17*AN17,IF(AL17="MANUAL",IF(M17="",0,M17),0)))))</f>
        <v/>
      </c>
      <c r="M17" s="23" t="n"/>
      <c r="N17" s="48" t="inlineStr">
        <is>
          <t>NORMAL</t>
        </is>
      </c>
      <c r="O17" s="25" t="n"/>
      <c r="P17" s="25" t="n"/>
      <c r="Q17" s="26">
        <f>IF(OR(E17="INACTIVE",P17=""),0,MAX(0,P17-O17))</f>
        <v/>
      </c>
      <c r="R17" s="23" t="n"/>
      <c r="S17" s="26">
        <f>IF(OR(E17="INACTIVE",P17=""),0,IF(AO17="DISABLED",0,IF(AO17="FLAT",AR17,IF(AO17="MANUAL",IF(R17="",0,R17*AP17),IF(AO17="STEP",IF(Q17&lt;=AS17,Q17*AT17,IF(Q17&lt;=AU17,AS17*AT17+(Q17-AS17)*AV17,AS17*AT17+(AU17-AS17)*AV17+(Q17-AU17)*AX17)),MAX(Q17*AP17,AQ17))))))</f>
        <v/>
      </c>
      <c r="T17" s="26">
        <f>IF(OR(E17="INACTIVE",P17=""),0,IF(AY17="NONE",0,IF(AY17="FLAT",AZ17,IF(AY17="PER_UNIT",Q17*BA17,IF(AY17="MANUAL",IF(U17="",0,U17),0)))))</f>
        <v/>
      </c>
      <c r="U17" s="23" t="n"/>
      <c r="V17" s="25" t="n"/>
      <c r="W17" s="25" t="n"/>
      <c r="X17" s="26">
        <f>IF(E17="INACTIVE",0,D17+K17+L17+S17+T17+IF(V17="",0,V17)+IF(W17="",0,W17))</f>
        <v/>
      </c>
      <c r="Y17" s="27" t="n"/>
      <c r="Z17" s="28">
        <f>IF(E17="INACTIVE","_",IF(AND(G17&gt;0,H17&gt;0,H17&lt;G17),"[!]น้ำ reset ","")&amp;IF(AND(O17&gt;0,P17&gt;0,P17&lt;O17),"[!]ไฟ reset ","")&amp;IF(AND(F17="MANUAL",J17=""),"[X]units น้ำ ","")&amp;IF(AND(N17="MANUAL",R17=""),"[X]units ไฟ ","")&amp;IF(D17=0,"[!]ค่าเช่า=0",""))</f>
        <v/>
      </c>
      <c r="AA17" s="29">
        <f>IF(C17&lt;&gt;"",C17,CONFIG!$B$6)</f>
        <v/>
      </c>
      <c r="AB17" s="29">
        <f>IF(F17&lt;&gt;"",F17,IFERROR(VLOOKUP(AA17,RULES!$A:$C,3,0),CONFIG!$B$7))</f>
        <v/>
      </c>
      <c r="AC17" s="29">
        <f>IF(IFERROR(VLOOKUP(AA17,RULES!$A:$D,4,0),"")="",CONFIG!$B$10,VLOOKUP(AA17,RULES!$A:$D,4,0))</f>
        <v/>
      </c>
      <c r="AD17" s="29">
        <f>IF(IFERROR(VLOOKUP(AA17,RULES!$A:$E,5,0),"")="",CONFIG!$B$11,VLOOKUP(AA17,RULES!$A:$E,5,0))</f>
        <v/>
      </c>
      <c r="AE17" s="29">
        <f>IFERROR(VLOOKUP(AA17,RULES!$A:$F,6,0)*1,0)</f>
        <v/>
      </c>
      <c r="AF17" s="29">
        <f>IFERROR(VLOOKUP(AA17,RULES!$A:$G,7,0)*1,0)</f>
        <v/>
      </c>
      <c r="AG17" s="29">
        <f>IFERROR(VLOOKUP(AA17,RULES!$A:$H,8,0)*1,0)</f>
        <v/>
      </c>
      <c r="AH17" s="29">
        <f>IFERROR(VLOOKUP(AA17,RULES!$A:$I,9,0)*1,0)</f>
        <v/>
      </c>
      <c r="AI17" s="29">
        <f>IFERROR(VLOOKUP(AA17,RULES!$A:$J,10,0)*1,0)</f>
        <v/>
      </c>
      <c r="AJ17" s="29">
        <f>IFERROR(IF(VLOOKUP(AA17,RULES!$A:$K,11,0)="",999999,VLOOKUP(AA17,RULES!$A:$K,11,0)*1),999999)</f>
        <v/>
      </c>
      <c r="AK17" s="29">
        <f>IFERROR(VLOOKUP(AA17,RULES!$A:$L,12,0)*1,0)</f>
        <v/>
      </c>
      <c r="AL17" s="29">
        <f>IFERROR(VLOOKUP(AA17,RULES!$A:$M,13,0),"NONE")</f>
        <v/>
      </c>
      <c r="AM17" s="29">
        <f>IFERROR(VLOOKUP(AA17,RULES!$A:$N,14,0)*1,0)</f>
        <v/>
      </c>
      <c r="AN17" s="29">
        <f>IFERROR(VLOOKUP(AA17,RULES!$A:$O,15,0)*1,0)</f>
        <v/>
      </c>
      <c r="AO17" s="29">
        <f>IF(N17&lt;&gt;"",N17,IFERROR(VLOOKUP(AA17,RULES!$A:$P,16,0),CONFIG!$B$8))</f>
        <v/>
      </c>
      <c r="AP17" s="29">
        <f>IF(IFERROR(VLOOKUP(AA17,RULES!$A:$Q,17,0),"")="",CONFIG!$B$13,VLOOKUP(AA17,RULES!$A:$Q,17,0))</f>
        <v/>
      </c>
      <c r="AQ17" s="29">
        <f>IF(IFERROR(VLOOKUP(AA17,RULES!$A:$R,18,0),"")="",CONFIG!$B$14,VLOOKUP(AA17,RULES!$A:$R,18,0))</f>
        <v/>
      </c>
      <c r="AR17" s="29">
        <f>IFERROR(VLOOKUP(AA17,RULES!$A:$S,19,0)*1,0)</f>
        <v/>
      </c>
      <c r="AS17" s="29">
        <f>IFERROR(VLOOKUP(AA17,RULES!$A:$T,20,0)*1,0)</f>
        <v/>
      </c>
      <c r="AT17" s="29">
        <f>IFERROR(VLOOKUP(AA17,RULES!$A:$U,21,0)*1,0)</f>
        <v/>
      </c>
      <c r="AU17" s="29">
        <f>IFERROR(VLOOKUP(AA17,RULES!$A:$V,22,0)*1,0)</f>
        <v/>
      </c>
      <c r="AV17" s="29">
        <f>IFERROR(VLOOKUP(AA17,RULES!$A:$W,23,0)*1,0)</f>
        <v/>
      </c>
      <c r="AW17" s="29">
        <f>IFERROR(IF(VLOOKUP(AA17,RULES!$A:$X,24,0)="",999999,VLOOKUP(AA17,RULES!$A:$X,24,0)*1),999999)</f>
        <v/>
      </c>
      <c r="AX17" s="29">
        <f>IFERROR(VLOOKUP(AA17,RULES!$A:$Y,25,0)*1,0)</f>
        <v/>
      </c>
      <c r="AY17" s="29">
        <f>IFERROR(VLOOKUP(AA17,RULES!$A:$Z,26,0),"NONE")</f>
        <v/>
      </c>
      <c r="AZ17" s="29">
        <f>IFERROR(VLOOKUP(AA17,RULES!$A:$AA,27,0)*1,0)</f>
        <v/>
      </c>
      <c r="BA17" s="29">
        <f>IFERROR(VLOOKUP(AA17,RULES!$A:$AB,28,0)*1,0)</f>
        <v/>
      </c>
    </row>
    <row r="18" ht="17" customHeight="1">
      <c r="A18" s="22" t="inlineStr">
        <is>
          <t>3415</t>
        </is>
      </c>
      <c r="B18" s="48" t="inlineStr">
        <is>
          <t>ACC004</t>
        </is>
      </c>
      <c r="C18" s="48" t="inlineStr">
        <is>
          <t>DEFAULT</t>
        </is>
      </c>
      <c r="D18" s="47" t="n"/>
      <c r="E18" s="22">
        <f>IF(OR(D18="",D18=0),"INACTIVE","ACTIVE")</f>
        <v/>
      </c>
      <c r="F18" s="48" t="inlineStr">
        <is>
          <t>NORMAL</t>
        </is>
      </c>
      <c r="G18" s="25" t="n"/>
      <c r="H18" s="25" t="n"/>
      <c r="I18" s="26">
        <f>IF(OR(E18="INACTIVE",H18=""),0,MAX(0,H18-G18))</f>
        <v/>
      </c>
      <c r="J18" s="23" t="n"/>
      <c r="K18" s="26">
        <f>IF(OR(E18="INACTIVE",H18=""),0,IF(AB18="DISABLED",0,IF(AB18="FLAT",AE18,IF(AB18="MANUAL",IF(J18="",0,J18*AC18),IF(AB18="STEP",IF(I18&lt;=AF18,I18*AG18,IF(I18&lt;=AH18,AF18*AG18+(I18-AF18)*AI18,AF18*AG18+(AH18-AF18)*AI18+(I18-AH18)*AK18)),MAX(I18*AC18,AD18))))))</f>
        <v/>
      </c>
      <c r="L18" s="26">
        <f>IF(OR(E18="INACTIVE",H18=""),0,IF(AL18="NONE",0,IF(AL18="FLAT",AM18,IF(AL18="PER_UNIT",I18*AN18,IF(AL18="MANUAL",IF(M18="",0,M18),0)))))</f>
        <v/>
      </c>
      <c r="M18" s="23" t="n"/>
      <c r="N18" s="48" t="inlineStr">
        <is>
          <t>NORMAL</t>
        </is>
      </c>
      <c r="O18" s="25" t="n"/>
      <c r="P18" s="25" t="n"/>
      <c r="Q18" s="26">
        <f>IF(OR(E18="INACTIVE",P18=""),0,MAX(0,P18-O18))</f>
        <v/>
      </c>
      <c r="R18" s="23" t="n"/>
      <c r="S18" s="26">
        <f>IF(OR(E18="INACTIVE",P18=""),0,IF(AO18="DISABLED",0,IF(AO18="FLAT",AR18,IF(AO18="MANUAL",IF(R18="",0,R18*AP18),IF(AO18="STEP",IF(Q18&lt;=AS18,Q18*AT18,IF(Q18&lt;=AU18,AS18*AT18+(Q18-AS18)*AV18,AS18*AT18+(AU18-AS18)*AV18+(Q18-AU18)*AX18)),MAX(Q18*AP18,AQ18))))))</f>
        <v/>
      </c>
      <c r="T18" s="26">
        <f>IF(OR(E18="INACTIVE",P18=""),0,IF(AY18="NONE",0,IF(AY18="FLAT",AZ18,IF(AY18="PER_UNIT",Q18*BA18,IF(AY18="MANUAL",IF(U18="",0,U18),0)))))</f>
        <v/>
      </c>
      <c r="U18" s="23" t="n"/>
      <c r="V18" s="25" t="n"/>
      <c r="W18" s="25" t="n"/>
      <c r="X18" s="26">
        <f>IF(E18="INACTIVE",0,D18+K18+L18+S18+T18+IF(V18="",0,V18)+IF(W18="",0,W18))</f>
        <v/>
      </c>
      <c r="Y18" s="27" t="n"/>
      <c r="Z18" s="28">
        <f>IF(E18="INACTIVE","_",IF(AND(G18&gt;0,H18&gt;0,H18&lt;G18),"[!]น้ำ reset ","")&amp;IF(AND(O18&gt;0,P18&gt;0,P18&lt;O18),"[!]ไฟ reset ","")&amp;IF(AND(F18="MANUAL",J18=""),"[X]units น้ำ ","")&amp;IF(AND(N18="MANUAL",R18=""),"[X]units ไฟ ","")&amp;IF(D18=0,"[!]ค่าเช่า=0",""))</f>
        <v/>
      </c>
      <c r="AA18" s="29">
        <f>IF(C18&lt;&gt;"",C18,CONFIG!$B$6)</f>
        <v/>
      </c>
      <c r="AB18" s="29">
        <f>IF(F18&lt;&gt;"",F18,IFERROR(VLOOKUP(AA18,RULES!$A:$C,3,0),CONFIG!$B$7))</f>
        <v/>
      </c>
      <c r="AC18" s="29">
        <f>IF(IFERROR(VLOOKUP(AA18,RULES!$A:$D,4,0),"")="",CONFIG!$B$10,VLOOKUP(AA18,RULES!$A:$D,4,0))</f>
        <v/>
      </c>
      <c r="AD18" s="29">
        <f>IF(IFERROR(VLOOKUP(AA18,RULES!$A:$E,5,0),"")="",CONFIG!$B$11,VLOOKUP(AA18,RULES!$A:$E,5,0))</f>
        <v/>
      </c>
      <c r="AE18" s="29">
        <f>IFERROR(VLOOKUP(AA18,RULES!$A:$F,6,0)*1,0)</f>
        <v/>
      </c>
      <c r="AF18" s="29">
        <f>IFERROR(VLOOKUP(AA18,RULES!$A:$G,7,0)*1,0)</f>
        <v/>
      </c>
      <c r="AG18" s="29">
        <f>IFERROR(VLOOKUP(AA18,RULES!$A:$H,8,0)*1,0)</f>
        <v/>
      </c>
      <c r="AH18" s="29">
        <f>IFERROR(VLOOKUP(AA18,RULES!$A:$I,9,0)*1,0)</f>
        <v/>
      </c>
      <c r="AI18" s="29">
        <f>IFERROR(VLOOKUP(AA18,RULES!$A:$J,10,0)*1,0)</f>
        <v/>
      </c>
      <c r="AJ18" s="29">
        <f>IFERROR(IF(VLOOKUP(AA18,RULES!$A:$K,11,0)="",999999,VLOOKUP(AA18,RULES!$A:$K,11,0)*1),999999)</f>
        <v/>
      </c>
      <c r="AK18" s="29">
        <f>IFERROR(VLOOKUP(AA18,RULES!$A:$L,12,0)*1,0)</f>
        <v/>
      </c>
      <c r="AL18" s="29">
        <f>IFERROR(VLOOKUP(AA18,RULES!$A:$M,13,0),"NONE")</f>
        <v/>
      </c>
      <c r="AM18" s="29">
        <f>IFERROR(VLOOKUP(AA18,RULES!$A:$N,14,0)*1,0)</f>
        <v/>
      </c>
      <c r="AN18" s="29">
        <f>IFERROR(VLOOKUP(AA18,RULES!$A:$O,15,0)*1,0)</f>
        <v/>
      </c>
      <c r="AO18" s="29">
        <f>IF(N18&lt;&gt;"",N18,IFERROR(VLOOKUP(AA18,RULES!$A:$P,16,0),CONFIG!$B$8))</f>
        <v/>
      </c>
      <c r="AP18" s="29">
        <f>IF(IFERROR(VLOOKUP(AA18,RULES!$A:$Q,17,0),"")="",CONFIG!$B$13,VLOOKUP(AA18,RULES!$A:$Q,17,0))</f>
        <v/>
      </c>
      <c r="AQ18" s="29">
        <f>IF(IFERROR(VLOOKUP(AA18,RULES!$A:$R,18,0),"")="",CONFIG!$B$14,VLOOKUP(AA18,RULES!$A:$R,18,0))</f>
        <v/>
      </c>
      <c r="AR18" s="29">
        <f>IFERROR(VLOOKUP(AA18,RULES!$A:$S,19,0)*1,0)</f>
        <v/>
      </c>
      <c r="AS18" s="29">
        <f>IFERROR(VLOOKUP(AA18,RULES!$A:$T,20,0)*1,0)</f>
        <v/>
      </c>
      <c r="AT18" s="29">
        <f>IFERROR(VLOOKUP(AA18,RULES!$A:$U,21,0)*1,0)</f>
        <v/>
      </c>
      <c r="AU18" s="29">
        <f>IFERROR(VLOOKUP(AA18,RULES!$A:$V,22,0)*1,0)</f>
        <v/>
      </c>
      <c r="AV18" s="29">
        <f>IFERROR(VLOOKUP(AA18,RULES!$A:$W,23,0)*1,0)</f>
        <v/>
      </c>
      <c r="AW18" s="29">
        <f>IFERROR(IF(VLOOKUP(AA18,RULES!$A:$X,24,0)="",999999,VLOOKUP(AA18,RULES!$A:$X,24,0)*1),999999)</f>
        <v/>
      </c>
      <c r="AX18" s="29">
        <f>IFERROR(VLOOKUP(AA18,RULES!$A:$Y,25,0)*1,0)</f>
        <v/>
      </c>
      <c r="AY18" s="29">
        <f>IFERROR(VLOOKUP(AA18,RULES!$A:$Z,26,0),"NONE")</f>
        <v/>
      </c>
      <c r="AZ18" s="29">
        <f>IFERROR(VLOOKUP(AA18,RULES!$A:$AA,27,0)*1,0)</f>
        <v/>
      </c>
      <c r="BA18" s="29">
        <f>IFERROR(VLOOKUP(AA18,RULES!$A:$AB,28,0)*1,0)</f>
        <v/>
      </c>
    </row>
    <row r="19" ht="17" customHeight="1">
      <c r="A19" s="22" t="inlineStr">
        <is>
          <t>3416</t>
        </is>
      </c>
      <c r="B19" s="48" t="inlineStr">
        <is>
          <t>ACC004</t>
        </is>
      </c>
      <c r="C19" s="48" t="inlineStr">
        <is>
          <t>DEFAULT</t>
        </is>
      </c>
      <c r="D19" s="47" t="n"/>
      <c r="E19" s="22">
        <f>IF(OR(D19="",D19=0),"INACTIVE","ACTIVE")</f>
        <v/>
      </c>
      <c r="F19" s="48" t="inlineStr">
        <is>
          <t>NORMAL</t>
        </is>
      </c>
      <c r="G19" s="25" t="n"/>
      <c r="H19" s="25" t="n"/>
      <c r="I19" s="26">
        <f>IF(OR(E19="INACTIVE",H19=""),0,MAX(0,H19-G19))</f>
        <v/>
      </c>
      <c r="J19" s="23" t="n"/>
      <c r="K19" s="26">
        <f>IF(OR(E19="INACTIVE",H19=""),0,IF(AB19="DISABLED",0,IF(AB19="FLAT",AE19,IF(AB19="MANUAL",IF(J19="",0,J19*AC19),IF(AB19="STEP",IF(I19&lt;=AF19,I19*AG19,IF(I19&lt;=AH19,AF19*AG19+(I19-AF19)*AI19,AF19*AG19+(AH19-AF19)*AI19+(I19-AH19)*AK19)),MAX(I19*AC19,AD19))))))</f>
        <v/>
      </c>
      <c r="L19" s="26">
        <f>IF(OR(E19="INACTIVE",H19=""),0,IF(AL19="NONE",0,IF(AL19="FLAT",AM19,IF(AL19="PER_UNIT",I19*AN19,IF(AL19="MANUAL",IF(M19="",0,M19),0)))))</f>
        <v/>
      </c>
      <c r="M19" s="23" t="n"/>
      <c r="N19" s="48" t="inlineStr">
        <is>
          <t>NORMAL</t>
        </is>
      </c>
      <c r="O19" s="25" t="n"/>
      <c r="P19" s="25" t="n"/>
      <c r="Q19" s="26">
        <f>IF(OR(E19="INACTIVE",P19=""),0,MAX(0,P19-O19))</f>
        <v/>
      </c>
      <c r="R19" s="23" t="n"/>
      <c r="S19" s="26">
        <f>IF(OR(E19="INACTIVE",P19=""),0,IF(AO19="DISABLED",0,IF(AO19="FLAT",AR19,IF(AO19="MANUAL",IF(R19="",0,R19*AP19),IF(AO19="STEP",IF(Q19&lt;=AS19,Q19*AT19,IF(Q19&lt;=AU19,AS19*AT19+(Q19-AS19)*AV19,AS19*AT19+(AU19-AS19)*AV19+(Q19-AU19)*AX19)),MAX(Q19*AP19,AQ19))))))</f>
        <v/>
      </c>
      <c r="T19" s="26">
        <f>IF(OR(E19="INACTIVE",P19=""),0,IF(AY19="NONE",0,IF(AY19="FLAT",AZ19,IF(AY19="PER_UNIT",Q19*BA19,IF(AY19="MANUAL",IF(U19="",0,U19),0)))))</f>
        <v/>
      </c>
      <c r="U19" s="23" t="n"/>
      <c r="V19" s="25" t="n"/>
      <c r="W19" s="25" t="n"/>
      <c r="X19" s="26">
        <f>IF(E19="INACTIVE",0,D19+K19+L19+S19+T19+IF(V19="",0,V19)+IF(W19="",0,W19))</f>
        <v/>
      </c>
      <c r="Y19" s="27" t="n"/>
      <c r="Z19" s="28">
        <f>IF(E19="INACTIVE","_",IF(AND(G19&gt;0,H19&gt;0,H19&lt;G19),"[!]น้ำ reset ","")&amp;IF(AND(O19&gt;0,P19&gt;0,P19&lt;O19),"[!]ไฟ reset ","")&amp;IF(AND(F19="MANUAL",J19=""),"[X]units น้ำ ","")&amp;IF(AND(N19="MANUAL",R19=""),"[X]units ไฟ ","")&amp;IF(D19=0,"[!]ค่าเช่า=0",""))</f>
        <v/>
      </c>
      <c r="AA19" s="29">
        <f>IF(C19&lt;&gt;"",C19,CONFIG!$B$6)</f>
        <v/>
      </c>
      <c r="AB19" s="29">
        <f>IF(F19&lt;&gt;"",F19,IFERROR(VLOOKUP(AA19,RULES!$A:$C,3,0),CONFIG!$B$7))</f>
        <v/>
      </c>
      <c r="AC19" s="29">
        <f>IF(IFERROR(VLOOKUP(AA19,RULES!$A:$D,4,0),"")="",CONFIG!$B$10,VLOOKUP(AA19,RULES!$A:$D,4,0))</f>
        <v/>
      </c>
      <c r="AD19" s="29">
        <f>IF(IFERROR(VLOOKUP(AA19,RULES!$A:$E,5,0),"")="",CONFIG!$B$11,VLOOKUP(AA19,RULES!$A:$E,5,0))</f>
        <v/>
      </c>
      <c r="AE19" s="29">
        <f>IFERROR(VLOOKUP(AA19,RULES!$A:$F,6,0)*1,0)</f>
        <v/>
      </c>
      <c r="AF19" s="29">
        <f>IFERROR(VLOOKUP(AA19,RULES!$A:$G,7,0)*1,0)</f>
        <v/>
      </c>
      <c r="AG19" s="29">
        <f>IFERROR(VLOOKUP(AA19,RULES!$A:$H,8,0)*1,0)</f>
        <v/>
      </c>
      <c r="AH19" s="29">
        <f>IFERROR(VLOOKUP(AA19,RULES!$A:$I,9,0)*1,0)</f>
        <v/>
      </c>
      <c r="AI19" s="29">
        <f>IFERROR(VLOOKUP(AA19,RULES!$A:$J,10,0)*1,0)</f>
        <v/>
      </c>
      <c r="AJ19" s="29">
        <f>IFERROR(IF(VLOOKUP(AA19,RULES!$A:$K,11,0)="",999999,VLOOKUP(AA19,RULES!$A:$K,11,0)*1),999999)</f>
        <v/>
      </c>
      <c r="AK19" s="29">
        <f>IFERROR(VLOOKUP(AA19,RULES!$A:$L,12,0)*1,0)</f>
        <v/>
      </c>
      <c r="AL19" s="29">
        <f>IFERROR(VLOOKUP(AA19,RULES!$A:$M,13,0),"NONE")</f>
        <v/>
      </c>
      <c r="AM19" s="29">
        <f>IFERROR(VLOOKUP(AA19,RULES!$A:$N,14,0)*1,0)</f>
        <v/>
      </c>
      <c r="AN19" s="29">
        <f>IFERROR(VLOOKUP(AA19,RULES!$A:$O,15,0)*1,0)</f>
        <v/>
      </c>
      <c r="AO19" s="29">
        <f>IF(N19&lt;&gt;"",N19,IFERROR(VLOOKUP(AA19,RULES!$A:$P,16,0),CONFIG!$B$8))</f>
        <v/>
      </c>
      <c r="AP19" s="29">
        <f>IF(IFERROR(VLOOKUP(AA19,RULES!$A:$Q,17,0),"")="",CONFIG!$B$13,VLOOKUP(AA19,RULES!$A:$Q,17,0))</f>
        <v/>
      </c>
      <c r="AQ19" s="29">
        <f>IF(IFERROR(VLOOKUP(AA19,RULES!$A:$R,18,0),"")="",CONFIG!$B$14,VLOOKUP(AA19,RULES!$A:$R,18,0))</f>
        <v/>
      </c>
      <c r="AR19" s="29">
        <f>IFERROR(VLOOKUP(AA19,RULES!$A:$S,19,0)*1,0)</f>
        <v/>
      </c>
      <c r="AS19" s="29">
        <f>IFERROR(VLOOKUP(AA19,RULES!$A:$T,20,0)*1,0)</f>
        <v/>
      </c>
      <c r="AT19" s="29">
        <f>IFERROR(VLOOKUP(AA19,RULES!$A:$U,21,0)*1,0)</f>
        <v/>
      </c>
      <c r="AU19" s="29">
        <f>IFERROR(VLOOKUP(AA19,RULES!$A:$V,22,0)*1,0)</f>
        <v/>
      </c>
      <c r="AV19" s="29">
        <f>IFERROR(VLOOKUP(AA19,RULES!$A:$W,23,0)*1,0)</f>
        <v/>
      </c>
      <c r="AW19" s="29">
        <f>IFERROR(IF(VLOOKUP(AA19,RULES!$A:$X,24,0)="",999999,VLOOKUP(AA19,RULES!$A:$X,24,0)*1),999999)</f>
        <v/>
      </c>
      <c r="AX19" s="29">
        <f>IFERROR(VLOOKUP(AA19,RULES!$A:$Y,25,0)*1,0)</f>
        <v/>
      </c>
      <c r="AY19" s="29">
        <f>IFERROR(VLOOKUP(AA19,RULES!$A:$Z,26,0),"NONE")</f>
        <v/>
      </c>
      <c r="AZ19" s="29">
        <f>IFERROR(VLOOKUP(AA19,RULES!$A:$AA,27,0)*1,0)</f>
        <v/>
      </c>
      <c r="BA19" s="29">
        <f>IFERROR(VLOOKUP(AA19,RULES!$A:$AB,28,0)*1,0)</f>
        <v/>
      </c>
    </row>
    <row r="20" ht="17" customHeight="1">
      <c r="A20" s="22" t="inlineStr">
        <is>
          <t>3417</t>
        </is>
      </c>
      <c r="B20" s="48" t="inlineStr">
        <is>
          <t>ACC004</t>
        </is>
      </c>
      <c r="C20" s="48" t="inlineStr">
        <is>
          <t>DEFAULT</t>
        </is>
      </c>
      <c r="D20" s="47" t="n"/>
      <c r="E20" s="22">
        <f>IF(OR(D20="",D20=0),"INACTIVE","ACTIVE")</f>
        <v/>
      </c>
      <c r="F20" s="48" t="inlineStr">
        <is>
          <t>NORMAL</t>
        </is>
      </c>
      <c r="G20" s="25" t="n"/>
      <c r="H20" s="25" t="n"/>
      <c r="I20" s="26">
        <f>IF(OR(E20="INACTIVE",H20=""),0,MAX(0,H20-G20))</f>
        <v/>
      </c>
      <c r="J20" s="23" t="n"/>
      <c r="K20" s="26">
        <f>IF(OR(E20="INACTIVE",H20=""),0,IF(AB20="DISABLED",0,IF(AB20="FLAT",AE20,IF(AB20="MANUAL",IF(J20="",0,J20*AC20),IF(AB20="STEP",IF(I20&lt;=AF20,I20*AG20,IF(I20&lt;=AH20,AF20*AG20+(I20-AF20)*AI20,AF20*AG20+(AH20-AF20)*AI20+(I20-AH20)*AK20)),MAX(I20*AC20,AD20))))))</f>
        <v/>
      </c>
      <c r="L20" s="26">
        <f>IF(OR(E20="INACTIVE",H20=""),0,IF(AL20="NONE",0,IF(AL20="FLAT",AM20,IF(AL20="PER_UNIT",I20*AN20,IF(AL20="MANUAL",IF(M20="",0,M20),0)))))</f>
        <v/>
      </c>
      <c r="M20" s="23" t="n"/>
      <c r="N20" s="48" t="inlineStr">
        <is>
          <t>NORMAL</t>
        </is>
      </c>
      <c r="O20" s="25" t="n"/>
      <c r="P20" s="25" t="n"/>
      <c r="Q20" s="26">
        <f>IF(OR(E20="INACTIVE",P20=""),0,MAX(0,P20-O20))</f>
        <v/>
      </c>
      <c r="R20" s="23" t="n"/>
      <c r="S20" s="26">
        <f>IF(OR(E20="INACTIVE",P20=""),0,IF(AO20="DISABLED",0,IF(AO20="FLAT",AR20,IF(AO20="MANUAL",IF(R20="",0,R20*AP20),IF(AO20="STEP",IF(Q20&lt;=AS20,Q20*AT20,IF(Q20&lt;=AU20,AS20*AT20+(Q20-AS20)*AV20,AS20*AT20+(AU20-AS20)*AV20+(Q20-AU20)*AX20)),MAX(Q20*AP20,AQ20))))))</f>
        <v/>
      </c>
      <c r="T20" s="26">
        <f>IF(OR(E20="INACTIVE",P20=""),0,IF(AY20="NONE",0,IF(AY20="FLAT",AZ20,IF(AY20="PER_UNIT",Q20*BA20,IF(AY20="MANUAL",IF(U20="",0,U20),0)))))</f>
        <v/>
      </c>
      <c r="U20" s="23" t="n"/>
      <c r="V20" s="25" t="n"/>
      <c r="W20" s="25" t="n"/>
      <c r="X20" s="26">
        <f>IF(E20="INACTIVE",0,D20+K20+L20+S20+T20+IF(V20="",0,V20)+IF(W20="",0,W20))</f>
        <v/>
      </c>
      <c r="Y20" s="27" t="n"/>
      <c r="Z20" s="28">
        <f>IF(E20="INACTIVE","_",IF(AND(G20&gt;0,H20&gt;0,H20&lt;G20),"[!]น้ำ reset ","")&amp;IF(AND(O20&gt;0,P20&gt;0,P20&lt;O20),"[!]ไฟ reset ","")&amp;IF(AND(F20="MANUAL",J20=""),"[X]units น้ำ ","")&amp;IF(AND(N20="MANUAL",R20=""),"[X]units ไฟ ","")&amp;IF(D20=0,"[!]ค่าเช่า=0",""))</f>
        <v/>
      </c>
      <c r="AA20" s="29">
        <f>IF(C20&lt;&gt;"",C20,CONFIG!$B$6)</f>
        <v/>
      </c>
      <c r="AB20" s="29">
        <f>IF(F20&lt;&gt;"",F20,IFERROR(VLOOKUP(AA20,RULES!$A:$C,3,0),CONFIG!$B$7))</f>
        <v/>
      </c>
      <c r="AC20" s="29">
        <f>IF(IFERROR(VLOOKUP(AA20,RULES!$A:$D,4,0),"")="",CONFIG!$B$10,VLOOKUP(AA20,RULES!$A:$D,4,0))</f>
        <v/>
      </c>
      <c r="AD20" s="29">
        <f>IF(IFERROR(VLOOKUP(AA20,RULES!$A:$E,5,0),"")="",CONFIG!$B$11,VLOOKUP(AA20,RULES!$A:$E,5,0))</f>
        <v/>
      </c>
      <c r="AE20" s="29">
        <f>IFERROR(VLOOKUP(AA20,RULES!$A:$F,6,0)*1,0)</f>
        <v/>
      </c>
      <c r="AF20" s="29">
        <f>IFERROR(VLOOKUP(AA20,RULES!$A:$G,7,0)*1,0)</f>
        <v/>
      </c>
      <c r="AG20" s="29">
        <f>IFERROR(VLOOKUP(AA20,RULES!$A:$H,8,0)*1,0)</f>
        <v/>
      </c>
      <c r="AH20" s="29">
        <f>IFERROR(VLOOKUP(AA20,RULES!$A:$I,9,0)*1,0)</f>
        <v/>
      </c>
      <c r="AI20" s="29">
        <f>IFERROR(VLOOKUP(AA20,RULES!$A:$J,10,0)*1,0)</f>
        <v/>
      </c>
      <c r="AJ20" s="29">
        <f>IFERROR(IF(VLOOKUP(AA20,RULES!$A:$K,11,0)="",999999,VLOOKUP(AA20,RULES!$A:$K,11,0)*1),999999)</f>
        <v/>
      </c>
      <c r="AK20" s="29">
        <f>IFERROR(VLOOKUP(AA20,RULES!$A:$L,12,0)*1,0)</f>
        <v/>
      </c>
      <c r="AL20" s="29">
        <f>IFERROR(VLOOKUP(AA20,RULES!$A:$M,13,0),"NONE")</f>
        <v/>
      </c>
      <c r="AM20" s="29">
        <f>IFERROR(VLOOKUP(AA20,RULES!$A:$N,14,0)*1,0)</f>
        <v/>
      </c>
      <c r="AN20" s="29">
        <f>IFERROR(VLOOKUP(AA20,RULES!$A:$O,15,0)*1,0)</f>
        <v/>
      </c>
      <c r="AO20" s="29">
        <f>IF(N20&lt;&gt;"",N20,IFERROR(VLOOKUP(AA20,RULES!$A:$P,16,0),CONFIG!$B$8))</f>
        <v/>
      </c>
      <c r="AP20" s="29">
        <f>IF(IFERROR(VLOOKUP(AA20,RULES!$A:$Q,17,0),"")="",CONFIG!$B$13,VLOOKUP(AA20,RULES!$A:$Q,17,0))</f>
        <v/>
      </c>
      <c r="AQ20" s="29">
        <f>IF(IFERROR(VLOOKUP(AA20,RULES!$A:$R,18,0),"")="",CONFIG!$B$14,VLOOKUP(AA20,RULES!$A:$R,18,0))</f>
        <v/>
      </c>
      <c r="AR20" s="29">
        <f>IFERROR(VLOOKUP(AA20,RULES!$A:$S,19,0)*1,0)</f>
        <v/>
      </c>
      <c r="AS20" s="29">
        <f>IFERROR(VLOOKUP(AA20,RULES!$A:$T,20,0)*1,0)</f>
        <v/>
      </c>
      <c r="AT20" s="29">
        <f>IFERROR(VLOOKUP(AA20,RULES!$A:$U,21,0)*1,0)</f>
        <v/>
      </c>
      <c r="AU20" s="29">
        <f>IFERROR(VLOOKUP(AA20,RULES!$A:$V,22,0)*1,0)</f>
        <v/>
      </c>
      <c r="AV20" s="29">
        <f>IFERROR(VLOOKUP(AA20,RULES!$A:$W,23,0)*1,0)</f>
        <v/>
      </c>
      <c r="AW20" s="29">
        <f>IFERROR(IF(VLOOKUP(AA20,RULES!$A:$X,24,0)="",999999,VLOOKUP(AA20,RULES!$A:$X,24,0)*1),999999)</f>
        <v/>
      </c>
      <c r="AX20" s="29">
        <f>IFERROR(VLOOKUP(AA20,RULES!$A:$Y,25,0)*1,0)</f>
        <v/>
      </c>
      <c r="AY20" s="29">
        <f>IFERROR(VLOOKUP(AA20,RULES!$A:$Z,26,0),"NONE")</f>
        <v/>
      </c>
      <c r="AZ20" s="29">
        <f>IFERROR(VLOOKUP(AA20,RULES!$A:$AA,27,0)*1,0)</f>
        <v/>
      </c>
      <c r="BA20" s="29">
        <f>IFERROR(VLOOKUP(AA20,RULES!$A:$AB,28,0)*1,0)</f>
        <v/>
      </c>
    </row>
    <row r="21" ht="17" customHeight="1">
      <c r="A21" s="22" t="inlineStr">
        <is>
          <t>3418</t>
        </is>
      </c>
      <c r="B21" s="48" t="inlineStr">
        <is>
          <t>ACC004</t>
        </is>
      </c>
      <c r="C21" s="48" t="inlineStr">
        <is>
          <t>DEFAULT</t>
        </is>
      </c>
      <c r="D21" s="47" t="n"/>
      <c r="E21" s="22">
        <f>IF(OR(D21="",D21=0),"INACTIVE","ACTIVE")</f>
        <v/>
      </c>
      <c r="F21" s="48" t="inlineStr">
        <is>
          <t>NORMAL</t>
        </is>
      </c>
      <c r="G21" s="25" t="n"/>
      <c r="H21" s="25" t="n"/>
      <c r="I21" s="26">
        <f>IF(OR(E21="INACTIVE",H21=""),0,MAX(0,H21-G21))</f>
        <v/>
      </c>
      <c r="J21" s="23" t="n"/>
      <c r="K21" s="26">
        <f>IF(OR(E21="INACTIVE",H21=""),0,IF(AB21="DISABLED",0,IF(AB21="FLAT",AE21,IF(AB21="MANUAL",IF(J21="",0,J21*AC21),IF(AB21="STEP",IF(I21&lt;=AF21,I21*AG21,IF(I21&lt;=AH21,AF21*AG21+(I21-AF21)*AI21,AF21*AG21+(AH21-AF21)*AI21+(I21-AH21)*AK21)),MAX(I21*AC21,AD21))))))</f>
        <v/>
      </c>
      <c r="L21" s="26">
        <f>IF(OR(E21="INACTIVE",H21=""),0,IF(AL21="NONE",0,IF(AL21="FLAT",AM21,IF(AL21="PER_UNIT",I21*AN21,IF(AL21="MANUAL",IF(M21="",0,M21),0)))))</f>
        <v/>
      </c>
      <c r="M21" s="23" t="n"/>
      <c r="N21" s="48" t="inlineStr">
        <is>
          <t>NORMAL</t>
        </is>
      </c>
      <c r="O21" s="25" t="n"/>
      <c r="P21" s="25" t="n"/>
      <c r="Q21" s="26">
        <f>IF(OR(E21="INACTIVE",P21=""),0,MAX(0,P21-O21))</f>
        <v/>
      </c>
      <c r="R21" s="23" t="n"/>
      <c r="S21" s="26">
        <f>IF(OR(E21="INACTIVE",P21=""),0,IF(AO21="DISABLED",0,IF(AO21="FLAT",AR21,IF(AO21="MANUAL",IF(R21="",0,R21*AP21),IF(AO21="STEP",IF(Q21&lt;=AS21,Q21*AT21,IF(Q21&lt;=AU21,AS21*AT21+(Q21-AS21)*AV21,AS21*AT21+(AU21-AS21)*AV21+(Q21-AU21)*AX21)),MAX(Q21*AP21,AQ21))))))</f>
        <v/>
      </c>
      <c r="T21" s="26">
        <f>IF(OR(E21="INACTIVE",P21=""),0,IF(AY21="NONE",0,IF(AY21="FLAT",AZ21,IF(AY21="PER_UNIT",Q21*BA21,IF(AY21="MANUAL",IF(U21="",0,U21),0)))))</f>
        <v/>
      </c>
      <c r="U21" s="23" t="n"/>
      <c r="V21" s="25" t="n"/>
      <c r="W21" s="25" t="n"/>
      <c r="X21" s="26">
        <f>IF(E21="INACTIVE",0,D21+K21+L21+S21+T21+IF(V21="",0,V21)+IF(W21="",0,W21))</f>
        <v/>
      </c>
      <c r="Y21" s="27" t="n"/>
      <c r="Z21" s="28">
        <f>IF(E21="INACTIVE","_",IF(AND(G21&gt;0,H21&gt;0,H21&lt;G21),"[!]น้ำ reset ","")&amp;IF(AND(O21&gt;0,P21&gt;0,P21&lt;O21),"[!]ไฟ reset ","")&amp;IF(AND(F21="MANUAL",J21=""),"[X]units น้ำ ","")&amp;IF(AND(N21="MANUAL",R21=""),"[X]units ไฟ ","")&amp;IF(D21=0,"[!]ค่าเช่า=0",""))</f>
        <v/>
      </c>
      <c r="AA21" s="29">
        <f>IF(C21&lt;&gt;"",C21,CONFIG!$B$6)</f>
        <v/>
      </c>
      <c r="AB21" s="29">
        <f>IF(F21&lt;&gt;"",F21,IFERROR(VLOOKUP(AA21,RULES!$A:$C,3,0),CONFIG!$B$7))</f>
        <v/>
      </c>
      <c r="AC21" s="29">
        <f>IF(IFERROR(VLOOKUP(AA21,RULES!$A:$D,4,0),"")="",CONFIG!$B$10,VLOOKUP(AA21,RULES!$A:$D,4,0))</f>
        <v/>
      </c>
      <c r="AD21" s="29">
        <f>IF(IFERROR(VLOOKUP(AA21,RULES!$A:$E,5,0),"")="",CONFIG!$B$11,VLOOKUP(AA21,RULES!$A:$E,5,0))</f>
        <v/>
      </c>
      <c r="AE21" s="29">
        <f>IFERROR(VLOOKUP(AA21,RULES!$A:$F,6,0)*1,0)</f>
        <v/>
      </c>
      <c r="AF21" s="29">
        <f>IFERROR(VLOOKUP(AA21,RULES!$A:$G,7,0)*1,0)</f>
        <v/>
      </c>
      <c r="AG21" s="29">
        <f>IFERROR(VLOOKUP(AA21,RULES!$A:$H,8,0)*1,0)</f>
        <v/>
      </c>
      <c r="AH21" s="29">
        <f>IFERROR(VLOOKUP(AA21,RULES!$A:$I,9,0)*1,0)</f>
        <v/>
      </c>
      <c r="AI21" s="29">
        <f>IFERROR(VLOOKUP(AA21,RULES!$A:$J,10,0)*1,0)</f>
        <v/>
      </c>
      <c r="AJ21" s="29">
        <f>IFERROR(IF(VLOOKUP(AA21,RULES!$A:$K,11,0)="",999999,VLOOKUP(AA21,RULES!$A:$K,11,0)*1),999999)</f>
        <v/>
      </c>
      <c r="AK21" s="29">
        <f>IFERROR(VLOOKUP(AA21,RULES!$A:$L,12,0)*1,0)</f>
        <v/>
      </c>
      <c r="AL21" s="29">
        <f>IFERROR(VLOOKUP(AA21,RULES!$A:$M,13,0),"NONE")</f>
        <v/>
      </c>
      <c r="AM21" s="29">
        <f>IFERROR(VLOOKUP(AA21,RULES!$A:$N,14,0)*1,0)</f>
        <v/>
      </c>
      <c r="AN21" s="29">
        <f>IFERROR(VLOOKUP(AA21,RULES!$A:$O,15,0)*1,0)</f>
        <v/>
      </c>
      <c r="AO21" s="29">
        <f>IF(N21&lt;&gt;"",N21,IFERROR(VLOOKUP(AA21,RULES!$A:$P,16,0),CONFIG!$B$8))</f>
        <v/>
      </c>
      <c r="AP21" s="29">
        <f>IF(IFERROR(VLOOKUP(AA21,RULES!$A:$Q,17,0),"")="",CONFIG!$B$13,VLOOKUP(AA21,RULES!$A:$Q,17,0))</f>
        <v/>
      </c>
      <c r="AQ21" s="29">
        <f>IF(IFERROR(VLOOKUP(AA21,RULES!$A:$R,18,0),"")="",CONFIG!$B$14,VLOOKUP(AA21,RULES!$A:$R,18,0))</f>
        <v/>
      </c>
      <c r="AR21" s="29">
        <f>IFERROR(VLOOKUP(AA21,RULES!$A:$S,19,0)*1,0)</f>
        <v/>
      </c>
      <c r="AS21" s="29">
        <f>IFERROR(VLOOKUP(AA21,RULES!$A:$T,20,0)*1,0)</f>
        <v/>
      </c>
      <c r="AT21" s="29">
        <f>IFERROR(VLOOKUP(AA21,RULES!$A:$U,21,0)*1,0)</f>
        <v/>
      </c>
      <c r="AU21" s="29">
        <f>IFERROR(VLOOKUP(AA21,RULES!$A:$V,22,0)*1,0)</f>
        <v/>
      </c>
      <c r="AV21" s="29">
        <f>IFERROR(VLOOKUP(AA21,RULES!$A:$W,23,0)*1,0)</f>
        <v/>
      </c>
      <c r="AW21" s="29">
        <f>IFERROR(IF(VLOOKUP(AA21,RULES!$A:$X,24,0)="",999999,VLOOKUP(AA21,RULES!$A:$X,24,0)*1),999999)</f>
        <v/>
      </c>
      <c r="AX21" s="29">
        <f>IFERROR(VLOOKUP(AA21,RULES!$A:$Y,25,0)*1,0)</f>
        <v/>
      </c>
      <c r="AY21" s="29">
        <f>IFERROR(VLOOKUP(AA21,RULES!$A:$Z,26,0),"NONE")</f>
        <v/>
      </c>
      <c r="AZ21" s="29">
        <f>IFERROR(VLOOKUP(AA21,RULES!$A:$AA,27,0)*1,0)</f>
        <v/>
      </c>
      <c r="BA21" s="29">
        <f>IFERROR(VLOOKUP(AA21,RULES!$A:$AB,28,0)*1,0)</f>
        <v/>
      </c>
    </row>
    <row r="22" ht="17" customHeight="1">
      <c r="A22" s="22" t="inlineStr">
        <is>
          <t>3419</t>
        </is>
      </c>
      <c r="B22" s="48" t="inlineStr">
        <is>
          <t>ACC004</t>
        </is>
      </c>
      <c r="C22" s="48" t="inlineStr">
        <is>
          <t>DEFAULT</t>
        </is>
      </c>
      <c r="D22" s="47" t="n"/>
      <c r="E22" s="22">
        <f>IF(OR(D22="",D22=0),"INACTIVE","ACTIVE")</f>
        <v/>
      </c>
      <c r="F22" s="48" t="inlineStr">
        <is>
          <t>NORMAL</t>
        </is>
      </c>
      <c r="G22" s="25" t="n"/>
      <c r="H22" s="25" t="n"/>
      <c r="I22" s="26">
        <f>IF(OR(E22="INACTIVE",H22=""),0,MAX(0,H22-G22))</f>
        <v/>
      </c>
      <c r="J22" s="23" t="n"/>
      <c r="K22" s="26">
        <f>IF(OR(E22="INACTIVE",H22=""),0,IF(AB22="DISABLED",0,IF(AB22="FLAT",AE22,IF(AB22="MANUAL",IF(J22="",0,J22*AC22),IF(AB22="STEP",IF(I22&lt;=AF22,I22*AG22,IF(I22&lt;=AH22,AF22*AG22+(I22-AF22)*AI22,AF22*AG22+(AH22-AF22)*AI22+(I22-AH22)*AK22)),MAX(I22*AC22,AD22))))))</f>
        <v/>
      </c>
      <c r="L22" s="26">
        <f>IF(OR(E22="INACTIVE",H22=""),0,IF(AL22="NONE",0,IF(AL22="FLAT",AM22,IF(AL22="PER_UNIT",I22*AN22,IF(AL22="MANUAL",IF(M22="",0,M22),0)))))</f>
        <v/>
      </c>
      <c r="M22" s="23" t="n"/>
      <c r="N22" s="48" t="inlineStr">
        <is>
          <t>NORMAL</t>
        </is>
      </c>
      <c r="O22" s="25" t="n"/>
      <c r="P22" s="25" t="n"/>
      <c r="Q22" s="26">
        <f>IF(OR(E22="INACTIVE",P22=""),0,MAX(0,P22-O22))</f>
        <v/>
      </c>
      <c r="R22" s="23" t="n"/>
      <c r="S22" s="26">
        <f>IF(OR(E22="INACTIVE",P22=""),0,IF(AO22="DISABLED",0,IF(AO22="FLAT",AR22,IF(AO22="MANUAL",IF(R22="",0,R22*AP22),IF(AO22="STEP",IF(Q22&lt;=AS22,Q22*AT22,IF(Q22&lt;=AU22,AS22*AT22+(Q22-AS22)*AV22,AS22*AT22+(AU22-AS22)*AV22+(Q22-AU22)*AX22)),MAX(Q22*AP22,AQ22))))))</f>
        <v/>
      </c>
      <c r="T22" s="26">
        <f>IF(OR(E22="INACTIVE",P22=""),0,IF(AY22="NONE",0,IF(AY22="FLAT",AZ22,IF(AY22="PER_UNIT",Q22*BA22,IF(AY22="MANUAL",IF(U22="",0,U22),0)))))</f>
        <v/>
      </c>
      <c r="U22" s="23" t="n"/>
      <c r="V22" s="25" t="n"/>
      <c r="W22" s="25" t="n"/>
      <c r="X22" s="26">
        <f>IF(E22="INACTIVE",0,D22+K22+L22+S22+T22+IF(V22="",0,V22)+IF(W22="",0,W22))</f>
        <v/>
      </c>
      <c r="Y22" s="27" t="n"/>
      <c r="Z22" s="28">
        <f>IF(E22="INACTIVE","_",IF(AND(G22&gt;0,H22&gt;0,H22&lt;G22),"[!]น้ำ reset ","")&amp;IF(AND(O22&gt;0,P22&gt;0,P22&lt;O22),"[!]ไฟ reset ","")&amp;IF(AND(F22="MANUAL",J22=""),"[X]units น้ำ ","")&amp;IF(AND(N22="MANUAL",R22=""),"[X]units ไฟ ","")&amp;IF(D22=0,"[!]ค่าเช่า=0",""))</f>
        <v/>
      </c>
      <c r="AA22" s="29">
        <f>IF(C22&lt;&gt;"",C22,CONFIG!$B$6)</f>
        <v/>
      </c>
      <c r="AB22" s="29">
        <f>IF(F22&lt;&gt;"",F22,IFERROR(VLOOKUP(AA22,RULES!$A:$C,3,0),CONFIG!$B$7))</f>
        <v/>
      </c>
      <c r="AC22" s="29">
        <f>IF(IFERROR(VLOOKUP(AA22,RULES!$A:$D,4,0),"")="",CONFIG!$B$10,VLOOKUP(AA22,RULES!$A:$D,4,0))</f>
        <v/>
      </c>
      <c r="AD22" s="29">
        <f>IF(IFERROR(VLOOKUP(AA22,RULES!$A:$E,5,0),"")="",CONFIG!$B$11,VLOOKUP(AA22,RULES!$A:$E,5,0))</f>
        <v/>
      </c>
      <c r="AE22" s="29">
        <f>IFERROR(VLOOKUP(AA22,RULES!$A:$F,6,0)*1,0)</f>
        <v/>
      </c>
      <c r="AF22" s="29">
        <f>IFERROR(VLOOKUP(AA22,RULES!$A:$G,7,0)*1,0)</f>
        <v/>
      </c>
      <c r="AG22" s="29">
        <f>IFERROR(VLOOKUP(AA22,RULES!$A:$H,8,0)*1,0)</f>
        <v/>
      </c>
      <c r="AH22" s="29">
        <f>IFERROR(VLOOKUP(AA22,RULES!$A:$I,9,0)*1,0)</f>
        <v/>
      </c>
      <c r="AI22" s="29">
        <f>IFERROR(VLOOKUP(AA22,RULES!$A:$J,10,0)*1,0)</f>
        <v/>
      </c>
      <c r="AJ22" s="29">
        <f>IFERROR(IF(VLOOKUP(AA22,RULES!$A:$K,11,0)="",999999,VLOOKUP(AA22,RULES!$A:$K,11,0)*1),999999)</f>
        <v/>
      </c>
      <c r="AK22" s="29">
        <f>IFERROR(VLOOKUP(AA22,RULES!$A:$L,12,0)*1,0)</f>
        <v/>
      </c>
      <c r="AL22" s="29">
        <f>IFERROR(VLOOKUP(AA22,RULES!$A:$M,13,0),"NONE")</f>
        <v/>
      </c>
      <c r="AM22" s="29">
        <f>IFERROR(VLOOKUP(AA22,RULES!$A:$N,14,0)*1,0)</f>
        <v/>
      </c>
      <c r="AN22" s="29">
        <f>IFERROR(VLOOKUP(AA22,RULES!$A:$O,15,0)*1,0)</f>
        <v/>
      </c>
      <c r="AO22" s="29">
        <f>IF(N22&lt;&gt;"",N22,IFERROR(VLOOKUP(AA22,RULES!$A:$P,16,0),CONFIG!$B$8))</f>
        <v/>
      </c>
      <c r="AP22" s="29">
        <f>IF(IFERROR(VLOOKUP(AA22,RULES!$A:$Q,17,0),"")="",CONFIG!$B$13,VLOOKUP(AA22,RULES!$A:$Q,17,0))</f>
        <v/>
      </c>
      <c r="AQ22" s="29">
        <f>IF(IFERROR(VLOOKUP(AA22,RULES!$A:$R,18,0),"")="",CONFIG!$B$14,VLOOKUP(AA22,RULES!$A:$R,18,0))</f>
        <v/>
      </c>
      <c r="AR22" s="29">
        <f>IFERROR(VLOOKUP(AA22,RULES!$A:$S,19,0)*1,0)</f>
        <v/>
      </c>
      <c r="AS22" s="29">
        <f>IFERROR(VLOOKUP(AA22,RULES!$A:$T,20,0)*1,0)</f>
        <v/>
      </c>
      <c r="AT22" s="29">
        <f>IFERROR(VLOOKUP(AA22,RULES!$A:$U,21,0)*1,0)</f>
        <v/>
      </c>
      <c r="AU22" s="29">
        <f>IFERROR(VLOOKUP(AA22,RULES!$A:$V,22,0)*1,0)</f>
        <v/>
      </c>
      <c r="AV22" s="29">
        <f>IFERROR(VLOOKUP(AA22,RULES!$A:$W,23,0)*1,0)</f>
        <v/>
      </c>
      <c r="AW22" s="29">
        <f>IFERROR(IF(VLOOKUP(AA22,RULES!$A:$X,24,0)="",999999,VLOOKUP(AA22,RULES!$A:$X,24,0)*1),999999)</f>
        <v/>
      </c>
      <c r="AX22" s="29">
        <f>IFERROR(VLOOKUP(AA22,RULES!$A:$Y,25,0)*1,0)</f>
        <v/>
      </c>
      <c r="AY22" s="29">
        <f>IFERROR(VLOOKUP(AA22,RULES!$A:$Z,26,0),"NONE")</f>
        <v/>
      </c>
      <c r="AZ22" s="29">
        <f>IFERROR(VLOOKUP(AA22,RULES!$A:$AA,27,0)*1,0)</f>
        <v/>
      </c>
      <c r="BA22" s="29">
        <f>IFERROR(VLOOKUP(AA22,RULES!$A:$AB,28,0)*1,0)</f>
        <v/>
      </c>
    </row>
    <row r="23" ht="17" customHeight="1">
      <c r="A23" s="22" t="inlineStr">
        <is>
          <t>3420</t>
        </is>
      </c>
      <c r="B23" s="48" t="inlineStr">
        <is>
          <t>ACC004</t>
        </is>
      </c>
      <c r="C23" s="48" t="inlineStr">
        <is>
          <t>DEFAULT</t>
        </is>
      </c>
      <c r="D23" s="47" t="n"/>
      <c r="E23" s="22">
        <f>IF(OR(D23="",D23=0),"INACTIVE","ACTIVE")</f>
        <v/>
      </c>
      <c r="F23" s="48" t="inlineStr">
        <is>
          <t>NORMAL</t>
        </is>
      </c>
      <c r="G23" s="25" t="n"/>
      <c r="H23" s="25" t="n"/>
      <c r="I23" s="26">
        <f>IF(OR(E23="INACTIVE",H23=""),0,MAX(0,H23-G23))</f>
        <v/>
      </c>
      <c r="J23" s="23" t="n"/>
      <c r="K23" s="26">
        <f>IF(OR(E23="INACTIVE",H23=""),0,IF(AB23="DISABLED",0,IF(AB23="FLAT",AE23,IF(AB23="MANUAL",IF(J23="",0,J23*AC23),IF(AB23="STEP",IF(I23&lt;=AF23,I23*AG23,IF(I23&lt;=AH23,AF23*AG23+(I23-AF23)*AI23,AF23*AG23+(AH23-AF23)*AI23+(I23-AH23)*AK23)),MAX(I23*AC23,AD23))))))</f>
        <v/>
      </c>
      <c r="L23" s="26">
        <f>IF(OR(E23="INACTIVE",H23=""),0,IF(AL23="NONE",0,IF(AL23="FLAT",AM23,IF(AL23="PER_UNIT",I23*AN23,IF(AL23="MANUAL",IF(M23="",0,M23),0)))))</f>
        <v/>
      </c>
      <c r="M23" s="23" t="n"/>
      <c r="N23" s="48" t="inlineStr">
        <is>
          <t>NORMAL</t>
        </is>
      </c>
      <c r="O23" s="25" t="n"/>
      <c r="P23" s="25" t="n"/>
      <c r="Q23" s="26">
        <f>IF(OR(E23="INACTIVE",P23=""),0,MAX(0,P23-O23))</f>
        <v/>
      </c>
      <c r="R23" s="23" t="n"/>
      <c r="S23" s="26">
        <f>IF(OR(E23="INACTIVE",P23=""),0,IF(AO23="DISABLED",0,IF(AO23="FLAT",AR23,IF(AO23="MANUAL",IF(R23="",0,R23*AP23),IF(AO23="STEP",IF(Q23&lt;=AS23,Q23*AT23,IF(Q23&lt;=AU23,AS23*AT23+(Q23-AS23)*AV23,AS23*AT23+(AU23-AS23)*AV23+(Q23-AU23)*AX23)),MAX(Q23*AP23,AQ23))))))</f>
        <v/>
      </c>
      <c r="T23" s="26">
        <f>IF(OR(E23="INACTIVE",P23=""),0,IF(AY23="NONE",0,IF(AY23="FLAT",AZ23,IF(AY23="PER_UNIT",Q23*BA23,IF(AY23="MANUAL",IF(U23="",0,U23),0)))))</f>
        <v/>
      </c>
      <c r="U23" s="23" t="n"/>
      <c r="V23" s="25" t="n"/>
      <c r="W23" s="25" t="n"/>
      <c r="X23" s="26">
        <f>IF(E23="INACTIVE",0,D23+K23+L23+S23+T23+IF(V23="",0,V23)+IF(W23="",0,W23))</f>
        <v/>
      </c>
      <c r="Y23" s="27" t="n"/>
      <c r="Z23" s="28">
        <f>IF(E23="INACTIVE","_",IF(AND(G23&gt;0,H23&gt;0,H23&lt;G23),"[!]น้ำ reset ","")&amp;IF(AND(O23&gt;0,P23&gt;0,P23&lt;O23),"[!]ไฟ reset ","")&amp;IF(AND(F23="MANUAL",J23=""),"[X]units น้ำ ","")&amp;IF(AND(N23="MANUAL",R23=""),"[X]units ไฟ ","")&amp;IF(D23=0,"[!]ค่าเช่า=0",""))</f>
        <v/>
      </c>
      <c r="AA23" s="29">
        <f>IF(C23&lt;&gt;"",C23,CONFIG!$B$6)</f>
        <v/>
      </c>
      <c r="AB23" s="29">
        <f>IF(F23&lt;&gt;"",F23,IFERROR(VLOOKUP(AA23,RULES!$A:$C,3,0),CONFIG!$B$7))</f>
        <v/>
      </c>
      <c r="AC23" s="29">
        <f>IF(IFERROR(VLOOKUP(AA23,RULES!$A:$D,4,0),"")="",CONFIG!$B$10,VLOOKUP(AA23,RULES!$A:$D,4,0))</f>
        <v/>
      </c>
      <c r="AD23" s="29">
        <f>IF(IFERROR(VLOOKUP(AA23,RULES!$A:$E,5,0),"")="",CONFIG!$B$11,VLOOKUP(AA23,RULES!$A:$E,5,0))</f>
        <v/>
      </c>
      <c r="AE23" s="29">
        <f>IFERROR(VLOOKUP(AA23,RULES!$A:$F,6,0)*1,0)</f>
        <v/>
      </c>
      <c r="AF23" s="29">
        <f>IFERROR(VLOOKUP(AA23,RULES!$A:$G,7,0)*1,0)</f>
        <v/>
      </c>
      <c r="AG23" s="29">
        <f>IFERROR(VLOOKUP(AA23,RULES!$A:$H,8,0)*1,0)</f>
        <v/>
      </c>
      <c r="AH23" s="29">
        <f>IFERROR(VLOOKUP(AA23,RULES!$A:$I,9,0)*1,0)</f>
        <v/>
      </c>
      <c r="AI23" s="29">
        <f>IFERROR(VLOOKUP(AA23,RULES!$A:$J,10,0)*1,0)</f>
        <v/>
      </c>
      <c r="AJ23" s="29">
        <f>IFERROR(IF(VLOOKUP(AA23,RULES!$A:$K,11,0)="",999999,VLOOKUP(AA23,RULES!$A:$K,11,0)*1),999999)</f>
        <v/>
      </c>
      <c r="AK23" s="29">
        <f>IFERROR(VLOOKUP(AA23,RULES!$A:$L,12,0)*1,0)</f>
        <v/>
      </c>
      <c r="AL23" s="29">
        <f>IFERROR(VLOOKUP(AA23,RULES!$A:$M,13,0),"NONE")</f>
        <v/>
      </c>
      <c r="AM23" s="29">
        <f>IFERROR(VLOOKUP(AA23,RULES!$A:$N,14,0)*1,0)</f>
        <v/>
      </c>
      <c r="AN23" s="29">
        <f>IFERROR(VLOOKUP(AA23,RULES!$A:$O,15,0)*1,0)</f>
        <v/>
      </c>
      <c r="AO23" s="29">
        <f>IF(N23&lt;&gt;"",N23,IFERROR(VLOOKUP(AA23,RULES!$A:$P,16,0),CONFIG!$B$8))</f>
        <v/>
      </c>
      <c r="AP23" s="29">
        <f>IF(IFERROR(VLOOKUP(AA23,RULES!$A:$Q,17,0),"")="",CONFIG!$B$13,VLOOKUP(AA23,RULES!$A:$Q,17,0))</f>
        <v/>
      </c>
      <c r="AQ23" s="29">
        <f>IF(IFERROR(VLOOKUP(AA23,RULES!$A:$R,18,0),"")="",CONFIG!$B$14,VLOOKUP(AA23,RULES!$A:$R,18,0))</f>
        <v/>
      </c>
      <c r="AR23" s="29">
        <f>IFERROR(VLOOKUP(AA23,RULES!$A:$S,19,0)*1,0)</f>
        <v/>
      </c>
      <c r="AS23" s="29">
        <f>IFERROR(VLOOKUP(AA23,RULES!$A:$T,20,0)*1,0)</f>
        <v/>
      </c>
      <c r="AT23" s="29">
        <f>IFERROR(VLOOKUP(AA23,RULES!$A:$U,21,0)*1,0)</f>
        <v/>
      </c>
      <c r="AU23" s="29">
        <f>IFERROR(VLOOKUP(AA23,RULES!$A:$V,22,0)*1,0)</f>
        <v/>
      </c>
      <c r="AV23" s="29">
        <f>IFERROR(VLOOKUP(AA23,RULES!$A:$W,23,0)*1,0)</f>
        <v/>
      </c>
      <c r="AW23" s="29">
        <f>IFERROR(IF(VLOOKUP(AA23,RULES!$A:$X,24,0)="",999999,VLOOKUP(AA23,RULES!$A:$X,24,0)*1),999999)</f>
        <v/>
      </c>
      <c r="AX23" s="29">
        <f>IFERROR(VLOOKUP(AA23,RULES!$A:$Y,25,0)*1,0)</f>
        <v/>
      </c>
      <c r="AY23" s="29">
        <f>IFERROR(VLOOKUP(AA23,RULES!$A:$Z,26,0),"NONE")</f>
        <v/>
      </c>
      <c r="AZ23" s="29">
        <f>IFERROR(VLOOKUP(AA23,RULES!$A:$AA,27,0)*1,0)</f>
        <v/>
      </c>
      <c r="BA23" s="29">
        <f>IFERROR(VLOOKUP(AA23,RULES!$A:$AB,28,0)*1,0)</f>
        <v/>
      </c>
    </row>
    <row r="24" ht="17" customHeight="1">
      <c r="A24" s="22" t="inlineStr">
        <is>
          <t>3421</t>
        </is>
      </c>
      <c r="B24" s="48" t="inlineStr">
        <is>
          <t>ACC004</t>
        </is>
      </c>
      <c r="C24" s="48" t="inlineStr">
        <is>
          <t>DEFAULT</t>
        </is>
      </c>
      <c r="D24" s="47" t="n"/>
      <c r="E24" s="22">
        <f>IF(OR(D24="",D24=0),"INACTIVE","ACTIVE")</f>
        <v/>
      </c>
      <c r="F24" s="48" t="inlineStr">
        <is>
          <t>NORMAL</t>
        </is>
      </c>
      <c r="G24" s="25" t="n"/>
      <c r="H24" s="25" t="n"/>
      <c r="I24" s="26">
        <f>IF(OR(E24="INACTIVE",H24=""),0,MAX(0,H24-G24))</f>
        <v/>
      </c>
      <c r="J24" s="23" t="n"/>
      <c r="K24" s="26">
        <f>IF(OR(E24="INACTIVE",H24=""),0,IF(AB24="DISABLED",0,IF(AB24="FLAT",AE24,IF(AB24="MANUAL",IF(J24="",0,J24*AC24),IF(AB24="STEP",IF(I24&lt;=AF24,I24*AG24,IF(I24&lt;=AH24,AF24*AG24+(I24-AF24)*AI24,AF24*AG24+(AH24-AF24)*AI24+(I24-AH24)*AK24)),MAX(I24*AC24,AD24))))))</f>
        <v/>
      </c>
      <c r="L24" s="26">
        <f>IF(OR(E24="INACTIVE",H24=""),0,IF(AL24="NONE",0,IF(AL24="FLAT",AM24,IF(AL24="PER_UNIT",I24*AN24,IF(AL24="MANUAL",IF(M24="",0,M24),0)))))</f>
        <v/>
      </c>
      <c r="M24" s="23" t="n"/>
      <c r="N24" s="48" t="inlineStr">
        <is>
          <t>NORMAL</t>
        </is>
      </c>
      <c r="O24" s="25" t="n"/>
      <c r="P24" s="25" t="n"/>
      <c r="Q24" s="26">
        <f>IF(OR(E24="INACTIVE",P24=""),0,MAX(0,P24-O24))</f>
        <v/>
      </c>
      <c r="R24" s="23" t="n"/>
      <c r="S24" s="26">
        <f>IF(OR(E24="INACTIVE",P24=""),0,IF(AO24="DISABLED",0,IF(AO24="FLAT",AR24,IF(AO24="MANUAL",IF(R24="",0,R24*AP24),IF(AO24="STEP",IF(Q24&lt;=AS24,Q24*AT24,IF(Q24&lt;=AU24,AS24*AT24+(Q24-AS24)*AV24,AS24*AT24+(AU24-AS24)*AV24+(Q24-AU24)*AX24)),MAX(Q24*AP24,AQ24))))))</f>
        <v/>
      </c>
      <c r="T24" s="26">
        <f>IF(OR(E24="INACTIVE",P24=""),0,IF(AY24="NONE",0,IF(AY24="FLAT",AZ24,IF(AY24="PER_UNIT",Q24*BA24,IF(AY24="MANUAL",IF(U24="",0,U24),0)))))</f>
        <v/>
      </c>
      <c r="U24" s="23" t="n"/>
      <c r="V24" s="25" t="n"/>
      <c r="W24" s="25" t="n"/>
      <c r="X24" s="26">
        <f>IF(E24="INACTIVE",0,D24+K24+L24+S24+T24+IF(V24="",0,V24)+IF(W24="",0,W24))</f>
        <v/>
      </c>
      <c r="Y24" s="27" t="n"/>
      <c r="Z24" s="28">
        <f>IF(E24="INACTIVE","_",IF(AND(G24&gt;0,H24&gt;0,H24&lt;G24),"[!]น้ำ reset ","")&amp;IF(AND(O24&gt;0,P24&gt;0,P24&lt;O24),"[!]ไฟ reset ","")&amp;IF(AND(F24="MANUAL",J24=""),"[X]units น้ำ ","")&amp;IF(AND(N24="MANUAL",R24=""),"[X]units ไฟ ","")&amp;IF(D24=0,"[!]ค่าเช่า=0",""))</f>
        <v/>
      </c>
      <c r="AA24" s="29">
        <f>IF(C24&lt;&gt;"",C24,CONFIG!$B$6)</f>
        <v/>
      </c>
      <c r="AB24" s="29">
        <f>IF(F24&lt;&gt;"",F24,IFERROR(VLOOKUP(AA24,RULES!$A:$C,3,0),CONFIG!$B$7))</f>
        <v/>
      </c>
      <c r="AC24" s="29">
        <f>IF(IFERROR(VLOOKUP(AA24,RULES!$A:$D,4,0),"")="",CONFIG!$B$10,VLOOKUP(AA24,RULES!$A:$D,4,0))</f>
        <v/>
      </c>
      <c r="AD24" s="29">
        <f>IF(IFERROR(VLOOKUP(AA24,RULES!$A:$E,5,0),"")="",CONFIG!$B$11,VLOOKUP(AA24,RULES!$A:$E,5,0))</f>
        <v/>
      </c>
      <c r="AE24" s="29">
        <f>IFERROR(VLOOKUP(AA24,RULES!$A:$F,6,0)*1,0)</f>
        <v/>
      </c>
      <c r="AF24" s="29">
        <f>IFERROR(VLOOKUP(AA24,RULES!$A:$G,7,0)*1,0)</f>
        <v/>
      </c>
      <c r="AG24" s="29">
        <f>IFERROR(VLOOKUP(AA24,RULES!$A:$H,8,0)*1,0)</f>
        <v/>
      </c>
      <c r="AH24" s="29">
        <f>IFERROR(VLOOKUP(AA24,RULES!$A:$I,9,0)*1,0)</f>
        <v/>
      </c>
      <c r="AI24" s="29">
        <f>IFERROR(VLOOKUP(AA24,RULES!$A:$J,10,0)*1,0)</f>
        <v/>
      </c>
      <c r="AJ24" s="29">
        <f>IFERROR(IF(VLOOKUP(AA24,RULES!$A:$K,11,0)="",999999,VLOOKUP(AA24,RULES!$A:$K,11,0)*1),999999)</f>
        <v/>
      </c>
      <c r="AK24" s="29">
        <f>IFERROR(VLOOKUP(AA24,RULES!$A:$L,12,0)*1,0)</f>
        <v/>
      </c>
      <c r="AL24" s="29">
        <f>IFERROR(VLOOKUP(AA24,RULES!$A:$M,13,0),"NONE")</f>
        <v/>
      </c>
      <c r="AM24" s="29">
        <f>IFERROR(VLOOKUP(AA24,RULES!$A:$N,14,0)*1,0)</f>
        <v/>
      </c>
      <c r="AN24" s="29">
        <f>IFERROR(VLOOKUP(AA24,RULES!$A:$O,15,0)*1,0)</f>
        <v/>
      </c>
      <c r="AO24" s="29">
        <f>IF(N24&lt;&gt;"",N24,IFERROR(VLOOKUP(AA24,RULES!$A:$P,16,0),CONFIG!$B$8))</f>
        <v/>
      </c>
      <c r="AP24" s="29">
        <f>IF(IFERROR(VLOOKUP(AA24,RULES!$A:$Q,17,0),"")="",CONFIG!$B$13,VLOOKUP(AA24,RULES!$A:$Q,17,0))</f>
        <v/>
      </c>
      <c r="AQ24" s="29">
        <f>IF(IFERROR(VLOOKUP(AA24,RULES!$A:$R,18,0),"")="",CONFIG!$B$14,VLOOKUP(AA24,RULES!$A:$R,18,0))</f>
        <v/>
      </c>
      <c r="AR24" s="29">
        <f>IFERROR(VLOOKUP(AA24,RULES!$A:$S,19,0)*1,0)</f>
        <v/>
      </c>
      <c r="AS24" s="29">
        <f>IFERROR(VLOOKUP(AA24,RULES!$A:$T,20,0)*1,0)</f>
        <v/>
      </c>
      <c r="AT24" s="29">
        <f>IFERROR(VLOOKUP(AA24,RULES!$A:$U,21,0)*1,0)</f>
        <v/>
      </c>
      <c r="AU24" s="29">
        <f>IFERROR(VLOOKUP(AA24,RULES!$A:$V,22,0)*1,0)</f>
        <v/>
      </c>
      <c r="AV24" s="29">
        <f>IFERROR(VLOOKUP(AA24,RULES!$A:$W,23,0)*1,0)</f>
        <v/>
      </c>
      <c r="AW24" s="29">
        <f>IFERROR(IF(VLOOKUP(AA24,RULES!$A:$X,24,0)="",999999,VLOOKUP(AA24,RULES!$A:$X,24,0)*1),999999)</f>
        <v/>
      </c>
      <c r="AX24" s="29">
        <f>IFERROR(VLOOKUP(AA24,RULES!$A:$Y,25,0)*1,0)</f>
        <v/>
      </c>
      <c r="AY24" s="29">
        <f>IFERROR(VLOOKUP(AA24,RULES!$A:$Z,26,0),"NONE")</f>
        <v/>
      </c>
      <c r="AZ24" s="29">
        <f>IFERROR(VLOOKUP(AA24,RULES!$A:$AA,27,0)*1,0)</f>
        <v/>
      </c>
      <c r="BA24" s="29">
        <f>IFERROR(VLOOKUP(AA24,RULES!$A:$AB,28,0)*1,0)</f>
        <v/>
      </c>
    </row>
    <row r="25" ht="17" customHeight="1">
      <c r="A25" s="22" t="inlineStr">
        <is>
          <t>3422</t>
        </is>
      </c>
      <c r="B25" s="48" t="inlineStr">
        <is>
          <t>ACC004</t>
        </is>
      </c>
      <c r="C25" s="48" t="inlineStr">
        <is>
          <t>DEFAULT</t>
        </is>
      </c>
      <c r="D25" s="47" t="n"/>
      <c r="E25" s="22">
        <f>IF(OR(D25="",D25=0),"INACTIVE","ACTIVE")</f>
        <v/>
      </c>
      <c r="F25" s="48" t="inlineStr">
        <is>
          <t>NORMAL</t>
        </is>
      </c>
      <c r="G25" s="25" t="n"/>
      <c r="H25" s="25" t="n"/>
      <c r="I25" s="26">
        <f>IF(OR(E25="INACTIVE",H25=""),0,MAX(0,H25-G25))</f>
        <v/>
      </c>
      <c r="J25" s="23" t="n"/>
      <c r="K25" s="26">
        <f>IF(OR(E25="INACTIVE",H25=""),0,IF(AB25="DISABLED",0,IF(AB25="FLAT",AE25,IF(AB25="MANUAL",IF(J25="",0,J25*AC25),IF(AB25="STEP",IF(I25&lt;=AF25,I25*AG25,IF(I25&lt;=AH25,AF25*AG25+(I25-AF25)*AI25,AF25*AG25+(AH25-AF25)*AI25+(I25-AH25)*AK25)),MAX(I25*AC25,AD25))))))</f>
        <v/>
      </c>
      <c r="L25" s="26">
        <f>IF(OR(E25="INACTIVE",H25=""),0,IF(AL25="NONE",0,IF(AL25="FLAT",AM25,IF(AL25="PER_UNIT",I25*AN25,IF(AL25="MANUAL",IF(M25="",0,M25),0)))))</f>
        <v/>
      </c>
      <c r="M25" s="23" t="n"/>
      <c r="N25" s="48" t="inlineStr">
        <is>
          <t>NORMAL</t>
        </is>
      </c>
      <c r="O25" s="25" t="n"/>
      <c r="P25" s="25" t="n"/>
      <c r="Q25" s="26">
        <f>IF(OR(E25="INACTIVE",P25=""),0,MAX(0,P25-O25))</f>
        <v/>
      </c>
      <c r="R25" s="23" t="n"/>
      <c r="S25" s="26">
        <f>IF(OR(E25="INACTIVE",P25=""),0,IF(AO25="DISABLED",0,IF(AO25="FLAT",AR25,IF(AO25="MANUAL",IF(R25="",0,R25*AP25),IF(AO25="STEP",IF(Q25&lt;=AS25,Q25*AT25,IF(Q25&lt;=AU25,AS25*AT25+(Q25-AS25)*AV25,AS25*AT25+(AU25-AS25)*AV25+(Q25-AU25)*AX25)),MAX(Q25*AP25,AQ25))))))</f>
        <v/>
      </c>
      <c r="T25" s="26">
        <f>IF(OR(E25="INACTIVE",P25=""),0,IF(AY25="NONE",0,IF(AY25="FLAT",AZ25,IF(AY25="PER_UNIT",Q25*BA25,IF(AY25="MANUAL",IF(U25="",0,U25),0)))))</f>
        <v/>
      </c>
      <c r="U25" s="23" t="n"/>
      <c r="V25" s="25" t="n"/>
      <c r="W25" s="25" t="n"/>
      <c r="X25" s="26">
        <f>IF(E25="INACTIVE",0,D25+K25+L25+S25+T25+IF(V25="",0,V25)+IF(W25="",0,W25))</f>
        <v/>
      </c>
      <c r="Y25" s="27" t="n"/>
      <c r="Z25" s="28">
        <f>IF(E25="INACTIVE","_",IF(AND(G25&gt;0,H25&gt;0,H25&lt;G25),"[!]น้ำ reset ","")&amp;IF(AND(O25&gt;0,P25&gt;0,P25&lt;O25),"[!]ไฟ reset ","")&amp;IF(AND(F25="MANUAL",J25=""),"[X]units น้ำ ","")&amp;IF(AND(N25="MANUAL",R25=""),"[X]units ไฟ ","")&amp;IF(D25=0,"[!]ค่าเช่า=0",""))</f>
        <v/>
      </c>
      <c r="AA25" s="29">
        <f>IF(C25&lt;&gt;"",C25,CONFIG!$B$6)</f>
        <v/>
      </c>
      <c r="AB25" s="29">
        <f>IF(F25&lt;&gt;"",F25,IFERROR(VLOOKUP(AA25,RULES!$A:$C,3,0),CONFIG!$B$7))</f>
        <v/>
      </c>
      <c r="AC25" s="29">
        <f>IF(IFERROR(VLOOKUP(AA25,RULES!$A:$D,4,0),"")="",CONFIG!$B$10,VLOOKUP(AA25,RULES!$A:$D,4,0))</f>
        <v/>
      </c>
      <c r="AD25" s="29">
        <f>IF(IFERROR(VLOOKUP(AA25,RULES!$A:$E,5,0),"")="",CONFIG!$B$11,VLOOKUP(AA25,RULES!$A:$E,5,0))</f>
        <v/>
      </c>
      <c r="AE25" s="29">
        <f>IFERROR(VLOOKUP(AA25,RULES!$A:$F,6,0)*1,0)</f>
        <v/>
      </c>
      <c r="AF25" s="29">
        <f>IFERROR(VLOOKUP(AA25,RULES!$A:$G,7,0)*1,0)</f>
        <v/>
      </c>
      <c r="AG25" s="29">
        <f>IFERROR(VLOOKUP(AA25,RULES!$A:$H,8,0)*1,0)</f>
        <v/>
      </c>
      <c r="AH25" s="29">
        <f>IFERROR(VLOOKUP(AA25,RULES!$A:$I,9,0)*1,0)</f>
        <v/>
      </c>
      <c r="AI25" s="29">
        <f>IFERROR(VLOOKUP(AA25,RULES!$A:$J,10,0)*1,0)</f>
        <v/>
      </c>
      <c r="AJ25" s="29">
        <f>IFERROR(IF(VLOOKUP(AA25,RULES!$A:$K,11,0)="",999999,VLOOKUP(AA25,RULES!$A:$K,11,0)*1),999999)</f>
        <v/>
      </c>
      <c r="AK25" s="29">
        <f>IFERROR(VLOOKUP(AA25,RULES!$A:$L,12,0)*1,0)</f>
        <v/>
      </c>
      <c r="AL25" s="29">
        <f>IFERROR(VLOOKUP(AA25,RULES!$A:$M,13,0),"NONE")</f>
        <v/>
      </c>
      <c r="AM25" s="29">
        <f>IFERROR(VLOOKUP(AA25,RULES!$A:$N,14,0)*1,0)</f>
        <v/>
      </c>
      <c r="AN25" s="29">
        <f>IFERROR(VLOOKUP(AA25,RULES!$A:$O,15,0)*1,0)</f>
        <v/>
      </c>
      <c r="AO25" s="29">
        <f>IF(N25&lt;&gt;"",N25,IFERROR(VLOOKUP(AA25,RULES!$A:$P,16,0),CONFIG!$B$8))</f>
        <v/>
      </c>
      <c r="AP25" s="29">
        <f>IF(IFERROR(VLOOKUP(AA25,RULES!$A:$Q,17,0),"")="",CONFIG!$B$13,VLOOKUP(AA25,RULES!$A:$Q,17,0))</f>
        <v/>
      </c>
      <c r="AQ25" s="29">
        <f>IF(IFERROR(VLOOKUP(AA25,RULES!$A:$R,18,0),"")="",CONFIG!$B$14,VLOOKUP(AA25,RULES!$A:$R,18,0))</f>
        <v/>
      </c>
      <c r="AR25" s="29">
        <f>IFERROR(VLOOKUP(AA25,RULES!$A:$S,19,0)*1,0)</f>
        <v/>
      </c>
      <c r="AS25" s="29">
        <f>IFERROR(VLOOKUP(AA25,RULES!$A:$T,20,0)*1,0)</f>
        <v/>
      </c>
      <c r="AT25" s="29">
        <f>IFERROR(VLOOKUP(AA25,RULES!$A:$U,21,0)*1,0)</f>
        <v/>
      </c>
      <c r="AU25" s="29">
        <f>IFERROR(VLOOKUP(AA25,RULES!$A:$V,22,0)*1,0)</f>
        <v/>
      </c>
      <c r="AV25" s="29">
        <f>IFERROR(VLOOKUP(AA25,RULES!$A:$W,23,0)*1,0)</f>
        <v/>
      </c>
      <c r="AW25" s="29">
        <f>IFERROR(IF(VLOOKUP(AA25,RULES!$A:$X,24,0)="",999999,VLOOKUP(AA25,RULES!$A:$X,24,0)*1),999999)</f>
        <v/>
      </c>
      <c r="AX25" s="29">
        <f>IFERROR(VLOOKUP(AA25,RULES!$A:$Y,25,0)*1,0)</f>
        <v/>
      </c>
      <c r="AY25" s="29">
        <f>IFERROR(VLOOKUP(AA25,RULES!$A:$Z,26,0),"NONE")</f>
        <v/>
      </c>
      <c r="AZ25" s="29">
        <f>IFERROR(VLOOKUP(AA25,RULES!$A:$AA,27,0)*1,0)</f>
        <v/>
      </c>
      <c r="BA25" s="29">
        <f>IFERROR(VLOOKUP(AA25,RULES!$A:$AB,28,0)*1,0)</f>
        <v/>
      </c>
    </row>
    <row r="26" ht="17" customHeight="1">
      <c r="A26" s="22" t="inlineStr">
        <is>
          <t>3423</t>
        </is>
      </c>
      <c r="B26" s="48" t="inlineStr">
        <is>
          <t>ACC004</t>
        </is>
      </c>
      <c r="C26" s="48" t="inlineStr">
        <is>
          <t>DEFAULT</t>
        </is>
      </c>
      <c r="D26" s="47" t="n"/>
      <c r="E26" s="22">
        <f>IF(OR(D26="",D26=0),"INACTIVE","ACTIVE")</f>
        <v/>
      </c>
      <c r="F26" s="48" t="inlineStr">
        <is>
          <t>NORMAL</t>
        </is>
      </c>
      <c r="G26" s="25" t="n"/>
      <c r="H26" s="25" t="n"/>
      <c r="I26" s="26">
        <f>IF(OR(E26="INACTIVE",H26=""),0,MAX(0,H26-G26))</f>
        <v/>
      </c>
      <c r="J26" s="23" t="n"/>
      <c r="K26" s="26">
        <f>IF(OR(E26="INACTIVE",H26=""),0,IF(AB26="DISABLED",0,IF(AB26="FLAT",AE26,IF(AB26="MANUAL",IF(J26="",0,J26*AC26),IF(AB26="STEP",IF(I26&lt;=AF26,I26*AG26,IF(I26&lt;=AH26,AF26*AG26+(I26-AF26)*AI26,AF26*AG26+(AH26-AF26)*AI26+(I26-AH26)*AK26)),MAX(I26*AC26,AD26))))))</f>
        <v/>
      </c>
      <c r="L26" s="26">
        <f>IF(OR(E26="INACTIVE",H26=""),0,IF(AL26="NONE",0,IF(AL26="FLAT",AM26,IF(AL26="PER_UNIT",I26*AN26,IF(AL26="MANUAL",IF(M26="",0,M26),0)))))</f>
        <v/>
      </c>
      <c r="M26" s="23" t="n"/>
      <c r="N26" s="48" t="inlineStr">
        <is>
          <t>NORMAL</t>
        </is>
      </c>
      <c r="O26" s="25" t="n"/>
      <c r="P26" s="25" t="n"/>
      <c r="Q26" s="26">
        <f>IF(OR(E26="INACTIVE",P26=""),0,MAX(0,P26-O26))</f>
        <v/>
      </c>
      <c r="R26" s="23" t="n"/>
      <c r="S26" s="26">
        <f>IF(OR(E26="INACTIVE",P26=""),0,IF(AO26="DISABLED",0,IF(AO26="FLAT",AR26,IF(AO26="MANUAL",IF(R26="",0,R26*AP26),IF(AO26="STEP",IF(Q26&lt;=AS26,Q26*AT26,IF(Q26&lt;=AU26,AS26*AT26+(Q26-AS26)*AV26,AS26*AT26+(AU26-AS26)*AV26+(Q26-AU26)*AX26)),MAX(Q26*AP26,AQ26))))))</f>
        <v/>
      </c>
      <c r="T26" s="26">
        <f>IF(OR(E26="INACTIVE",P26=""),0,IF(AY26="NONE",0,IF(AY26="FLAT",AZ26,IF(AY26="PER_UNIT",Q26*BA26,IF(AY26="MANUAL",IF(U26="",0,U26),0)))))</f>
        <v/>
      </c>
      <c r="U26" s="23" t="n"/>
      <c r="V26" s="25" t="n"/>
      <c r="W26" s="25" t="n"/>
      <c r="X26" s="26">
        <f>IF(E26="INACTIVE",0,D26+K26+L26+S26+T26+IF(V26="",0,V26)+IF(W26="",0,W26))</f>
        <v/>
      </c>
      <c r="Y26" s="27" t="n"/>
      <c r="Z26" s="28">
        <f>IF(E26="INACTIVE","_",IF(AND(G26&gt;0,H26&gt;0,H26&lt;G26),"[!]น้ำ reset ","")&amp;IF(AND(O26&gt;0,P26&gt;0,P26&lt;O26),"[!]ไฟ reset ","")&amp;IF(AND(F26="MANUAL",J26=""),"[X]units น้ำ ","")&amp;IF(AND(N26="MANUAL",R26=""),"[X]units ไฟ ","")&amp;IF(D26=0,"[!]ค่าเช่า=0",""))</f>
        <v/>
      </c>
      <c r="AA26" s="29">
        <f>IF(C26&lt;&gt;"",C26,CONFIG!$B$6)</f>
        <v/>
      </c>
      <c r="AB26" s="29">
        <f>IF(F26&lt;&gt;"",F26,IFERROR(VLOOKUP(AA26,RULES!$A:$C,3,0),CONFIG!$B$7))</f>
        <v/>
      </c>
      <c r="AC26" s="29">
        <f>IF(IFERROR(VLOOKUP(AA26,RULES!$A:$D,4,0),"")="",CONFIG!$B$10,VLOOKUP(AA26,RULES!$A:$D,4,0))</f>
        <v/>
      </c>
      <c r="AD26" s="29">
        <f>IF(IFERROR(VLOOKUP(AA26,RULES!$A:$E,5,0),"")="",CONFIG!$B$11,VLOOKUP(AA26,RULES!$A:$E,5,0))</f>
        <v/>
      </c>
      <c r="AE26" s="29">
        <f>IFERROR(VLOOKUP(AA26,RULES!$A:$F,6,0)*1,0)</f>
        <v/>
      </c>
      <c r="AF26" s="29">
        <f>IFERROR(VLOOKUP(AA26,RULES!$A:$G,7,0)*1,0)</f>
        <v/>
      </c>
      <c r="AG26" s="29">
        <f>IFERROR(VLOOKUP(AA26,RULES!$A:$H,8,0)*1,0)</f>
        <v/>
      </c>
      <c r="AH26" s="29">
        <f>IFERROR(VLOOKUP(AA26,RULES!$A:$I,9,0)*1,0)</f>
        <v/>
      </c>
      <c r="AI26" s="29">
        <f>IFERROR(VLOOKUP(AA26,RULES!$A:$J,10,0)*1,0)</f>
        <v/>
      </c>
      <c r="AJ26" s="29">
        <f>IFERROR(IF(VLOOKUP(AA26,RULES!$A:$K,11,0)="",999999,VLOOKUP(AA26,RULES!$A:$K,11,0)*1),999999)</f>
        <v/>
      </c>
      <c r="AK26" s="29">
        <f>IFERROR(VLOOKUP(AA26,RULES!$A:$L,12,0)*1,0)</f>
        <v/>
      </c>
      <c r="AL26" s="29">
        <f>IFERROR(VLOOKUP(AA26,RULES!$A:$M,13,0),"NONE")</f>
        <v/>
      </c>
      <c r="AM26" s="29">
        <f>IFERROR(VLOOKUP(AA26,RULES!$A:$N,14,0)*1,0)</f>
        <v/>
      </c>
      <c r="AN26" s="29">
        <f>IFERROR(VLOOKUP(AA26,RULES!$A:$O,15,0)*1,0)</f>
        <v/>
      </c>
      <c r="AO26" s="29">
        <f>IF(N26&lt;&gt;"",N26,IFERROR(VLOOKUP(AA26,RULES!$A:$P,16,0),CONFIG!$B$8))</f>
        <v/>
      </c>
      <c r="AP26" s="29">
        <f>IF(IFERROR(VLOOKUP(AA26,RULES!$A:$Q,17,0),"")="",CONFIG!$B$13,VLOOKUP(AA26,RULES!$A:$Q,17,0))</f>
        <v/>
      </c>
      <c r="AQ26" s="29">
        <f>IF(IFERROR(VLOOKUP(AA26,RULES!$A:$R,18,0),"")="",CONFIG!$B$14,VLOOKUP(AA26,RULES!$A:$R,18,0))</f>
        <v/>
      </c>
      <c r="AR26" s="29">
        <f>IFERROR(VLOOKUP(AA26,RULES!$A:$S,19,0)*1,0)</f>
        <v/>
      </c>
      <c r="AS26" s="29">
        <f>IFERROR(VLOOKUP(AA26,RULES!$A:$T,20,0)*1,0)</f>
        <v/>
      </c>
      <c r="AT26" s="29">
        <f>IFERROR(VLOOKUP(AA26,RULES!$A:$U,21,0)*1,0)</f>
        <v/>
      </c>
      <c r="AU26" s="29">
        <f>IFERROR(VLOOKUP(AA26,RULES!$A:$V,22,0)*1,0)</f>
        <v/>
      </c>
      <c r="AV26" s="29">
        <f>IFERROR(VLOOKUP(AA26,RULES!$A:$W,23,0)*1,0)</f>
        <v/>
      </c>
      <c r="AW26" s="29">
        <f>IFERROR(IF(VLOOKUP(AA26,RULES!$A:$X,24,0)="",999999,VLOOKUP(AA26,RULES!$A:$X,24,0)*1),999999)</f>
        <v/>
      </c>
      <c r="AX26" s="29">
        <f>IFERROR(VLOOKUP(AA26,RULES!$A:$Y,25,0)*1,0)</f>
        <v/>
      </c>
      <c r="AY26" s="29">
        <f>IFERROR(VLOOKUP(AA26,RULES!$A:$Z,26,0),"NONE")</f>
        <v/>
      </c>
      <c r="AZ26" s="29">
        <f>IFERROR(VLOOKUP(AA26,RULES!$A:$AA,27,0)*1,0)</f>
        <v/>
      </c>
      <c r="BA26" s="29">
        <f>IFERROR(VLOOKUP(AA26,RULES!$A:$AB,28,0)*1,0)</f>
        <v/>
      </c>
    </row>
    <row r="27" ht="17" customHeight="1">
      <c r="A27" s="22" t="inlineStr">
        <is>
          <t>3424</t>
        </is>
      </c>
      <c r="B27" s="48" t="inlineStr">
        <is>
          <t>ACC004</t>
        </is>
      </c>
      <c r="C27" s="48" t="inlineStr">
        <is>
          <t>DEFAULT</t>
        </is>
      </c>
      <c r="D27" s="47" t="n"/>
      <c r="E27" s="22">
        <f>IF(OR(D27="",D27=0),"INACTIVE","ACTIVE")</f>
        <v/>
      </c>
      <c r="F27" s="48" t="inlineStr">
        <is>
          <t>NORMAL</t>
        </is>
      </c>
      <c r="G27" s="25" t="n"/>
      <c r="H27" s="25" t="n"/>
      <c r="I27" s="26">
        <f>IF(OR(E27="INACTIVE",H27=""),0,MAX(0,H27-G27))</f>
        <v/>
      </c>
      <c r="J27" s="23" t="n"/>
      <c r="K27" s="26">
        <f>IF(OR(E27="INACTIVE",H27=""),0,IF(AB27="DISABLED",0,IF(AB27="FLAT",AE27,IF(AB27="MANUAL",IF(J27="",0,J27*AC27),IF(AB27="STEP",IF(I27&lt;=AF27,I27*AG27,IF(I27&lt;=AH27,AF27*AG27+(I27-AF27)*AI27,AF27*AG27+(AH27-AF27)*AI27+(I27-AH27)*AK27)),MAX(I27*AC27,AD27))))))</f>
        <v/>
      </c>
      <c r="L27" s="26">
        <f>IF(OR(E27="INACTIVE",H27=""),0,IF(AL27="NONE",0,IF(AL27="FLAT",AM27,IF(AL27="PER_UNIT",I27*AN27,IF(AL27="MANUAL",IF(M27="",0,M27),0)))))</f>
        <v/>
      </c>
      <c r="M27" s="23" t="n"/>
      <c r="N27" s="48" t="inlineStr">
        <is>
          <t>NORMAL</t>
        </is>
      </c>
      <c r="O27" s="25" t="n"/>
      <c r="P27" s="25" t="n"/>
      <c r="Q27" s="26">
        <f>IF(OR(E27="INACTIVE",P27=""),0,MAX(0,P27-O27))</f>
        <v/>
      </c>
      <c r="R27" s="23" t="n"/>
      <c r="S27" s="26">
        <f>IF(OR(E27="INACTIVE",P27=""),0,IF(AO27="DISABLED",0,IF(AO27="FLAT",AR27,IF(AO27="MANUAL",IF(R27="",0,R27*AP27),IF(AO27="STEP",IF(Q27&lt;=AS27,Q27*AT27,IF(Q27&lt;=AU27,AS27*AT27+(Q27-AS27)*AV27,AS27*AT27+(AU27-AS27)*AV27+(Q27-AU27)*AX27)),MAX(Q27*AP27,AQ27))))))</f>
        <v/>
      </c>
      <c r="T27" s="26">
        <f>IF(OR(E27="INACTIVE",P27=""),0,IF(AY27="NONE",0,IF(AY27="FLAT",AZ27,IF(AY27="PER_UNIT",Q27*BA27,IF(AY27="MANUAL",IF(U27="",0,U27),0)))))</f>
        <v/>
      </c>
      <c r="U27" s="23" t="n"/>
      <c r="V27" s="25" t="n"/>
      <c r="W27" s="25" t="n"/>
      <c r="X27" s="26">
        <f>IF(E27="INACTIVE",0,D27+K27+L27+S27+T27+IF(V27="",0,V27)+IF(W27="",0,W27))</f>
        <v/>
      </c>
      <c r="Y27" s="27" t="n"/>
      <c r="Z27" s="28">
        <f>IF(E27="INACTIVE","_",IF(AND(G27&gt;0,H27&gt;0,H27&lt;G27),"[!]น้ำ reset ","")&amp;IF(AND(O27&gt;0,P27&gt;0,P27&lt;O27),"[!]ไฟ reset ","")&amp;IF(AND(F27="MANUAL",J27=""),"[X]units น้ำ ","")&amp;IF(AND(N27="MANUAL",R27=""),"[X]units ไฟ ","")&amp;IF(D27=0,"[!]ค่าเช่า=0",""))</f>
        <v/>
      </c>
      <c r="AA27" s="29">
        <f>IF(C27&lt;&gt;"",C27,CONFIG!$B$6)</f>
        <v/>
      </c>
      <c r="AB27" s="29">
        <f>IF(F27&lt;&gt;"",F27,IFERROR(VLOOKUP(AA27,RULES!$A:$C,3,0),CONFIG!$B$7))</f>
        <v/>
      </c>
      <c r="AC27" s="29">
        <f>IF(IFERROR(VLOOKUP(AA27,RULES!$A:$D,4,0),"")="",CONFIG!$B$10,VLOOKUP(AA27,RULES!$A:$D,4,0))</f>
        <v/>
      </c>
      <c r="AD27" s="29">
        <f>IF(IFERROR(VLOOKUP(AA27,RULES!$A:$E,5,0),"")="",CONFIG!$B$11,VLOOKUP(AA27,RULES!$A:$E,5,0))</f>
        <v/>
      </c>
      <c r="AE27" s="29">
        <f>IFERROR(VLOOKUP(AA27,RULES!$A:$F,6,0)*1,0)</f>
        <v/>
      </c>
      <c r="AF27" s="29">
        <f>IFERROR(VLOOKUP(AA27,RULES!$A:$G,7,0)*1,0)</f>
        <v/>
      </c>
      <c r="AG27" s="29">
        <f>IFERROR(VLOOKUP(AA27,RULES!$A:$H,8,0)*1,0)</f>
        <v/>
      </c>
      <c r="AH27" s="29">
        <f>IFERROR(VLOOKUP(AA27,RULES!$A:$I,9,0)*1,0)</f>
        <v/>
      </c>
      <c r="AI27" s="29">
        <f>IFERROR(VLOOKUP(AA27,RULES!$A:$J,10,0)*1,0)</f>
        <v/>
      </c>
      <c r="AJ27" s="29">
        <f>IFERROR(IF(VLOOKUP(AA27,RULES!$A:$K,11,0)="",999999,VLOOKUP(AA27,RULES!$A:$K,11,0)*1),999999)</f>
        <v/>
      </c>
      <c r="AK27" s="29">
        <f>IFERROR(VLOOKUP(AA27,RULES!$A:$L,12,0)*1,0)</f>
        <v/>
      </c>
      <c r="AL27" s="29">
        <f>IFERROR(VLOOKUP(AA27,RULES!$A:$M,13,0),"NONE")</f>
        <v/>
      </c>
      <c r="AM27" s="29">
        <f>IFERROR(VLOOKUP(AA27,RULES!$A:$N,14,0)*1,0)</f>
        <v/>
      </c>
      <c r="AN27" s="29">
        <f>IFERROR(VLOOKUP(AA27,RULES!$A:$O,15,0)*1,0)</f>
        <v/>
      </c>
      <c r="AO27" s="29">
        <f>IF(N27&lt;&gt;"",N27,IFERROR(VLOOKUP(AA27,RULES!$A:$P,16,0),CONFIG!$B$8))</f>
        <v/>
      </c>
      <c r="AP27" s="29">
        <f>IF(IFERROR(VLOOKUP(AA27,RULES!$A:$Q,17,0),"")="",CONFIG!$B$13,VLOOKUP(AA27,RULES!$A:$Q,17,0))</f>
        <v/>
      </c>
      <c r="AQ27" s="29">
        <f>IF(IFERROR(VLOOKUP(AA27,RULES!$A:$R,18,0),"")="",CONFIG!$B$14,VLOOKUP(AA27,RULES!$A:$R,18,0))</f>
        <v/>
      </c>
      <c r="AR27" s="29">
        <f>IFERROR(VLOOKUP(AA27,RULES!$A:$S,19,0)*1,0)</f>
        <v/>
      </c>
      <c r="AS27" s="29">
        <f>IFERROR(VLOOKUP(AA27,RULES!$A:$T,20,0)*1,0)</f>
        <v/>
      </c>
      <c r="AT27" s="29">
        <f>IFERROR(VLOOKUP(AA27,RULES!$A:$U,21,0)*1,0)</f>
        <v/>
      </c>
      <c r="AU27" s="29">
        <f>IFERROR(VLOOKUP(AA27,RULES!$A:$V,22,0)*1,0)</f>
        <v/>
      </c>
      <c r="AV27" s="29">
        <f>IFERROR(VLOOKUP(AA27,RULES!$A:$W,23,0)*1,0)</f>
        <v/>
      </c>
      <c r="AW27" s="29">
        <f>IFERROR(IF(VLOOKUP(AA27,RULES!$A:$X,24,0)="",999999,VLOOKUP(AA27,RULES!$A:$X,24,0)*1),999999)</f>
        <v/>
      </c>
      <c r="AX27" s="29">
        <f>IFERROR(VLOOKUP(AA27,RULES!$A:$Y,25,0)*1,0)</f>
        <v/>
      </c>
      <c r="AY27" s="29">
        <f>IFERROR(VLOOKUP(AA27,RULES!$A:$Z,26,0),"NONE")</f>
        <v/>
      </c>
      <c r="AZ27" s="29">
        <f>IFERROR(VLOOKUP(AA27,RULES!$A:$AA,27,0)*1,0)</f>
        <v/>
      </c>
      <c r="BA27" s="29">
        <f>IFERROR(VLOOKUP(AA27,RULES!$A:$AB,28,0)*1,0)</f>
        <v/>
      </c>
    </row>
    <row r="28" ht="17" customHeight="1">
      <c r="A28" s="22" t="inlineStr">
        <is>
          <t>3425</t>
        </is>
      </c>
      <c r="B28" s="48" t="inlineStr">
        <is>
          <t>ACC004</t>
        </is>
      </c>
      <c r="C28" s="48" t="inlineStr">
        <is>
          <t>DEFAULT</t>
        </is>
      </c>
      <c r="D28" s="47" t="n"/>
      <c r="E28" s="22">
        <f>IF(OR(D28="",D28=0),"INACTIVE","ACTIVE")</f>
        <v/>
      </c>
      <c r="F28" s="48" t="inlineStr">
        <is>
          <t>NORMAL</t>
        </is>
      </c>
      <c r="G28" s="25" t="n"/>
      <c r="H28" s="25" t="n"/>
      <c r="I28" s="26">
        <f>IF(OR(E28="INACTIVE",H28=""),0,MAX(0,H28-G28))</f>
        <v/>
      </c>
      <c r="J28" s="23" t="n"/>
      <c r="K28" s="26">
        <f>IF(OR(E28="INACTIVE",H28=""),0,IF(AB28="DISABLED",0,IF(AB28="FLAT",AE28,IF(AB28="MANUAL",IF(J28="",0,J28*AC28),IF(AB28="STEP",IF(I28&lt;=AF28,I28*AG28,IF(I28&lt;=AH28,AF28*AG28+(I28-AF28)*AI28,AF28*AG28+(AH28-AF28)*AI28+(I28-AH28)*AK28)),MAX(I28*AC28,AD28))))))</f>
        <v/>
      </c>
      <c r="L28" s="26">
        <f>IF(OR(E28="INACTIVE",H28=""),0,IF(AL28="NONE",0,IF(AL28="FLAT",AM28,IF(AL28="PER_UNIT",I28*AN28,IF(AL28="MANUAL",IF(M28="",0,M28),0)))))</f>
        <v/>
      </c>
      <c r="M28" s="23" t="n"/>
      <c r="N28" s="48" t="inlineStr">
        <is>
          <t>NORMAL</t>
        </is>
      </c>
      <c r="O28" s="25" t="n"/>
      <c r="P28" s="25" t="n"/>
      <c r="Q28" s="26">
        <f>IF(OR(E28="INACTIVE",P28=""),0,MAX(0,P28-O28))</f>
        <v/>
      </c>
      <c r="R28" s="23" t="n"/>
      <c r="S28" s="26">
        <f>IF(OR(E28="INACTIVE",P28=""),0,IF(AO28="DISABLED",0,IF(AO28="FLAT",AR28,IF(AO28="MANUAL",IF(R28="",0,R28*AP28),IF(AO28="STEP",IF(Q28&lt;=AS28,Q28*AT28,IF(Q28&lt;=AU28,AS28*AT28+(Q28-AS28)*AV28,AS28*AT28+(AU28-AS28)*AV28+(Q28-AU28)*AX28)),MAX(Q28*AP28,AQ28))))))</f>
        <v/>
      </c>
      <c r="T28" s="26">
        <f>IF(OR(E28="INACTIVE",P28=""),0,IF(AY28="NONE",0,IF(AY28="FLAT",AZ28,IF(AY28="PER_UNIT",Q28*BA28,IF(AY28="MANUAL",IF(U28="",0,U28),0)))))</f>
        <v/>
      </c>
      <c r="U28" s="23" t="n"/>
      <c r="V28" s="25" t="n"/>
      <c r="W28" s="25" t="n"/>
      <c r="X28" s="26">
        <f>IF(E28="INACTIVE",0,D28+K28+L28+S28+T28+IF(V28="",0,V28)+IF(W28="",0,W28))</f>
        <v/>
      </c>
      <c r="Y28" s="27" t="n"/>
      <c r="Z28" s="28">
        <f>IF(E28="INACTIVE","_",IF(AND(G28&gt;0,H28&gt;0,H28&lt;G28),"[!]น้ำ reset ","")&amp;IF(AND(O28&gt;0,P28&gt;0,P28&lt;O28),"[!]ไฟ reset ","")&amp;IF(AND(F28="MANUAL",J28=""),"[X]units น้ำ ","")&amp;IF(AND(N28="MANUAL",R28=""),"[X]units ไฟ ","")&amp;IF(D28=0,"[!]ค่าเช่า=0",""))</f>
        <v/>
      </c>
      <c r="AA28" s="29">
        <f>IF(C28&lt;&gt;"",C28,CONFIG!$B$6)</f>
        <v/>
      </c>
      <c r="AB28" s="29">
        <f>IF(F28&lt;&gt;"",F28,IFERROR(VLOOKUP(AA28,RULES!$A:$C,3,0),CONFIG!$B$7))</f>
        <v/>
      </c>
      <c r="AC28" s="29">
        <f>IF(IFERROR(VLOOKUP(AA28,RULES!$A:$D,4,0),"")="",CONFIG!$B$10,VLOOKUP(AA28,RULES!$A:$D,4,0))</f>
        <v/>
      </c>
      <c r="AD28" s="29">
        <f>IF(IFERROR(VLOOKUP(AA28,RULES!$A:$E,5,0),"")="",CONFIG!$B$11,VLOOKUP(AA28,RULES!$A:$E,5,0))</f>
        <v/>
      </c>
      <c r="AE28" s="29">
        <f>IFERROR(VLOOKUP(AA28,RULES!$A:$F,6,0)*1,0)</f>
        <v/>
      </c>
      <c r="AF28" s="29">
        <f>IFERROR(VLOOKUP(AA28,RULES!$A:$G,7,0)*1,0)</f>
        <v/>
      </c>
      <c r="AG28" s="29">
        <f>IFERROR(VLOOKUP(AA28,RULES!$A:$H,8,0)*1,0)</f>
        <v/>
      </c>
      <c r="AH28" s="29">
        <f>IFERROR(VLOOKUP(AA28,RULES!$A:$I,9,0)*1,0)</f>
        <v/>
      </c>
      <c r="AI28" s="29">
        <f>IFERROR(VLOOKUP(AA28,RULES!$A:$J,10,0)*1,0)</f>
        <v/>
      </c>
      <c r="AJ28" s="29">
        <f>IFERROR(IF(VLOOKUP(AA28,RULES!$A:$K,11,0)="",999999,VLOOKUP(AA28,RULES!$A:$K,11,0)*1),999999)</f>
        <v/>
      </c>
      <c r="AK28" s="29">
        <f>IFERROR(VLOOKUP(AA28,RULES!$A:$L,12,0)*1,0)</f>
        <v/>
      </c>
      <c r="AL28" s="29">
        <f>IFERROR(VLOOKUP(AA28,RULES!$A:$M,13,0),"NONE")</f>
        <v/>
      </c>
      <c r="AM28" s="29">
        <f>IFERROR(VLOOKUP(AA28,RULES!$A:$N,14,0)*1,0)</f>
        <v/>
      </c>
      <c r="AN28" s="29">
        <f>IFERROR(VLOOKUP(AA28,RULES!$A:$O,15,0)*1,0)</f>
        <v/>
      </c>
      <c r="AO28" s="29">
        <f>IF(N28&lt;&gt;"",N28,IFERROR(VLOOKUP(AA28,RULES!$A:$P,16,0),CONFIG!$B$8))</f>
        <v/>
      </c>
      <c r="AP28" s="29">
        <f>IF(IFERROR(VLOOKUP(AA28,RULES!$A:$Q,17,0),"")="",CONFIG!$B$13,VLOOKUP(AA28,RULES!$A:$Q,17,0))</f>
        <v/>
      </c>
      <c r="AQ28" s="29">
        <f>IF(IFERROR(VLOOKUP(AA28,RULES!$A:$R,18,0),"")="",CONFIG!$B$14,VLOOKUP(AA28,RULES!$A:$R,18,0))</f>
        <v/>
      </c>
      <c r="AR28" s="29">
        <f>IFERROR(VLOOKUP(AA28,RULES!$A:$S,19,0)*1,0)</f>
        <v/>
      </c>
      <c r="AS28" s="29">
        <f>IFERROR(VLOOKUP(AA28,RULES!$A:$T,20,0)*1,0)</f>
        <v/>
      </c>
      <c r="AT28" s="29">
        <f>IFERROR(VLOOKUP(AA28,RULES!$A:$U,21,0)*1,0)</f>
        <v/>
      </c>
      <c r="AU28" s="29">
        <f>IFERROR(VLOOKUP(AA28,RULES!$A:$V,22,0)*1,0)</f>
        <v/>
      </c>
      <c r="AV28" s="29">
        <f>IFERROR(VLOOKUP(AA28,RULES!$A:$W,23,0)*1,0)</f>
        <v/>
      </c>
      <c r="AW28" s="29">
        <f>IFERROR(IF(VLOOKUP(AA28,RULES!$A:$X,24,0)="",999999,VLOOKUP(AA28,RULES!$A:$X,24,0)*1),999999)</f>
        <v/>
      </c>
      <c r="AX28" s="29">
        <f>IFERROR(VLOOKUP(AA28,RULES!$A:$Y,25,0)*1,0)</f>
        <v/>
      </c>
      <c r="AY28" s="29">
        <f>IFERROR(VLOOKUP(AA28,RULES!$A:$Z,26,0),"NONE")</f>
        <v/>
      </c>
      <c r="AZ28" s="29">
        <f>IFERROR(VLOOKUP(AA28,RULES!$A:$AA,27,0)*1,0)</f>
        <v/>
      </c>
      <c r="BA28" s="29">
        <f>IFERROR(VLOOKUP(AA28,RULES!$A:$AB,28,0)*1,0)</f>
        <v/>
      </c>
    </row>
    <row r="29" ht="17" customHeight="1">
      <c r="A29" s="22" t="inlineStr">
        <is>
          <t>3426</t>
        </is>
      </c>
      <c r="B29" s="48" t="inlineStr">
        <is>
          <t>ACC004</t>
        </is>
      </c>
      <c r="C29" s="48" t="inlineStr">
        <is>
          <t>DEFAULT</t>
        </is>
      </c>
      <c r="D29" s="47" t="n"/>
      <c r="E29" s="22">
        <f>IF(OR(D29="",D29=0),"INACTIVE","ACTIVE")</f>
        <v/>
      </c>
      <c r="F29" s="48" t="inlineStr">
        <is>
          <t>NORMAL</t>
        </is>
      </c>
      <c r="G29" s="25" t="n"/>
      <c r="H29" s="25" t="n"/>
      <c r="I29" s="26">
        <f>IF(OR(E29="INACTIVE",H29=""),0,MAX(0,H29-G29))</f>
        <v/>
      </c>
      <c r="J29" s="23" t="n"/>
      <c r="K29" s="26">
        <f>IF(OR(E29="INACTIVE",H29=""),0,IF(AB29="DISABLED",0,IF(AB29="FLAT",AE29,IF(AB29="MANUAL",IF(J29="",0,J29*AC29),IF(AB29="STEP",IF(I29&lt;=AF29,I29*AG29,IF(I29&lt;=AH29,AF29*AG29+(I29-AF29)*AI29,AF29*AG29+(AH29-AF29)*AI29+(I29-AH29)*AK29)),MAX(I29*AC29,AD29))))))</f>
        <v/>
      </c>
      <c r="L29" s="26">
        <f>IF(OR(E29="INACTIVE",H29=""),0,IF(AL29="NONE",0,IF(AL29="FLAT",AM29,IF(AL29="PER_UNIT",I29*AN29,IF(AL29="MANUAL",IF(M29="",0,M29),0)))))</f>
        <v/>
      </c>
      <c r="M29" s="23" t="n"/>
      <c r="N29" s="48" t="inlineStr">
        <is>
          <t>NORMAL</t>
        </is>
      </c>
      <c r="O29" s="25" t="n"/>
      <c r="P29" s="25" t="n"/>
      <c r="Q29" s="26">
        <f>IF(OR(E29="INACTIVE",P29=""),0,MAX(0,P29-O29))</f>
        <v/>
      </c>
      <c r="R29" s="23" t="n"/>
      <c r="S29" s="26">
        <f>IF(OR(E29="INACTIVE",P29=""),0,IF(AO29="DISABLED",0,IF(AO29="FLAT",AR29,IF(AO29="MANUAL",IF(R29="",0,R29*AP29),IF(AO29="STEP",IF(Q29&lt;=AS29,Q29*AT29,IF(Q29&lt;=AU29,AS29*AT29+(Q29-AS29)*AV29,AS29*AT29+(AU29-AS29)*AV29+(Q29-AU29)*AX29)),MAX(Q29*AP29,AQ29))))))</f>
        <v/>
      </c>
      <c r="T29" s="26">
        <f>IF(OR(E29="INACTIVE",P29=""),0,IF(AY29="NONE",0,IF(AY29="FLAT",AZ29,IF(AY29="PER_UNIT",Q29*BA29,IF(AY29="MANUAL",IF(U29="",0,U29),0)))))</f>
        <v/>
      </c>
      <c r="U29" s="23" t="n"/>
      <c r="V29" s="25" t="n"/>
      <c r="W29" s="25" t="n"/>
      <c r="X29" s="26">
        <f>IF(E29="INACTIVE",0,D29+K29+L29+S29+T29+IF(V29="",0,V29)+IF(W29="",0,W29))</f>
        <v/>
      </c>
      <c r="Y29" s="27" t="n"/>
      <c r="Z29" s="28">
        <f>IF(E29="INACTIVE","_",IF(AND(G29&gt;0,H29&gt;0,H29&lt;G29),"[!]น้ำ reset ","")&amp;IF(AND(O29&gt;0,P29&gt;0,P29&lt;O29),"[!]ไฟ reset ","")&amp;IF(AND(F29="MANUAL",J29=""),"[X]units น้ำ ","")&amp;IF(AND(N29="MANUAL",R29=""),"[X]units ไฟ ","")&amp;IF(D29=0,"[!]ค่าเช่า=0",""))</f>
        <v/>
      </c>
      <c r="AA29" s="29">
        <f>IF(C29&lt;&gt;"",C29,CONFIG!$B$6)</f>
        <v/>
      </c>
      <c r="AB29" s="29">
        <f>IF(F29&lt;&gt;"",F29,IFERROR(VLOOKUP(AA29,RULES!$A:$C,3,0),CONFIG!$B$7))</f>
        <v/>
      </c>
      <c r="AC29" s="29">
        <f>IF(IFERROR(VLOOKUP(AA29,RULES!$A:$D,4,0),"")="",CONFIG!$B$10,VLOOKUP(AA29,RULES!$A:$D,4,0))</f>
        <v/>
      </c>
      <c r="AD29" s="29">
        <f>IF(IFERROR(VLOOKUP(AA29,RULES!$A:$E,5,0),"")="",CONFIG!$B$11,VLOOKUP(AA29,RULES!$A:$E,5,0))</f>
        <v/>
      </c>
      <c r="AE29" s="29">
        <f>IFERROR(VLOOKUP(AA29,RULES!$A:$F,6,0)*1,0)</f>
        <v/>
      </c>
      <c r="AF29" s="29">
        <f>IFERROR(VLOOKUP(AA29,RULES!$A:$G,7,0)*1,0)</f>
        <v/>
      </c>
      <c r="AG29" s="29">
        <f>IFERROR(VLOOKUP(AA29,RULES!$A:$H,8,0)*1,0)</f>
        <v/>
      </c>
      <c r="AH29" s="29">
        <f>IFERROR(VLOOKUP(AA29,RULES!$A:$I,9,0)*1,0)</f>
        <v/>
      </c>
      <c r="AI29" s="29">
        <f>IFERROR(VLOOKUP(AA29,RULES!$A:$J,10,0)*1,0)</f>
        <v/>
      </c>
      <c r="AJ29" s="29">
        <f>IFERROR(IF(VLOOKUP(AA29,RULES!$A:$K,11,0)="",999999,VLOOKUP(AA29,RULES!$A:$K,11,0)*1),999999)</f>
        <v/>
      </c>
      <c r="AK29" s="29">
        <f>IFERROR(VLOOKUP(AA29,RULES!$A:$L,12,0)*1,0)</f>
        <v/>
      </c>
      <c r="AL29" s="29">
        <f>IFERROR(VLOOKUP(AA29,RULES!$A:$M,13,0),"NONE")</f>
        <v/>
      </c>
      <c r="AM29" s="29">
        <f>IFERROR(VLOOKUP(AA29,RULES!$A:$N,14,0)*1,0)</f>
        <v/>
      </c>
      <c r="AN29" s="29">
        <f>IFERROR(VLOOKUP(AA29,RULES!$A:$O,15,0)*1,0)</f>
        <v/>
      </c>
      <c r="AO29" s="29">
        <f>IF(N29&lt;&gt;"",N29,IFERROR(VLOOKUP(AA29,RULES!$A:$P,16,0),CONFIG!$B$8))</f>
        <v/>
      </c>
      <c r="AP29" s="29">
        <f>IF(IFERROR(VLOOKUP(AA29,RULES!$A:$Q,17,0),"")="",CONFIG!$B$13,VLOOKUP(AA29,RULES!$A:$Q,17,0))</f>
        <v/>
      </c>
      <c r="AQ29" s="29">
        <f>IF(IFERROR(VLOOKUP(AA29,RULES!$A:$R,18,0),"")="",CONFIG!$B$14,VLOOKUP(AA29,RULES!$A:$R,18,0))</f>
        <v/>
      </c>
      <c r="AR29" s="29">
        <f>IFERROR(VLOOKUP(AA29,RULES!$A:$S,19,0)*1,0)</f>
        <v/>
      </c>
      <c r="AS29" s="29">
        <f>IFERROR(VLOOKUP(AA29,RULES!$A:$T,20,0)*1,0)</f>
        <v/>
      </c>
      <c r="AT29" s="29">
        <f>IFERROR(VLOOKUP(AA29,RULES!$A:$U,21,0)*1,0)</f>
        <v/>
      </c>
      <c r="AU29" s="29">
        <f>IFERROR(VLOOKUP(AA29,RULES!$A:$V,22,0)*1,0)</f>
        <v/>
      </c>
      <c r="AV29" s="29">
        <f>IFERROR(VLOOKUP(AA29,RULES!$A:$W,23,0)*1,0)</f>
        <v/>
      </c>
      <c r="AW29" s="29">
        <f>IFERROR(IF(VLOOKUP(AA29,RULES!$A:$X,24,0)="",999999,VLOOKUP(AA29,RULES!$A:$X,24,0)*1),999999)</f>
        <v/>
      </c>
      <c r="AX29" s="29">
        <f>IFERROR(VLOOKUP(AA29,RULES!$A:$Y,25,0)*1,0)</f>
        <v/>
      </c>
      <c r="AY29" s="29">
        <f>IFERROR(VLOOKUP(AA29,RULES!$A:$Z,26,0),"NONE")</f>
        <v/>
      </c>
      <c r="AZ29" s="29">
        <f>IFERROR(VLOOKUP(AA29,RULES!$A:$AA,27,0)*1,0)</f>
        <v/>
      </c>
      <c r="BA29" s="29">
        <f>IFERROR(VLOOKUP(AA29,RULES!$A:$AB,28,0)*1,0)</f>
        <v/>
      </c>
    </row>
    <row r="30" ht="17" customHeight="1">
      <c r="A30" s="22" t="inlineStr">
        <is>
          <t>3427</t>
        </is>
      </c>
      <c r="B30" s="48" t="inlineStr">
        <is>
          <t>ACC004</t>
        </is>
      </c>
      <c r="C30" s="48" t="inlineStr">
        <is>
          <t>DEFAULT</t>
        </is>
      </c>
      <c r="D30" s="47" t="n"/>
      <c r="E30" s="22">
        <f>IF(OR(D30="",D30=0),"INACTIVE","ACTIVE")</f>
        <v/>
      </c>
      <c r="F30" s="48" t="inlineStr">
        <is>
          <t>NORMAL</t>
        </is>
      </c>
      <c r="G30" s="25" t="n"/>
      <c r="H30" s="25" t="n"/>
      <c r="I30" s="26">
        <f>IF(OR(E30="INACTIVE",H30=""),0,MAX(0,H30-G30))</f>
        <v/>
      </c>
      <c r="J30" s="23" t="n"/>
      <c r="K30" s="26">
        <f>IF(OR(E30="INACTIVE",H30=""),0,IF(AB30="DISABLED",0,IF(AB30="FLAT",AE30,IF(AB30="MANUAL",IF(J30="",0,J30*AC30),IF(AB30="STEP",IF(I30&lt;=AF30,I30*AG30,IF(I30&lt;=AH30,AF30*AG30+(I30-AF30)*AI30,AF30*AG30+(AH30-AF30)*AI30+(I30-AH30)*AK30)),MAX(I30*AC30,AD30))))))</f>
        <v/>
      </c>
      <c r="L30" s="26">
        <f>IF(OR(E30="INACTIVE",H30=""),0,IF(AL30="NONE",0,IF(AL30="FLAT",AM30,IF(AL30="PER_UNIT",I30*AN30,IF(AL30="MANUAL",IF(M30="",0,M30),0)))))</f>
        <v/>
      </c>
      <c r="M30" s="23" t="n"/>
      <c r="N30" s="48" t="inlineStr">
        <is>
          <t>NORMAL</t>
        </is>
      </c>
      <c r="O30" s="25" t="n"/>
      <c r="P30" s="25" t="n"/>
      <c r="Q30" s="26">
        <f>IF(OR(E30="INACTIVE",P30=""),0,MAX(0,P30-O30))</f>
        <v/>
      </c>
      <c r="R30" s="23" t="n"/>
      <c r="S30" s="26">
        <f>IF(OR(E30="INACTIVE",P30=""),0,IF(AO30="DISABLED",0,IF(AO30="FLAT",AR30,IF(AO30="MANUAL",IF(R30="",0,R30*AP30),IF(AO30="STEP",IF(Q30&lt;=AS30,Q30*AT30,IF(Q30&lt;=AU30,AS30*AT30+(Q30-AS30)*AV30,AS30*AT30+(AU30-AS30)*AV30+(Q30-AU30)*AX30)),MAX(Q30*AP30,AQ30))))))</f>
        <v/>
      </c>
      <c r="T30" s="26">
        <f>IF(OR(E30="INACTIVE",P30=""),0,IF(AY30="NONE",0,IF(AY30="FLAT",AZ30,IF(AY30="PER_UNIT",Q30*BA30,IF(AY30="MANUAL",IF(U30="",0,U30),0)))))</f>
        <v/>
      </c>
      <c r="U30" s="23" t="n"/>
      <c r="V30" s="25" t="n"/>
      <c r="W30" s="25" t="n"/>
      <c r="X30" s="26">
        <f>IF(E30="INACTIVE",0,D30+K30+L30+S30+T30+IF(V30="",0,V30)+IF(W30="",0,W30))</f>
        <v/>
      </c>
      <c r="Y30" s="27" t="n"/>
      <c r="Z30" s="28">
        <f>IF(E30="INACTIVE","_",IF(AND(G30&gt;0,H30&gt;0,H30&lt;G30),"[!]น้ำ reset ","")&amp;IF(AND(O30&gt;0,P30&gt;0,P30&lt;O30),"[!]ไฟ reset ","")&amp;IF(AND(F30="MANUAL",J30=""),"[X]units น้ำ ","")&amp;IF(AND(N30="MANUAL",R30=""),"[X]units ไฟ ","")&amp;IF(D30=0,"[!]ค่าเช่า=0",""))</f>
        <v/>
      </c>
      <c r="AA30" s="29">
        <f>IF(C30&lt;&gt;"",C30,CONFIG!$B$6)</f>
        <v/>
      </c>
      <c r="AB30" s="29">
        <f>IF(F30&lt;&gt;"",F30,IFERROR(VLOOKUP(AA30,RULES!$A:$C,3,0),CONFIG!$B$7))</f>
        <v/>
      </c>
      <c r="AC30" s="29">
        <f>IF(IFERROR(VLOOKUP(AA30,RULES!$A:$D,4,0),"")="",CONFIG!$B$10,VLOOKUP(AA30,RULES!$A:$D,4,0))</f>
        <v/>
      </c>
      <c r="AD30" s="29">
        <f>IF(IFERROR(VLOOKUP(AA30,RULES!$A:$E,5,0),"")="",CONFIG!$B$11,VLOOKUP(AA30,RULES!$A:$E,5,0))</f>
        <v/>
      </c>
      <c r="AE30" s="29">
        <f>IFERROR(VLOOKUP(AA30,RULES!$A:$F,6,0)*1,0)</f>
        <v/>
      </c>
      <c r="AF30" s="29">
        <f>IFERROR(VLOOKUP(AA30,RULES!$A:$G,7,0)*1,0)</f>
        <v/>
      </c>
      <c r="AG30" s="29">
        <f>IFERROR(VLOOKUP(AA30,RULES!$A:$H,8,0)*1,0)</f>
        <v/>
      </c>
      <c r="AH30" s="29">
        <f>IFERROR(VLOOKUP(AA30,RULES!$A:$I,9,0)*1,0)</f>
        <v/>
      </c>
      <c r="AI30" s="29">
        <f>IFERROR(VLOOKUP(AA30,RULES!$A:$J,10,0)*1,0)</f>
        <v/>
      </c>
      <c r="AJ30" s="29">
        <f>IFERROR(IF(VLOOKUP(AA30,RULES!$A:$K,11,0)="",999999,VLOOKUP(AA30,RULES!$A:$K,11,0)*1),999999)</f>
        <v/>
      </c>
      <c r="AK30" s="29">
        <f>IFERROR(VLOOKUP(AA30,RULES!$A:$L,12,0)*1,0)</f>
        <v/>
      </c>
      <c r="AL30" s="29">
        <f>IFERROR(VLOOKUP(AA30,RULES!$A:$M,13,0),"NONE")</f>
        <v/>
      </c>
      <c r="AM30" s="29">
        <f>IFERROR(VLOOKUP(AA30,RULES!$A:$N,14,0)*1,0)</f>
        <v/>
      </c>
      <c r="AN30" s="29">
        <f>IFERROR(VLOOKUP(AA30,RULES!$A:$O,15,0)*1,0)</f>
        <v/>
      </c>
      <c r="AO30" s="29">
        <f>IF(N30&lt;&gt;"",N30,IFERROR(VLOOKUP(AA30,RULES!$A:$P,16,0),CONFIG!$B$8))</f>
        <v/>
      </c>
      <c r="AP30" s="29">
        <f>IF(IFERROR(VLOOKUP(AA30,RULES!$A:$Q,17,0),"")="",CONFIG!$B$13,VLOOKUP(AA30,RULES!$A:$Q,17,0))</f>
        <v/>
      </c>
      <c r="AQ30" s="29">
        <f>IF(IFERROR(VLOOKUP(AA30,RULES!$A:$R,18,0),"")="",CONFIG!$B$14,VLOOKUP(AA30,RULES!$A:$R,18,0))</f>
        <v/>
      </c>
      <c r="AR30" s="29">
        <f>IFERROR(VLOOKUP(AA30,RULES!$A:$S,19,0)*1,0)</f>
        <v/>
      </c>
      <c r="AS30" s="29">
        <f>IFERROR(VLOOKUP(AA30,RULES!$A:$T,20,0)*1,0)</f>
        <v/>
      </c>
      <c r="AT30" s="29">
        <f>IFERROR(VLOOKUP(AA30,RULES!$A:$U,21,0)*1,0)</f>
        <v/>
      </c>
      <c r="AU30" s="29">
        <f>IFERROR(VLOOKUP(AA30,RULES!$A:$V,22,0)*1,0)</f>
        <v/>
      </c>
      <c r="AV30" s="29">
        <f>IFERROR(VLOOKUP(AA30,RULES!$A:$W,23,0)*1,0)</f>
        <v/>
      </c>
      <c r="AW30" s="29">
        <f>IFERROR(IF(VLOOKUP(AA30,RULES!$A:$X,24,0)="",999999,VLOOKUP(AA30,RULES!$A:$X,24,0)*1),999999)</f>
        <v/>
      </c>
      <c r="AX30" s="29">
        <f>IFERROR(VLOOKUP(AA30,RULES!$A:$Y,25,0)*1,0)</f>
        <v/>
      </c>
      <c r="AY30" s="29">
        <f>IFERROR(VLOOKUP(AA30,RULES!$A:$Z,26,0),"NONE")</f>
        <v/>
      </c>
      <c r="AZ30" s="29">
        <f>IFERROR(VLOOKUP(AA30,RULES!$A:$AA,27,0)*1,0)</f>
        <v/>
      </c>
      <c r="BA30" s="29">
        <f>IFERROR(VLOOKUP(AA30,RULES!$A:$AB,28,0)*1,0)</f>
        <v/>
      </c>
    </row>
    <row r="31" ht="17" customHeight="1">
      <c r="A31" s="22" t="inlineStr">
        <is>
          <t>3428</t>
        </is>
      </c>
      <c r="B31" s="48" t="inlineStr">
        <is>
          <t>ACC004</t>
        </is>
      </c>
      <c r="C31" s="48" t="inlineStr">
        <is>
          <t>DEFAULT</t>
        </is>
      </c>
      <c r="D31" s="47" t="n"/>
      <c r="E31" s="22">
        <f>IF(OR(D31="",D31=0),"INACTIVE","ACTIVE")</f>
        <v/>
      </c>
      <c r="F31" s="48" t="inlineStr">
        <is>
          <t>NORMAL</t>
        </is>
      </c>
      <c r="G31" s="25" t="n"/>
      <c r="H31" s="25" t="n"/>
      <c r="I31" s="26">
        <f>IF(OR(E31="INACTIVE",H31=""),0,MAX(0,H31-G31))</f>
        <v/>
      </c>
      <c r="J31" s="23" t="n"/>
      <c r="K31" s="26">
        <f>IF(OR(E31="INACTIVE",H31=""),0,IF(AB31="DISABLED",0,IF(AB31="FLAT",AE31,IF(AB31="MANUAL",IF(J31="",0,J31*AC31),IF(AB31="STEP",IF(I31&lt;=AF31,I31*AG31,IF(I31&lt;=AH31,AF31*AG31+(I31-AF31)*AI31,AF31*AG31+(AH31-AF31)*AI31+(I31-AH31)*AK31)),MAX(I31*AC31,AD31))))))</f>
        <v/>
      </c>
      <c r="L31" s="26">
        <f>IF(OR(E31="INACTIVE",H31=""),0,IF(AL31="NONE",0,IF(AL31="FLAT",AM31,IF(AL31="PER_UNIT",I31*AN31,IF(AL31="MANUAL",IF(M31="",0,M31),0)))))</f>
        <v/>
      </c>
      <c r="M31" s="23" t="n"/>
      <c r="N31" s="48" t="inlineStr">
        <is>
          <t>NORMAL</t>
        </is>
      </c>
      <c r="O31" s="25" t="n"/>
      <c r="P31" s="25" t="n"/>
      <c r="Q31" s="26">
        <f>IF(OR(E31="INACTIVE",P31=""),0,MAX(0,P31-O31))</f>
        <v/>
      </c>
      <c r="R31" s="23" t="n"/>
      <c r="S31" s="26">
        <f>IF(OR(E31="INACTIVE",P31=""),0,IF(AO31="DISABLED",0,IF(AO31="FLAT",AR31,IF(AO31="MANUAL",IF(R31="",0,R31*AP31),IF(AO31="STEP",IF(Q31&lt;=AS31,Q31*AT31,IF(Q31&lt;=AU31,AS31*AT31+(Q31-AS31)*AV31,AS31*AT31+(AU31-AS31)*AV31+(Q31-AU31)*AX31)),MAX(Q31*AP31,AQ31))))))</f>
        <v/>
      </c>
      <c r="T31" s="26">
        <f>IF(OR(E31="INACTIVE",P31=""),0,IF(AY31="NONE",0,IF(AY31="FLAT",AZ31,IF(AY31="PER_UNIT",Q31*BA31,IF(AY31="MANUAL",IF(U31="",0,U31),0)))))</f>
        <v/>
      </c>
      <c r="U31" s="23" t="n"/>
      <c r="V31" s="25" t="n"/>
      <c r="W31" s="25" t="n"/>
      <c r="X31" s="26">
        <f>IF(E31="INACTIVE",0,D31+K31+L31+S31+T31+IF(V31="",0,V31)+IF(W31="",0,W31))</f>
        <v/>
      </c>
      <c r="Y31" s="27" t="n"/>
      <c r="Z31" s="28">
        <f>IF(E31="INACTIVE","_",IF(AND(G31&gt;0,H31&gt;0,H31&lt;G31),"[!]น้ำ reset ","")&amp;IF(AND(O31&gt;0,P31&gt;0,P31&lt;O31),"[!]ไฟ reset ","")&amp;IF(AND(F31="MANUAL",J31=""),"[X]units น้ำ ","")&amp;IF(AND(N31="MANUAL",R31=""),"[X]units ไฟ ","")&amp;IF(D31=0,"[!]ค่าเช่า=0",""))</f>
        <v/>
      </c>
      <c r="AA31" s="29">
        <f>IF(C31&lt;&gt;"",C31,CONFIG!$B$6)</f>
        <v/>
      </c>
      <c r="AB31" s="29">
        <f>IF(F31&lt;&gt;"",F31,IFERROR(VLOOKUP(AA31,RULES!$A:$C,3,0),CONFIG!$B$7))</f>
        <v/>
      </c>
      <c r="AC31" s="29">
        <f>IF(IFERROR(VLOOKUP(AA31,RULES!$A:$D,4,0),"")="",CONFIG!$B$10,VLOOKUP(AA31,RULES!$A:$D,4,0))</f>
        <v/>
      </c>
      <c r="AD31" s="29">
        <f>IF(IFERROR(VLOOKUP(AA31,RULES!$A:$E,5,0),"")="",CONFIG!$B$11,VLOOKUP(AA31,RULES!$A:$E,5,0))</f>
        <v/>
      </c>
      <c r="AE31" s="29">
        <f>IFERROR(VLOOKUP(AA31,RULES!$A:$F,6,0)*1,0)</f>
        <v/>
      </c>
      <c r="AF31" s="29">
        <f>IFERROR(VLOOKUP(AA31,RULES!$A:$G,7,0)*1,0)</f>
        <v/>
      </c>
      <c r="AG31" s="29">
        <f>IFERROR(VLOOKUP(AA31,RULES!$A:$H,8,0)*1,0)</f>
        <v/>
      </c>
      <c r="AH31" s="29">
        <f>IFERROR(VLOOKUP(AA31,RULES!$A:$I,9,0)*1,0)</f>
        <v/>
      </c>
      <c r="AI31" s="29">
        <f>IFERROR(VLOOKUP(AA31,RULES!$A:$J,10,0)*1,0)</f>
        <v/>
      </c>
      <c r="AJ31" s="29">
        <f>IFERROR(IF(VLOOKUP(AA31,RULES!$A:$K,11,0)="",999999,VLOOKUP(AA31,RULES!$A:$K,11,0)*1),999999)</f>
        <v/>
      </c>
      <c r="AK31" s="29">
        <f>IFERROR(VLOOKUP(AA31,RULES!$A:$L,12,0)*1,0)</f>
        <v/>
      </c>
      <c r="AL31" s="29">
        <f>IFERROR(VLOOKUP(AA31,RULES!$A:$M,13,0),"NONE")</f>
        <v/>
      </c>
      <c r="AM31" s="29">
        <f>IFERROR(VLOOKUP(AA31,RULES!$A:$N,14,0)*1,0)</f>
        <v/>
      </c>
      <c r="AN31" s="29">
        <f>IFERROR(VLOOKUP(AA31,RULES!$A:$O,15,0)*1,0)</f>
        <v/>
      </c>
      <c r="AO31" s="29">
        <f>IF(N31&lt;&gt;"",N31,IFERROR(VLOOKUP(AA31,RULES!$A:$P,16,0),CONFIG!$B$8))</f>
        <v/>
      </c>
      <c r="AP31" s="29">
        <f>IF(IFERROR(VLOOKUP(AA31,RULES!$A:$Q,17,0),"")="",CONFIG!$B$13,VLOOKUP(AA31,RULES!$A:$Q,17,0))</f>
        <v/>
      </c>
      <c r="AQ31" s="29">
        <f>IF(IFERROR(VLOOKUP(AA31,RULES!$A:$R,18,0),"")="",CONFIG!$B$14,VLOOKUP(AA31,RULES!$A:$R,18,0))</f>
        <v/>
      </c>
      <c r="AR31" s="29">
        <f>IFERROR(VLOOKUP(AA31,RULES!$A:$S,19,0)*1,0)</f>
        <v/>
      </c>
      <c r="AS31" s="29">
        <f>IFERROR(VLOOKUP(AA31,RULES!$A:$T,20,0)*1,0)</f>
        <v/>
      </c>
      <c r="AT31" s="29">
        <f>IFERROR(VLOOKUP(AA31,RULES!$A:$U,21,0)*1,0)</f>
        <v/>
      </c>
      <c r="AU31" s="29">
        <f>IFERROR(VLOOKUP(AA31,RULES!$A:$V,22,0)*1,0)</f>
        <v/>
      </c>
      <c r="AV31" s="29">
        <f>IFERROR(VLOOKUP(AA31,RULES!$A:$W,23,0)*1,0)</f>
        <v/>
      </c>
      <c r="AW31" s="29">
        <f>IFERROR(IF(VLOOKUP(AA31,RULES!$A:$X,24,0)="",999999,VLOOKUP(AA31,RULES!$A:$X,24,0)*1),999999)</f>
        <v/>
      </c>
      <c r="AX31" s="29">
        <f>IFERROR(VLOOKUP(AA31,RULES!$A:$Y,25,0)*1,0)</f>
        <v/>
      </c>
      <c r="AY31" s="29">
        <f>IFERROR(VLOOKUP(AA31,RULES!$A:$Z,26,0),"NONE")</f>
        <v/>
      </c>
      <c r="AZ31" s="29">
        <f>IFERROR(VLOOKUP(AA31,RULES!$A:$AA,27,0)*1,0)</f>
        <v/>
      </c>
      <c r="BA31" s="29">
        <f>IFERROR(VLOOKUP(AA31,RULES!$A:$AB,28,0)*1,0)</f>
        <v/>
      </c>
    </row>
    <row r="32" ht="17" customHeight="1">
      <c r="A32" s="22" t="inlineStr">
        <is>
          <t>3429</t>
        </is>
      </c>
      <c r="B32" s="48" t="inlineStr">
        <is>
          <t>ACC004</t>
        </is>
      </c>
      <c r="C32" s="48" t="inlineStr">
        <is>
          <t>DEFAULT</t>
        </is>
      </c>
      <c r="D32" s="47" t="n"/>
      <c r="E32" s="22">
        <f>IF(OR(D32="",D32=0),"INACTIVE","ACTIVE")</f>
        <v/>
      </c>
      <c r="F32" s="48" t="inlineStr">
        <is>
          <t>NORMAL</t>
        </is>
      </c>
      <c r="G32" s="25" t="n"/>
      <c r="H32" s="25" t="n"/>
      <c r="I32" s="26">
        <f>IF(OR(E32="INACTIVE",H32=""),0,MAX(0,H32-G32))</f>
        <v/>
      </c>
      <c r="J32" s="23" t="n"/>
      <c r="K32" s="26">
        <f>IF(OR(E32="INACTIVE",H32=""),0,IF(AB32="DISABLED",0,IF(AB32="FLAT",AE32,IF(AB32="MANUAL",IF(J32="",0,J32*AC32),IF(AB32="STEP",IF(I32&lt;=AF32,I32*AG32,IF(I32&lt;=AH32,AF32*AG32+(I32-AF32)*AI32,AF32*AG32+(AH32-AF32)*AI32+(I32-AH32)*AK32)),MAX(I32*AC32,AD32))))))</f>
        <v/>
      </c>
      <c r="L32" s="26">
        <f>IF(OR(E32="INACTIVE",H32=""),0,IF(AL32="NONE",0,IF(AL32="FLAT",AM32,IF(AL32="PER_UNIT",I32*AN32,IF(AL32="MANUAL",IF(M32="",0,M32),0)))))</f>
        <v/>
      </c>
      <c r="M32" s="23" t="n"/>
      <c r="N32" s="48" t="inlineStr">
        <is>
          <t>NORMAL</t>
        </is>
      </c>
      <c r="O32" s="25" t="n"/>
      <c r="P32" s="25" t="n"/>
      <c r="Q32" s="26">
        <f>IF(OR(E32="INACTIVE",P32=""),0,MAX(0,P32-O32))</f>
        <v/>
      </c>
      <c r="R32" s="23" t="n"/>
      <c r="S32" s="26">
        <f>IF(OR(E32="INACTIVE",P32=""),0,IF(AO32="DISABLED",0,IF(AO32="FLAT",AR32,IF(AO32="MANUAL",IF(R32="",0,R32*AP32),IF(AO32="STEP",IF(Q32&lt;=AS32,Q32*AT32,IF(Q32&lt;=AU32,AS32*AT32+(Q32-AS32)*AV32,AS32*AT32+(AU32-AS32)*AV32+(Q32-AU32)*AX32)),MAX(Q32*AP32,AQ32))))))</f>
        <v/>
      </c>
      <c r="T32" s="26">
        <f>IF(OR(E32="INACTIVE",P32=""),0,IF(AY32="NONE",0,IF(AY32="FLAT",AZ32,IF(AY32="PER_UNIT",Q32*BA32,IF(AY32="MANUAL",IF(U32="",0,U32),0)))))</f>
        <v/>
      </c>
      <c r="U32" s="23" t="n"/>
      <c r="V32" s="25" t="n"/>
      <c r="W32" s="25" t="n"/>
      <c r="X32" s="26">
        <f>IF(E32="INACTIVE",0,D32+K32+L32+S32+T32+IF(V32="",0,V32)+IF(W32="",0,W32))</f>
        <v/>
      </c>
      <c r="Y32" s="27" t="n"/>
      <c r="Z32" s="28">
        <f>IF(E32="INACTIVE","_",IF(AND(G32&gt;0,H32&gt;0,H32&lt;G32),"[!]น้ำ reset ","")&amp;IF(AND(O32&gt;0,P32&gt;0,P32&lt;O32),"[!]ไฟ reset ","")&amp;IF(AND(F32="MANUAL",J32=""),"[X]units น้ำ ","")&amp;IF(AND(N32="MANUAL",R32=""),"[X]units ไฟ ","")&amp;IF(D32=0,"[!]ค่าเช่า=0",""))</f>
        <v/>
      </c>
      <c r="AA32" s="29">
        <f>IF(C32&lt;&gt;"",C32,CONFIG!$B$6)</f>
        <v/>
      </c>
      <c r="AB32" s="29">
        <f>IF(F32&lt;&gt;"",F32,IFERROR(VLOOKUP(AA32,RULES!$A:$C,3,0),CONFIG!$B$7))</f>
        <v/>
      </c>
      <c r="AC32" s="29">
        <f>IF(IFERROR(VLOOKUP(AA32,RULES!$A:$D,4,0),"")="",CONFIG!$B$10,VLOOKUP(AA32,RULES!$A:$D,4,0))</f>
        <v/>
      </c>
      <c r="AD32" s="29">
        <f>IF(IFERROR(VLOOKUP(AA32,RULES!$A:$E,5,0),"")="",CONFIG!$B$11,VLOOKUP(AA32,RULES!$A:$E,5,0))</f>
        <v/>
      </c>
      <c r="AE32" s="29">
        <f>IFERROR(VLOOKUP(AA32,RULES!$A:$F,6,0)*1,0)</f>
        <v/>
      </c>
      <c r="AF32" s="29">
        <f>IFERROR(VLOOKUP(AA32,RULES!$A:$G,7,0)*1,0)</f>
        <v/>
      </c>
      <c r="AG32" s="29">
        <f>IFERROR(VLOOKUP(AA32,RULES!$A:$H,8,0)*1,0)</f>
        <v/>
      </c>
      <c r="AH32" s="29">
        <f>IFERROR(VLOOKUP(AA32,RULES!$A:$I,9,0)*1,0)</f>
        <v/>
      </c>
      <c r="AI32" s="29">
        <f>IFERROR(VLOOKUP(AA32,RULES!$A:$J,10,0)*1,0)</f>
        <v/>
      </c>
      <c r="AJ32" s="29">
        <f>IFERROR(IF(VLOOKUP(AA32,RULES!$A:$K,11,0)="",999999,VLOOKUP(AA32,RULES!$A:$K,11,0)*1),999999)</f>
        <v/>
      </c>
      <c r="AK32" s="29">
        <f>IFERROR(VLOOKUP(AA32,RULES!$A:$L,12,0)*1,0)</f>
        <v/>
      </c>
      <c r="AL32" s="29">
        <f>IFERROR(VLOOKUP(AA32,RULES!$A:$M,13,0),"NONE")</f>
        <v/>
      </c>
      <c r="AM32" s="29">
        <f>IFERROR(VLOOKUP(AA32,RULES!$A:$N,14,0)*1,0)</f>
        <v/>
      </c>
      <c r="AN32" s="29">
        <f>IFERROR(VLOOKUP(AA32,RULES!$A:$O,15,0)*1,0)</f>
        <v/>
      </c>
      <c r="AO32" s="29">
        <f>IF(N32&lt;&gt;"",N32,IFERROR(VLOOKUP(AA32,RULES!$A:$P,16,0),CONFIG!$B$8))</f>
        <v/>
      </c>
      <c r="AP32" s="29">
        <f>IF(IFERROR(VLOOKUP(AA32,RULES!$A:$Q,17,0),"")="",CONFIG!$B$13,VLOOKUP(AA32,RULES!$A:$Q,17,0))</f>
        <v/>
      </c>
      <c r="AQ32" s="29">
        <f>IF(IFERROR(VLOOKUP(AA32,RULES!$A:$R,18,0),"")="",CONFIG!$B$14,VLOOKUP(AA32,RULES!$A:$R,18,0))</f>
        <v/>
      </c>
      <c r="AR32" s="29">
        <f>IFERROR(VLOOKUP(AA32,RULES!$A:$S,19,0)*1,0)</f>
        <v/>
      </c>
      <c r="AS32" s="29">
        <f>IFERROR(VLOOKUP(AA32,RULES!$A:$T,20,0)*1,0)</f>
        <v/>
      </c>
      <c r="AT32" s="29">
        <f>IFERROR(VLOOKUP(AA32,RULES!$A:$U,21,0)*1,0)</f>
        <v/>
      </c>
      <c r="AU32" s="29">
        <f>IFERROR(VLOOKUP(AA32,RULES!$A:$V,22,0)*1,0)</f>
        <v/>
      </c>
      <c r="AV32" s="29">
        <f>IFERROR(VLOOKUP(AA32,RULES!$A:$W,23,0)*1,0)</f>
        <v/>
      </c>
      <c r="AW32" s="29">
        <f>IFERROR(IF(VLOOKUP(AA32,RULES!$A:$X,24,0)="",999999,VLOOKUP(AA32,RULES!$A:$X,24,0)*1),999999)</f>
        <v/>
      </c>
      <c r="AX32" s="29">
        <f>IFERROR(VLOOKUP(AA32,RULES!$A:$Y,25,0)*1,0)</f>
        <v/>
      </c>
      <c r="AY32" s="29">
        <f>IFERROR(VLOOKUP(AA32,RULES!$A:$Z,26,0),"NONE")</f>
        <v/>
      </c>
      <c r="AZ32" s="29">
        <f>IFERROR(VLOOKUP(AA32,RULES!$A:$AA,27,0)*1,0)</f>
        <v/>
      </c>
      <c r="BA32" s="29">
        <f>IFERROR(VLOOKUP(AA32,RULES!$A:$AB,28,0)*1,0)</f>
        <v/>
      </c>
    </row>
    <row r="33" ht="17" customHeight="1">
      <c r="A33" s="22" t="inlineStr">
        <is>
          <t>3430</t>
        </is>
      </c>
      <c r="B33" s="48" t="inlineStr">
        <is>
          <t>ACC004</t>
        </is>
      </c>
      <c r="C33" s="48" t="inlineStr">
        <is>
          <t>DEFAULT</t>
        </is>
      </c>
      <c r="D33" s="47" t="n"/>
      <c r="E33" s="22">
        <f>IF(OR(D33="",D33=0),"INACTIVE","ACTIVE")</f>
        <v/>
      </c>
      <c r="F33" s="48" t="inlineStr">
        <is>
          <t>NORMAL</t>
        </is>
      </c>
      <c r="G33" s="25" t="n"/>
      <c r="H33" s="25" t="n"/>
      <c r="I33" s="26">
        <f>IF(OR(E33="INACTIVE",H33=""),0,MAX(0,H33-G33))</f>
        <v/>
      </c>
      <c r="J33" s="23" t="n"/>
      <c r="K33" s="26">
        <f>IF(OR(E33="INACTIVE",H33=""),0,IF(AB33="DISABLED",0,IF(AB33="FLAT",AE33,IF(AB33="MANUAL",IF(J33="",0,J33*AC33),IF(AB33="STEP",IF(I33&lt;=AF33,I33*AG33,IF(I33&lt;=AH33,AF33*AG33+(I33-AF33)*AI33,AF33*AG33+(AH33-AF33)*AI33+(I33-AH33)*AK33)),MAX(I33*AC33,AD33))))))</f>
        <v/>
      </c>
      <c r="L33" s="26">
        <f>IF(OR(E33="INACTIVE",H33=""),0,IF(AL33="NONE",0,IF(AL33="FLAT",AM33,IF(AL33="PER_UNIT",I33*AN33,IF(AL33="MANUAL",IF(M33="",0,M33),0)))))</f>
        <v/>
      </c>
      <c r="M33" s="23" t="n"/>
      <c r="N33" s="48" t="inlineStr">
        <is>
          <t>NORMAL</t>
        </is>
      </c>
      <c r="O33" s="25" t="n"/>
      <c r="P33" s="25" t="n"/>
      <c r="Q33" s="26">
        <f>IF(OR(E33="INACTIVE",P33=""),0,MAX(0,P33-O33))</f>
        <v/>
      </c>
      <c r="R33" s="23" t="n"/>
      <c r="S33" s="26">
        <f>IF(OR(E33="INACTIVE",P33=""),0,IF(AO33="DISABLED",0,IF(AO33="FLAT",AR33,IF(AO33="MANUAL",IF(R33="",0,R33*AP33),IF(AO33="STEP",IF(Q33&lt;=AS33,Q33*AT33,IF(Q33&lt;=AU33,AS33*AT33+(Q33-AS33)*AV33,AS33*AT33+(AU33-AS33)*AV33+(Q33-AU33)*AX33)),MAX(Q33*AP33,AQ33))))))</f>
        <v/>
      </c>
      <c r="T33" s="26">
        <f>IF(OR(E33="INACTIVE",P33=""),0,IF(AY33="NONE",0,IF(AY33="FLAT",AZ33,IF(AY33="PER_UNIT",Q33*BA33,IF(AY33="MANUAL",IF(U33="",0,U33),0)))))</f>
        <v/>
      </c>
      <c r="U33" s="23" t="n"/>
      <c r="V33" s="25" t="n"/>
      <c r="W33" s="25" t="n"/>
      <c r="X33" s="26">
        <f>IF(E33="INACTIVE",0,D33+K33+L33+S33+T33+IF(V33="",0,V33)+IF(W33="",0,W33))</f>
        <v/>
      </c>
      <c r="Y33" s="27" t="n"/>
      <c r="Z33" s="28">
        <f>IF(E33="INACTIVE","_",IF(AND(G33&gt;0,H33&gt;0,H33&lt;G33),"[!]น้ำ reset ","")&amp;IF(AND(O33&gt;0,P33&gt;0,P33&lt;O33),"[!]ไฟ reset ","")&amp;IF(AND(F33="MANUAL",J33=""),"[X]units น้ำ ","")&amp;IF(AND(N33="MANUAL",R33=""),"[X]units ไฟ ","")&amp;IF(D33=0,"[!]ค่าเช่า=0",""))</f>
        <v/>
      </c>
      <c r="AA33" s="29">
        <f>IF(C33&lt;&gt;"",C33,CONFIG!$B$6)</f>
        <v/>
      </c>
      <c r="AB33" s="29">
        <f>IF(F33&lt;&gt;"",F33,IFERROR(VLOOKUP(AA33,RULES!$A:$C,3,0),CONFIG!$B$7))</f>
        <v/>
      </c>
      <c r="AC33" s="29">
        <f>IF(IFERROR(VLOOKUP(AA33,RULES!$A:$D,4,0),"")="",CONFIG!$B$10,VLOOKUP(AA33,RULES!$A:$D,4,0))</f>
        <v/>
      </c>
      <c r="AD33" s="29">
        <f>IF(IFERROR(VLOOKUP(AA33,RULES!$A:$E,5,0),"")="",CONFIG!$B$11,VLOOKUP(AA33,RULES!$A:$E,5,0))</f>
        <v/>
      </c>
      <c r="AE33" s="29">
        <f>IFERROR(VLOOKUP(AA33,RULES!$A:$F,6,0)*1,0)</f>
        <v/>
      </c>
      <c r="AF33" s="29">
        <f>IFERROR(VLOOKUP(AA33,RULES!$A:$G,7,0)*1,0)</f>
        <v/>
      </c>
      <c r="AG33" s="29">
        <f>IFERROR(VLOOKUP(AA33,RULES!$A:$H,8,0)*1,0)</f>
        <v/>
      </c>
      <c r="AH33" s="29">
        <f>IFERROR(VLOOKUP(AA33,RULES!$A:$I,9,0)*1,0)</f>
        <v/>
      </c>
      <c r="AI33" s="29">
        <f>IFERROR(VLOOKUP(AA33,RULES!$A:$J,10,0)*1,0)</f>
        <v/>
      </c>
      <c r="AJ33" s="29">
        <f>IFERROR(IF(VLOOKUP(AA33,RULES!$A:$K,11,0)="",999999,VLOOKUP(AA33,RULES!$A:$K,11,0)*1),999999)</f>
        <v/>
      </c>
      <c r="AK33" s="29">
        <f>IFERROR(VLOOKUP(AA33,RULES!$A:$L,12,0)*1,0)</f>
        <v/>
      </c>
      <c r="AL33" s="29">
        <f>IFERROR(VLOOKUP(AA33,RULES!$A:$M,13,0),"NONE")</f>
        <v/>
      </c>
      <c r="AM33" s="29">
        <f>IFERROR(VLOOKUP(AA33,RULES!$A:$N,14,0)*1,0)</f>
        <v/>
      </c>
      <c r="AN33" s="29">
        <f>IFERROR(VLOOKUP(AA33,RULES!$A:$O,15,0)*1,0)</f>
        <v/>
      </c>
      <c r="AO33" s="29">
        <f>IF(N33&lt;&gt;"",N33,IFERROR(VLOOKUP(AA33,RULES!$A:$P,16,0),CONFIG!$B$8))</f>
        <v/>
      </c>
      <c r="AP33" s="29">
        <f>IF(IFERROR(VLOOKUP(AA33,RULES!$A:$Q,17,0),"")="",CONFIG!$B$13,VLOOKUP(AA33,RULES!$A:$Q,17,0))</f>
        <v/>
      </c>
      <c r="AQ33" s="29">
        <f>IF(IFERROR(VLOOKUP(AA33,RULES!$A:$R,18,0),"")="",CONFIG!$B$14,VLOOKUP(AA33,RULES!$A:$R,18,0))</f>
        <v/>
      </c>
      <c r="AR33" s="29">
        <f>IFERROR(VLOOKUP(AA33,RULES!$A:$S,19,0)*1,0)</f>
        <v/>
      </c>
      <c r="AS33" s="29">
        <f>IFERROR(VLOOKUP(AA33,RULES!$A:$T,20,0)*1,0)</f>
        <v/>
      </c>
      <c r="AT33" s="29">
        <f>IFERROR(VLOOKUP(AA33,RULES!$A:$U,21,0)*1,0)</f>
        <v/>
      </c>
      <c r="AU33" s="29">
        <f>IFERROR(VLOOKUP(AA33,RULES!$A:$V,22,0)*1,0)</f>
        <v/>
      </c>
      <c r="AV33" s="29">
        <f>IFERROR(VLOOKUP(AA33,RULES!$A:$W,23,0)*1,0)</f>
        <v/>
      </c>
      <c r="AW33" s="29">
        <f>IFERROR(IF(VLOOKUP(AA33,RULES!$A:$X,24,0)="",999999,VLOOKUP(AA33,RULES!$A:$X,24,0)*1),999999)</f>
        <v/>
      </c>
      <c r="AX33" s="29">
        <f>IFERROR(VLOOKUP(AA33,RULES!$A:$Y,25,0)*1,0)</f>
        <v/>
      </c>
      <c r="AY33" s="29">
        <f>IFERROR(VLOOKUP(AA33,RULES!$A:$Z,26,0),"NONE")</f>
        <v/>
      </c>
      <c r="AZ33" s="29">
        <f>IFERROR(VLOOKUP(AA33,RULES!$A:$AA,27,0)*1,0)</f>
        <v/>
      </c>
      <c r="BA33" s="29">
        <f>IFERROR(VLOOKUP(AA33,RULES!$A:$AB,28,0)*1,0)</f>
        <v/>
      </c>
    </row>
    <row r="34" ht="17" customHeight="1">
      <c r="A34" s="22" t="inlineStr">
        <is>
          <t>3431</t>
        </is>
      </c>
      <c r="B34" s="48" t="inlineStr">
        <is>
          <t>ACC004</t>
        </is>
      </c>
      <c r="C34" s="48" t="inlineStr">
        <is>
          <t>DEFAULT</t>
        </is>
      </c>
      <c r="D34" s="47" t="n"/>
      <c r="E34" s="22">
        <f>IF(OR(D34="",D34=0),"INACTIVE","ACTIVE")</f>
        <v/>
      </c>
      <c r="F34" s="48" t="inlineStr">
        <is>
          <t>NORMAL</t>
        </is>
      </c>
      <c r="G34" s="25" t="n"/>
      <c r="H34" s="25" t="n"/>
      <c r="I34" s="26">
        <f>IF(OR(E34="INACTIVE",H34=""),0,MAX(0,H34-G34))</f>
        <v/>
      </c>
      <c r="J34" s="23" t="n"/>
      <c r="K34" s="26">
        <f>IF(OR(E34="INACTIVE",H34=""),0,IF(AB34="DISABLED",0,IF(AB34="FLAT",AE34,IF(AB34="MANUAL",IF(J34="",0,J34*AC34),IF(AB34="STEP",IF(I34&lt;=AF34,I34*AG34,IF(I34&lt;=AH34,AF34*AG34+(I34-AF34)*AI34,AF34*AG34+(AH34-AF34)*AI34+(I34-AH34)*AK34)),MAX(I34*AC34,AD34))))))</f>
        <v/>
      </c>
      <c r="L34" s="26">
        <f>IF(OR(E34="INACTIVE",H34=""),0,IF(AL34="NONE",0,IF(AL34="FLAT",AM34,IF(AL34="PER_UNIT",I34*AN34,IF(AL34="MANUAL",IF(M34="",0,M34),0)))))</f>
        <v/>
      </c>
      <c r="M34" s="23" t="n"/>
      <c r="N34" s="48" t="inlineStr">
        <is>
          <t>NORMAL</t>
        </is>
      </c>
      <c r="O34" s="25" t="n"/>
      <c r="P34" s="25" t="n"/>
      <c r="Q34" s="26">
        <f>IF(OR(E34="INACTIVE",P34=""),0,MAX(0,P34-O34))</f>
        <v/>
      </c>
      <c r="R34" s="23" t="n"/>
      <c r="S34" s="26">
        <f>IF(OR(E34="INACTIVE",P34=""),0,IF(AO34="DISABLED",0,IF(AO34="FLAT",AR34,IF(AO34="MANUAL",IF(R34="",0,R34*AP34),IF(AO34="STEP",IF(Q34&lt;=AS34,Q34*AT34,IF(Q34&lt;=AU34,AS34*AT34+(Q34-AS34)*AV34,AS34*AT34+(AU34-AS34)*AV34+(Q34-AU34)*AX34)),MAX(Q34*AP34,AQ34))))))</f>
        <v/>
      </c>
      <c r="T34" s="26">
        <f>IF(OR(E34="INACTIVE",P34=""),0,IF(AY34="NONE",0,IF(AY34="FLAT",AZ34,IF(AY34="PER_UNIT",Q34*BA34,IF(AY34="MANUAL",IF(U34="",0,U34),0)))))</f>
        <v/>
      </c>
      <c r="U34" s="23" t="n"/>
      <c r="V34" s="25" t="n"/>
      <c r="W34" s="25" t="n"/>
      <c r="X34" s="26">
        <f>IF(E34="INACTIVE",0,D34+K34+L34+S34+T34+IF(V34="",0,V34)+IF(W34="",0,W34))</f>
        <v/>
      </c>
      <c r="Y34" s="27" t="n"/>
      <c r="Z34" s="28">
        <f>IF(E34="INACTIVE","_",IF(AND(G34&gt;0,H34&gt;0,H34&lt;G34),"[!]น้ำ reset ","")&amp;IF(AND(O34&gt;0,P34&gt;0,P34&lt;O34),"[!]ไฟ reset ","")&amp;IF(AND(F34="MANUAL",J34=""),"[X]units น้ำ ","")&amp;IF(AND(N34="MANUAL",R34=""),"[X]units ไฟ ","")&amp;IF(D34=0,"[!]ค่าเช่า=0",""))</f>
        <v/>
      </c>
      <c r="AA34" s="29">
        <f>IF(C34&lt;&gt;"",C34,CONFIG!$B$6)</f>
        <v/>
      </c>
      <c r="AB34" s="29">
        <f>IF(F34&lt;&gt;"",F34,IFERROR(VLOOKUP(AA34,RULES!$A:$C,3,0),CONFIG!$B$7))</f>
        <v/>
      </c>
      <c r="AC34" s="29">
        <f>IF(IFERROR(VLOOKUP(AA34,RULES!$A:$D,4,0),"")="",CONFIG!$B$10,VLOOKUP(AA34,RULES!$A:$D,4,0))</f>
        <v/>
      </c>
      <c r="AD34" s="29">
        <f>IF(IFERROR(VLOOKUP(AA34,RULES!$A:$E,5,0),"")="",CONFIG!$B$11,VLOOKUP(AA34,RULES!$A:$E,5,0))</f>
        <v/>
      </c>
      <c r="AE34" s="29">
        <f>IFERROR(VLOOKUP(AA34,RULES!$A:$F,6,0)*1,0)</f>
        <v/>
      </c>
      <c r="AF34" s="29">
        <f>IFERROR(VLOOKUP(AA34,RULES!$A:$G,7,0)*1,0)</f>
        <v/>
      </c>
      <c r="AG34" s="29">
        <f>IFERROR(VLOOKUP(AA34,RULES!$A:$H,8,0)*1,0)</f>
        <v/>
      </c>
      <c r="AH34" s="29">
        <f>IFERROR(VLOOKUP(AA34,RULES!$A:$I,9,0)*1,0)</f>
        <v/>
      </c>
      <c r="AI34" s="29">
        <f>IFERROR(VLOOKUP(AA34,RULES!$A:$J,10,0)*1,0)</f>
        <v/>
      </c>
      <c r="AJ34" s="29">
        <f>IFERROR(IF(VLOOKUP(AA34,RULES!$A:$K,11,0)="",999999,VLOOKUP(AA34,RULES!$A:$K,11,0)*1),999999)</f>
        <v/>
      </c>
      <c r="AK34" s="29">
        <f>IFERROR(VLOOKUP(AA34,RULES!$A:$L,12,0)*1,0)</f>
        <v/>
      </c>
      <c r="AL34" s="29">
        <f>IFERROR(VLOOKUP(AA34,RULES!$A:$M,13,0),"NONE")</f>
        <v/>
      </c>
      <c r="AM34" s="29">
        <f>IFERROR(VLOOKUP(AA34,RULES!$A:$N,14,0)*1,0)</f>
        <v/>
      </c>
      <c r="AN34" s="29">
        <f>IFERROR(VLOOKUP(AA34,RULES!$A:$O,15,0)*1,0)</f>
        <v/>
      </c>
      <c r="AO34" s="29">
        <f>IF(N34&lt;&gt;"",N34,IFERROR(VLOOKUP(AA34,RULES!$A:$P,16,0),CONFIG!$B$8))</f>
        <v/>
      </c>
      <c r="AP34" s="29">
        <f>IF(IFERROR(VLOOKUP(AA34,RULES!$A:$Q,17,0),"")="",CONFIG!$B$13,VLOOKUP(AA34,RULES!$A:$Q,17,0))</f>
        <v/>
      </c>
      <c r="AQ34" s="29">
        <f>IF(IFERROR(VLOOKUP(AA34,RULES!$A:$R,18,0),"")="",CONFIG!$B$14,VLOOKUP(AA34,RULES!$A:$R,18,0))</f>
        <v/>
      </c>
      <c r="AR34" s="29">
        <f>IFERROR(VLOOKUP(AA34,RULES!$A:$S,19,0)*1,0)</f>
        <v/>
      </c>
      <c r="AS34" s="29">
        <f>IFERROR(VLOOKUP(AA34,RULES!$A:$T,20,0)*1,0)</f>
        <v/>
      </c>
      <c r="AT34" s="29">
        <f>IFERROR(VLOOKUP(AA34,RULES!$A:$U,21,0)*1,0)</f>
        <v/>
      </c>
      <c r="AU34" s="29">
        <f>IFERROR(VLOOKUP(AA34,RULES!$A:$V,22,0)*1,0)</f>
        <v/>
      </c>
      <c r="AV34" s="29">
        <f>IFERROR(VLOOKUP(AA34,RULES!$A:$W,23,0)*1,0)</f>
        <v/>
      </c>
      <c r="AW34" s="29">
        <f>IFERROR(IF(VLOOKUP(AA34,RULES!$A:$X,24,0)="",999999,VLOOKUP(AA34,RULES!$A:$X,24,0)*1),999999)</f>
        <v/>
      </c>
      <c r="AX34" s="29">
        <f>IFERROR(VLOOKUP(AA34,RULES!$A:$Y,25,0)*1,0)</f>
        <v/>
      </c>
      <c r="AY34" s="29">
        <f>IFERROR(VLOOKUP(AA34,RULES!$A:$Z,26,0),"NONE")</f>
        <v/>
      </c>
      <c r="AZ34" s="29">
        <f>IFERROR(VLOOKUP(AA34,RULES!$A:$AA,27,0)*1,0)</f>
        <v/>
      </c>
      <c r="BA34" s="29">
        <f>IFERROR(VLOOKUP(AA34,RULES!$A:$AB,28,0)*1,0)</f>
        <v/>
      </c>
    </row>
    <row r="35" ht="17" customHeight="1">
      <c r="A35" s="22" t="inlineStr">
        <is>
          <t>3432</t>
        </is>
      </c>
      <c r="B35" s="48" t="inlineStr">
        <is>
          <t>ACC004</t>
        </is>
      </c>
      <c r="C35" s="48" t="inlineStr">
        <is>
          <t>DEFAULT</t>
        </is>
      </c>
      <c r="D35" s="47" t="n"/>
      <c r="E35" s="22">
        <f>IF(OR(D35="",D35=0),"INACTIVE","ACTIVE")</f>
        <v/>
      </c>
      <c r="F35" s="48" t="inlineStr">
        <is>
          <t>NORMAL</t>
        </is>
      </c>
      <c r="G35" s="25" t="n"/>
      <c r="H35" s="25" t="n"/>
      <c r="I35" s="26">
        <f>IF(OR(E35="INACTIVE",H35=""),0,MAX(0,H35-G35))</f>
        <v/>
      </c>
      <c r="J35" s="23" t="n"/>
      <c r="K35" s="26">
        <f>IF(OR(E35="INACTIVE",H35=""),0,IF(AB35="DISABLED",0,IF(AB35="FLAT",AE35,IF(AB35="MANUAL",IF(J35="",0,J35*AC35),IF(AB35="STEP",IF(I35&lt;=AF35,I35*AG35,IF(I35&lt;=AH35,AF35*AG35+(I35-AF35)*AI35,AF35*AG35+(AH35-AF35)*AI35+(I35-AH35)*AK35)),MAX(I35*AC35,AD35))))))</f>
        <v/>
      </c>
      <c r="L35" s="26">
        <f>IF(OR(E35="INACTIVE",H35=""),0,IF(AL35="NONE",0,IF(AL35="FLAT",AM35,IF(AL35="PER_UNIT",I35*AN35,IF(AL35="MANUAL",IF(M35="",0,M35),0)))))</f>
        <v/>
      </c>
      <c r="M35" s="23" t="n"/>
      <c r="N35" s="48" t="inlineStr">
        <is>
          <t>NORMAL</t>
        </is>
      </c>
      <c r="O35" s="25" t="n"/>
      <c r="P35" s="25" t="n"/>
      <c r="Q35" s="26">
        <f>IF(OR(E35="INACTIVE",P35=""),0,MAX(0,P35-O35))</f>
        <v/>
      </c>
      <c r="R35" s="23" t="n"/>
      <c r="S35" s="26">
        <f>IF(OR(E35="INACTIVE",P35=""),0,IF(AO35="DISABLED",0,IF(AO35="FLAT",AR35,IF(AO35="MANUAL",IF(R35="",0,R35*AP35),IF(AO35="STEP",IF(Q35&lt;=AS35,Q35*AT35,IF(Q35&lt;=AU35,AS35*AT35+(Q35-AS35)*AV35,AS35*AT35+(AU35-AS35)*AV35+(Q35-AU35)*AX35)),MAX(Q35*AP35,AQ35))))))</f>
        <v/>
      </c>
      <c r="T35" s="26">
        <f>IF(OR(E35="INACTIVE",P35=""),0,IF(AY35="NONE",0,IF(AY35="FLAT",AZ35,IF(AY35="PER_UNIT",Q35*BA35,IF(AY35="MANUAL",IF(U35="",0,U35),0)))))</f>
        <v/>
      </c>
      <c r="U35" s="23" t="n"/>
      <c r="V35" s="25" t="n"/>
      <c r="W35" s="25" t="n"/>
      <c r="X35" s="26">
        <f>IF(E35="INACTIVE",0,D35+K35+L35+S35+T35+IF(V35="",0,V35)+IF(W35="",0,W35))</f>
        <v/>
      </c>
      <c r="Y35" s="27" t="n"/>
      <c r="Z35" s="28">
        <f>IF(E35="INACTIVE","_",IF(AND(G35&gt;0,H35&gt;0,H35&lt;G35),"[!]น้ำ reset ","")&amp;IF(AND(O35&gt;0,P35&gt;0,P35&lt;O35),"[!]ไฟ reset ","")&amp;IF(AND(F35="MANUAL",J35=""),"[X]units น้ำ ","")&amp;IF(AND(N35="MANUAL",R35=""),"[X]units ไฟ ","")&amp;IF(D35=0,"[!]ค่าเช่า=0",""))</f>
        <v/>
      </c>
      <c r="AA35" s="29">
        <f>IF(C35&lt;&gt;"",C35,CONFIG!$B$6)</f>
        <v/>
      </c>
      <c r="AB35" s="29">
        <f>IF(F35&lt;&gt;"",F35,IFERROR(VLOOKUP(AA35,RULES!$A:$C,3,0),CONFIG!$B$7))</f>
        <v/>
      </c>
      <c r="AC35" s="29">
        <f>IF(IFERROR(VLOOKUP(AA35,RULES!$A:$D,4,0),"")="",CONFIG!$B$10,VLOOKUP(AA35,RULES!$A:$D,4,0))</f>
        <v/>
      </c>
      <c r="AD35" s="29">
        <f>IF(IFERROR(VLOOKUP(AA35,RULES!$A:$E,5,0),"")="",CONFIG!$B$11,VLOOKUP(AA35,RULES!$A:$E,5,0))</f>
        <v/>
      </c>
      <c r="AE35" s="29">
        <f>IFERROR(VLOOKUP(AA35,RULES!$A:$F,6,0)*1,0)</f>
        <v/>
      </c>
      <c r="AF35" s="29">
        <f>IFERROR(VLOOKUP(AA35,RULES!$A:$G,7,0)*1,0)</f>
        <v/>
      </c>
      <c r="AG35" s="29">
        <f>IFERROR(VLOOKUP(AA35,RULES!$A:$H,8,0)*1,0)</f>
        <v/>
      </c>
      <c r="AH35" s="29">
        <f>IFERROR(VLOOKUP(AA35,RULES!$A:$I,9,0)*1,0)</f>
        <v/>
      </c>
      <c r="AI35" s="29">
        <f>IFERROR(VLOOKUP(AA35,RULES!$A:$J,10,0)*1,0)</f>
        <v/>
      </c>
      <c r="AJ35" s="29">
        <f>IFERROR(IF(VLOOKUP(AA35,RULES!$A:$K,11,0)="",999999,VLOOKUP(AA35,RULES!$A:$K,11,0)*1),999999)</f>
        <v/>
      </c>
      <c r="AK35" s="29">
        <f>IFERROR(VLOOKUP(AA35,RULES!$A:$L,12,0)*1,0)</f>
        <v/>
      </c>
      <c r="AL35" s="29">
        <f>IFERROR(VLOOKUP(AA35,RULES!$A:$M,13,0),"NONE")</f>
        <v/>
      </c>
      <c r="AM35" s="29">
        <f>IFERROR(VLOOKUP(AA35,RULES!$A:$N,14,0)*1,0)</f>
        <v/>
      </c>
      <c r="AN35" s="29">
        <f>IFERROR(VLOOKUP(AA35,RULES!$A:$O,15,0)*1,0)</f>
        <v/>
      </c>
      <c r="AO35" s="29">
        <f>IF(N35&lt;&gt;"",N35,IFERROR(VLOOKUP(AA35,RULES!$A:$P,16,0),CONFIG!$B$8))</f>
        <v/>
      </c>
      <c r="AP35" s="29">
        <f>IF(IFERROR(VLOOKUP(AA35,RULES!$A:$Q,17,0),"")="",CONFIG!$B$13,VLOOKUP(AA35,RULES!$A:$Q,17,0))</f>
        <v/>
      </c>
      <c r="AQ35" s="29">
        <f>IF(IFERROR(VLOOKUP(AA35,RULES!$A:$R,18,0),"")="",CONFIG!$B$14,VLOOKUP(AA35,RULES!$A:$R,18,0))</f>
        <v/>
      </c>
      <c r="AR35" s="29">
        <f>IFERROR(VLOOKUP(AA35,RULES!$A:$S,19,0)*1,0)</f>
        <v/>
      </c>
      <c r="AS35" s="29">
        <f>IFERROR(VLOOKUP(AA35,RULES!$A:$T,20,0)*1,0)</f>
        <v/>
      </c>
      <c r="AT35" s="29">
        <f>IFERROR(VLOOKUP(AA35,RULES!$A:$U,21,0)*1,0)</f>
        <v/>
      </c>
      <c r="AU35" s="29">
        <f>IFERROR(VLOOKUP(AA35,RULES!$A:$V,22,0)*1,0)</f>
        <v/>
      </c>
      <c r="AV35" s="29">
        <f>IFERROR(VLOOKUP(AA35,RULES!$A:$W,23,0)*1,0)</f>
        <v/>
      </c>
      <c r="AW35" s="29">
        <f>IFERROR(IF(VLOOKUP(AA35,RULES!$A:$X,24,0)="",999999,VLOOKUP(AA35,RULES!$A:$X,24,0)*1),999999)</f>
        <v/>
      </c>
      <c r="AX35" s="29">
        <f>IFERROR(VLOOKUP(AA35,RULES!$A:$Y,25,0)*1,0)</f>
        <v/>
      </c>
      <c r="AY35" s="29">
        <f>IFERROR(VLOOKUP(AA35,RULES!$A:$Z,26,0),"NONE")</f>
        <v/>
      </c>
      <c r="AZ35" s="29">
        <f>IFERROR(VLOOKUP(AA35,RULES!$A:$AA,27,0)*1,0)</f>
        <v/>
      </c>
      <c r="BA35" s="29">
        <f>IFERROR(VLOOKUP(AA35,RULES!$A:$AB,28,0)*1,0)</f>
        <v/>
      </c>
    </row>
    <row r="36" ht="17" customHeight="1">
      <c r="A36" s="35" t="n"/>
      <c r="B36" s="46" t="n"/>
      <c r="C36" s="48" t="inlineStr">
        <is>
          <t>DEFAULT</t>
        </is>
      </c>
      <c r="D36" s="47" t="n"/>
      <c r="E36" s="38">
        <f>IF(OR(D36="",D36=0),"INACTIVE","ACTIVE")</f>
        <v/>
      </c>
      <c r="F36" s="48" t="inlineStr">
        <is>
          <t>NORMAL</t>
        </is>
      </c>
      <c r="G36" s="37" t="n"/>
      <c r="H36" s="37" t="n"/>
      <c r="I36" s="39">
        <f>IF(OR(E36="INACTIVE",H36=""),0,MAX(0,H36-G36))</f>
        <v/>
      </c>
      <c r="J36" s="37" t="n"/>
      <c r="K36" s="40">
        <f>IF(OR(E36="INACTIVE",H36=""),0,IF(AB36="DISABLED",0,IF(AB36="FLAT",AE36,IF(AB36="MANUAL",IF(J36="",0,J36*AC36),IF(AB36="STEP",IF(I36&lt;=AF36,I36*AG36,IF(I36&lt;=AH36,AF36*AG36+(I36-AF36)*AI36,AF36*AG36+(AH36-AF36)*AI36+(I36-AH36)*AK36)),MAX(I36*AC36,AD36))))))</f>
        <v/>
      </c>
      <c r="L36" s="40">
        <f>IF(OR(E36="INACTIVE",H36=""),0,IF(AL36="NONE",0,IF(AL36="FLAT",AM36,IF(AL36="PER_UNIT",I36*AN36,IF(AL36="MANUAL",IF(M36="",0,M36),0)))))</f>
        <v/>
      </c>
      <c r="M36" s="37" t="n"/>
      <c r="N36" s="48" t="inlineStr">
        <is>
          <t>NORMAL</t>
        </is>
      </c>
      <c r="O36" s="37" t="n"/>
      <c r="P36" s="37" t="n"/>
      <c r="Q36" s="39">
        <f>IF(OR(E36="INACTIVE",P36=""),0,MAX(0,P36-O36))</f>
        <v/>
      </c>
      <c r="R36" s="37" t="n"/>
      <c r="S36" s="40">
        <f>IF(OR(E36="INACTIVE",P36=""),0,IF(AO36="DISABLED",0,IF(AO36="FLAT",AR36,IF(AO36="MANUAL",IF(R36="",0,R36*AP36),IF(AO36="STEP",IF(Q36&lt;=AS36,Q36*AT36,IF(Q36&lt;=AU36,AS36*AT36+(Q36-AS36)*AV36,AS36*AT36+(AU36-AS36)*AV36+(Q36-AU36)*AX36)),MAX(Q36*AP36,AQ36))))))</f>
        <v/>
      </c>
      <c r="T36" s="40">
        <f>IF(OR(E36="INACTIVE",P36=""),0,IF(AY36="NONE",0,IF(AY36="FLAT",AZ36,IF(AY36="PER_UNIT",Q36*BA36,IF(AY36="MANUAL",IF(U36="",0,U36),0)))))</f>
        <v/>
      </c>
      <c r="U36" s="37" t="n"/>
      <c r="V36" s="37" t="n"/>
      <c r="W36" s="37" t="n"/>
      <c r="X36" s="40">
        <f>IF(E36="INACTIVE",0,D36+K36+L36+S36+T36+IF(V36="",0,V36)+IF(W36="",0,W36))</f>
        <v/>
      </c>
      <c r="Y36" s="37" t="n"/>
      <c r="Z36" s="39">
        <f>IF(E36="INACTIVE","_",IF(AND(G36&gt;0,H36&gt;0,H36&lt;G36),"[!]น้ำ reset ","")&amp;IF(AND(O36&gt;0,P36&gt;0,P36&lt;O36),"[!]ไฟ reset ","")&amp;IF(AND(F36="MANUAL",J36=""),"[X]units น้ำ ","")&amp;IF(AND(N36="MANUAL",R36=""),"[X]units ไฟ ","")&amp;IF(D36=0,"[!]ค่าเช่า=0",""))</f>
        <v/>
      </c>
      <c r="AA36" s="41">
        <f>IF(C36&lt;&gt;"",C36,CONFIG!$B$6)</f>
        <v/>
      </c>
      <c r="AB36" s="41">
        <f>IF(F36&lt;&gt;"",F36,IFERROR(VLOOKUP(AA36,RULES!$A:$C,3,0),CONFIG!$B$7))</f>
        <v/>
      </c>
      <c r="AC36" s="41">
        <f>IF(IFERROR(VLOOKUP(AA36,RULES!$A:$D,4,0),"")="",CONFIG!$B$10,VLOOKUP(AA36,RULES!$A:$D,4,0))</f>
        <v/>
      </c>
      <c r="AD36" s="41">
        <f>IF(IFERROR(VLOOKUP(AA36,RULES!$A:$E,5,0),"")="",CONFIG!$B$11,VLOOKUP(AA36,RULES!$A:$E,5,0))</f>
        <v/>
      </c>
      <c r="AE36" s="41">
        <f>IFERROR(VLOOKUP(AA36,RULES!$A:$F,6,0)*1,0)</f>
        <v/>
      </c>
      <c r="AF36" s="41">
        <f>IFERROR(VLOOKUP(AA36,RULES!$A:$G,7,0)*1,0)</f>
        <v/>
      </c>
      <c r="AG36" s="41">
        <f>IFERROR(VLOOKUP(AA36,RULES!$A:$H,8,0)*1,0)</f>
        <v/>
      </c>
      <c r="AH36" s="41">
        <f>IFERROR(VLOOKUP(AA36,RULES!$A:$I,9,0)*1,0)</f>
        <v/>
      </c>
      <c r="AI36" s="41">
        <f>IFERROR(VLOOKUP(AA36,RULES!$A:$J,10,0)*1,0)</f>
        <v/>
      </c>
      <c r="AJ36" s="41">
        <f>IFERROR(IF(VLOOKUP(AA36,RULES!$A:$K,11,0)="",999999,VLOOKUP(AA36,RULES!$A:$K,11,0)*1),999999)</f>
        <v/>
      </c>
      <c r="AK36" s="41">
        <f>IFERROR(VLOOKUP(AA36,RULES!$A:$L,12,0)*1,0)</f>
        <v/>
      </c>
      <c r="AL36" s="41">
        <f>IFERROR(VLOOKUP(AA36,RULES!$A:$M,13,0),"NONE")</f>
        <v/>
      </c>
      <c r="AM36" s="41">
        <f>IFERROR(VLOOKUP(AA36,RULES!$A:$N,14,0)*1,0)</f>
        <v/>
      </c>
      <c r="AN36" s="41">
        <f>IFERROR(VLOOKUP(AA36,RULES!$A:$O,15,0)*1,0)</f>
        <v/>
      </c>
      <c r="AO36" s="41">
        <f>IF(N36&lt;&gt;"",N36,IFERROR(VLOOKUP(AA36,RULES!$A:$P,16,0),CONFIG!$B$8))</f>
        <v/>
      </c>
      <c r="AP36" s="41">
        <f>IF(IFERROR(VLOOKUP(AA36,RULES!$A:$Q,17,0),"")="",CONFIG!$B$13,VLOOKUP(AA36,RULES!$A:$Q,17,0))</f>
        <v/>
      </c>
      <c r="AQ36" s="41">
        <f>IF(IFERROR(VLOOKUP(AA36,RULES!$A:$R,18,0),"")="",CONFIG!$B$14,VLOOKUP(AA36,RULES!$A:$R,18,0))</f>
        <v/>
      </c>
      <c r="AR36" s="41">
        <f>IFERROR(VLOOKUP(AA36,RULES!$A:$S,19,0)*1,0)</f>
        <v/>
      </c>
      <c r="AS36" s="41">
        <f>IFERROR(VLOOKUP(AA36,RULES!$A:$T,20,0)*1,0)</f>
        <v/>
      </c>
      <c r="AT36" s="41">
        <f>IFERROR(VLOOKUP(AA36,RULES!$A:$U,21,0)*1,0)</f>
        <v/>
      </c>
      <c r="AU36" s="41">
        <f>IFERROR(VLOOKUP(AA36,RULES!$A:$V,22,0)*1,0)</f>
        <v/>
      </c>
      <c r="AV36" s="41">
        <f>IFERROR(VLOOKUP(AA36,RULES!$A:$W,23,0)*1,0)</f>
        <v/>
      </c>
      <c r="AW36" s="41">
        <f>IFERROR(IF(VLOOKUP(AA36,RULES!$A:$X,24,0)="",999999,VLOOKUP(AA36,RULES!$A:$X,24,0)*1),999999)</f>
        <v/>
      </c>
      <c r="AX36" s="41">
        <f>IFERROR(VLOOKUP(AA36,RULES!$A:$Y,25,0)*1,0)</f>
        <v/>
      </c>
      <c r="AY36" s="41">
        <f>IFERROR(VLOOKUP(AA36,RULES!$A:$Z,26,0),"NONE")</f>
        <v/>
      </c>
      <c r="AZ36" s="41">
        <f>IFERROR(VLOOKUP(AA36,RULES!$A:$AA,27,0)*1,0)</f>
        <v/>
      </c>
      <c r="BA36" s="41">
        <f>IFERROR(VLOOKUP(AA36,RULES!$A:$AB,28,0)*1,0)</f>
        <v/>
      </c>
    </row>
    <row r="37" ht="17" customHeight="1">
      <c r="A37" s="36" t="n"/>
      <c r="B37" s="48" t="inlineStr">
        <is>
          <t>ACC004</t>
        </is>
      </c>
      <c r="C37" s="48" t="inlineStr">
        <is>
          <t>DEFAULT</t>
        </is>
      </c>
      <c r="D37" s="47" t="n"/>
      <c r="E37" s="36">
        <f>IF(OR(D37="",D37=0),"INACTIVE","ACTIVE")</f>
        <v/>
      </c>
      <c r="F37" s="48" t="inlineStr">
        <is>
          <t>NORMAL</t>
        </is>
      </c>
      <c r="G37" s="36" t="n"/>
      <c r="H37" s="36" t="n"/>
      <c r="I37" s="42">
        <f>IF(OR(E37="INACTIVE",H37=""),0,MAX(0,H37-G37))</f>
        <v/>
      </c>
      <c r="J37" s="36" t="n"/>
      <c r="K37" s="42">
        <f>IF(OR(E37="INACTIVE",H37=""),0,IF(AB37="DISABLED",0,IF(AB37="FLAT",AE37,IF(AB37="MANUAL",IF(J37="",0,J37*AC37),IF(AB37="STEP",IF(I37&lt;=AF37,I37*AG37,IF(I37&lt;=AH37,AF37*AG37+(I37-AF37)*AI37,AF37*AG37+(AH37-AF37)*AI37+(I37-AH37)*AK37)),MAX(I37*AC37,AD37))))))</f>
        <v/>
      </c>
      <c r="L37" s="42">
        <f>IF(OR(E37="INACTIVE",H37=""),0,IF(AL37="NONE",0,IF(AL37="FLAT",AM37,IF(AL37="PER_UNIT",I37*AN37,IF(AL37="MANUAL",IF(M37="",0,M37),0)))))</f>
        <v/>
      </c>
      <c r="M37" s="36" t="n"/>
      <c r="N37" s="48" t="inlineStr">
        <is>
          <t>NORMAL</t>
        </is>
      </c>
      <c r="O37" s="36" t="n"/>
      <c r="P37" s="36" t="n"/>
      <c r="Q37" s="42">
        <f>IF(OR(E37="INACTIVE",P37=""),0,MAX(0,P37-O37))</f>
        <v/>
      </c>
      <c r="R37" s="36" t="n"/>
      <c r="S37" s="42">
        <f>IF(OR(E37="INACTIVE",P37=""),0,IF(AO37="DISABLED",0,IF(AO37="FLAT",AR37,IF(AO37="MANUAL",IF(R37="",0,R37*AP37),IF(AO37="STEP",IF(Q37&lt;=AS37,Q37*AT37,IF(Q37&lt;=AU37,AS37*AT37+(Q37-AS37)*AV37,AS37*AT37+(AU37-AS37)*AV37+(Q37-AU37)*AX37)),MAX(Q37*AP37,AQ37))))))</f>
        <v/>
      </c>
      <c r="T37" s="42">
        <f>IF(OR(E37="INACTIVE",P37=""),0,IF(AY37="NONE",0,IF(AY37="FLAT",AZ37,IF(AY37="PER_UNIT",Q37*BA37,IF(AY37="MANUAL",IF(U37="",0,U37),0)))))</f>
        <v/>
      </c>
      <c r="U37" s="36" t="n"/>
      <c r="V37" s="36" t="n"/>
      <c r="W37" s="36" t="n"/>
      <c r="X37" s="42">
        <f>IF(E37="INACTIVE",0,D37+K37+L37+S37+T37+IF(V37="",0,V37)+IF(W37="",0,W37))</f>
        <v/>
      </c>
      <c r="Y37" s="36" t="n"/>
      <c r="Z37" s="42">
        <f>IF(E37="INACTIVE","_",IF(AND(G37&gt;0,H37&gt;0,H37&lt;G37),"[!]น้ำ reset ","")&amp;IF(AND(O37&gt;0,P37&gt;0,P37&lt;O37),"[!]ไฟ reset ","")&amp;IF(AND(F37="MANUAL",J37=""),"[X]units น้ำ ","")&amp;IF(AND(N37="MANUAL",R37=""),"[X]units ไฟ ","")&amp;IF(D37=0,"[!]ค่าเช่า=0",""))</f>
        <v/>
      </c>
      <c r="AA37" s="41">
        <f>IF(C37&lt;&gt;"",C37,CONFIG!$B$6)</f>
        <v/>
      </c>
      <c r="AB37" s="41">
        <f>IF(F37&lt;&gt;"",F37,IFERROR(VLOOKUP(AA37,RULES!$A:$C,3,0),CONFIG!$B$7))</f>
        <v/>
      </c>
      <c r="AC37" s="41">
        <f>IF(IFERROR(VLOOKUP(AA37,RULES!$A:$D,4,0),"")="",CONFIG!$B$10,VLOOKUP(AA37,RULES!$A:$D,4,0))</f>
        <v/>
      </c>
      <c r="AD37" s="41">
        <f>IF(IFERROR(VLOOKUP(AA37,RULES!$A:$E,5,0),"")="",CONFIG!$B$11,VLOOKUP(AA37,RULES!$A:$E,5,0))</f>
        <v/>
      </c>
      <c r="AE37" s="41">
        <f>IFERROR(VLOOKUP(AA37,RULES!$A:$F,6,0)*1,0)</f>
        <v/>
      </c>
      <c r="AF37" s="41">
        <f>IFERROR(VLOOKUP(AA37,RULES!$A:$G,7,0)*1,0)</f>
        <v/>
      </c>
      <c r="AG37" s="41">
        <f>IFERROR(VLOOKUP(AA37,RULES!$A:$H,8,0)*1,0)</f>
        <v/>
      </c>
      <c r="AH37" s="41">
        <f>IFERROR(VLOOKUP(AA37,RULES!$A:$I,9,0)*1,0)</f>
        <v/>
      </c>
      <c r="AI37" s="41">
        <f>IFERROR(VLOOKUP(AA37,RULES!$A:$J,10,0)*1,0)</f>
        <v/>
      </c>
      <c r="AJ37" s="41">
        <f>IFERROR(IF(VLOOKUP(AA37,RULES!$A:$K,11,0)="",999999,VLOOKUP(AA37,RULES!$A:$K,11,0)*1),999999)</f>
        <v/>
      </c>
      <c r="AK37" s="41">
        <f>IFERROR(VLOOKUP(AA37,RULES!$A:$L,12,0)*1,0)</f>
        <v/>
      </c>
      <c r="AL37" s="41">
        <f>IFERROR(VLOOKUP(AA37,RULES!$A:$M,13,0),"NONE")</f>
        <v/>
      </c>
      <c r="AM37" s="41">
        <f>IFERROR(VLOOKUP(AA37,RULES!$A:$N,14,0)*1,0)</f>
        <v/>
      </c>
      <c r="AN37" s="41">
        <f>IFERROR(VLOOKUP(AA37,RULES!$A:$O,15,0)*1,0)</f>
        <v/>
      </c>
      <c r="AO37" s="41">
        <f>IF(N37&lt;&gt;"",N37,IFERROR(VLOOKUP(AA37,RULES!$A:$P,16,0),CONFIG!$B$8))</f>
        <v/>
      </c>
      <c r="AP37" s="41">
        <f>IF(IFERROR(VLOOKUP(AA37,RULES!$A:$Q,17,0),"")="",CONFIG!$B$13,VLOOKUP(AA37,RULES!$A:$Q,17,0))</f>
        <v/>
      </c>
      <c r="AQ37" s="41">
        <f>IF(IFERROR(VLOOKUP(AA37,RULES!$A:$R,18,0),"")="",CONFIG!$B$14,VLOOKUP(AA37,RULES!$A:$R,18,0))</f>
        <v/>
      </c>
      <c r="AR37" s="41">
        <f>IFERROR(VLOOKUP(AA37,RULES!$A:$S,19,0)*1,0)</f>
        <v/>
      </c>
      <c r="AS37" s="41">
        <f>IFERROR(VLOOKUP(AA37,RULES!$A:$T,20,0)*1,0)</f>
        <v/>
      </c>
      <c r="AT37" s="41">
        <f>IFERROR(VLOOKUP(AA37,RULES!$A:$U,21,0)*1,0)</f>
        <v/>
      </c>
      <c r="AU37" s="41">
        <f>IFERROR(VLOOKUP(AA37,RULES!$A:$V,22,0)*1,0)</f>
        <v/>
      </c>
      <c r="AV37" s="41">
        <f>IFERROR(VLOOKUP(AA37,RULES!$A:$W,23,0)*1,0)</f>
        <v/>
      </c>
      <c r="AW37" s="41">
        <f>IFERROR(IF(VLOOKUP(AA37,RULES!$A:$X,24,0)="",999999,VLOOKUP(AA37,RULES!$A:$X,24,0)*1),999999)</f>
        <v/>
      </c>
      <c r="AX37" s="41">
        <f>IFERROR(VLOOKUP(AA37,RULES!$A:$Y,25,0)*1,0)</f>
        <v/>
      </c>
      <c r="AY37" s="41">
        <f>IFERROR(VLOOKUP(AA37,RULES!$A:$Z,26,0),"NONE")</f>
        <v/>
      </c>
      <c r="AZ37" s="41">
        <f>IFERROR(VLOOKUP(AA37,RULES!$A:$AA,27,0)*1,0)</f>
        <v/>
      </c>
      <c r="BA37" s="41">
        <f>IFERROR(VLOOKUP(AA37,RULES!$A:$AB,28,0)*1,0)</f>
        <v/>
      </c>
    </row>
    <row r="38" ht="17" customHeight="1">
      <c r="A38" s="36" t="n"/>
      <c r="B38" s="48" t="inlineStr">
        <is>
          <t>ACC004</t>
        </is>
      </c>
      <c r="C38" s="48" t="inlineStr">
        <is>
          <t>DEFAULT</t>
        </is>
      </c>
      <c r="D38" s="47" t="n"/>
      <c r="E38" s="36">
        <f>IF(OR(D38="",D38=0),"INACTIVE","ACTIVE")</f>
        <v/>
      </c>
      <c r="F38" s="48" t="inlineStr">
        <is>
          <t>NORMAL</t>
        </is>
      </c>
      <c r="G38" s="36" t="n"/>
      <c r="H38" s="36" t="n"/>
      <c r="I38" s="42">
        <f>IF(OR(E38="INACTIVE",H38=""),0,MAX(0,H38-G38))</f>
        <v/>
      </c>
      <c r="J38" s="36" t="n"/>
      <c r="K38" s="42">
        <f>IF(OR(E38="INACTIVE",H38=""),0,IF(AB38="DISABLED",0,IF(AB38="FLAT",AE38,IF(AB38="MANUAL",IF(J38="",0,J38*AC38),IF(AB38="STEP",IF(I38&lt;=AF38,I38*AG38,IF(I38&lt;=AH38,AF38*AG38+(I38-AF38)*AI38,AF38*AG38+(AH38-AF38)*AI38+(I38-AH38)*AK38)),MAX(I38*AC38,AD38))))))</f>
        <v/>
      </c>
      <c r="L38" s="42">
        <f>IF(OR(E38="INACTIVE",H38=""),0,IF(AL38="NONE",0,IF(AL38="FLAT",AM38,IF(AL38="PER_UNIT",I38*AN38,IF(AL38="MANUAL",IF(M38="",0,M38),0)))))</f>
        <v/>
      </c>
      <c r="M38" s="36" t="n"/>
      <c r="N38" s="48" t="inlineStr">
        <is>
          <t>NORMAL</t>
        </is>
      </c>
      <c r="O38" s="36" t="n"/>
      <c r="P38" s="36" t="n"/>
      <c r="Q38" s="42">
        <f>IF(OR(E38="INACTIVE",P38=""),0,MAX(0,P38-O38))</f>
        <v/>
      </c>
      <c r="R38" s="36" t="n"/>
      <c r="S38" s="42">
        <f>IF(OR(E38="INACTIVE",P38=""),0,IF(AO38="DISABLED",0,IF(AO38="FLAT",AR38,IF(AO38="MANUAL",IF(R38="",0,R38*AP38),IF(AO38="STEP",IF(Q38&lt;=AS38,Q38*AT38,IF(Q38&lt;=AU38,AS38*AT38+(Q38-AS38)*AV38,AS38*AT38+(AU38-AS38)*AV38+(Q38-AU38)*AX38)),MAX(Q38*AP38,AQ38))))))</f>
        <v/>
      </c>
      <c r="T38" s="42">
        <f>IF(OR(E38="INACTIVE",P38=""),0,IF(AY38="NONE",0,IF(AY38="FLAT",AZ38,IF(AY38="PER_UNIT",Q38*BA38,IF(AY38="MANUAL",IF(U38="",0,U38),0)))))</f>
        <v/>
      </c>
      <c r="U38" s="36" t="n"/>
      <c r="V38" s="36" t="n"/>
      <c r="W38" s="36" t="n"/>
      <c r="X38" s="42">
        <f>IF(E38="INACTIVE",0,D38+K38+L38+S38+T38+IF(V38="",0,V38)+IF(W38="",0,W38))</f>
        <v/>
      </c>
      <c r="Y38" s="36" t="n"/>
      <c r="Z38" s="42">
        <f>IF(E38="INACTIVE","_",IF(AND(G38&gt;0,H38&gt;0,H38&lt;G38),"[!]น้ำ reset ","")&amp;IF(AND(O38&gt;0,P38&gt;0,P38&lt;O38),"[!]ไฟ reset ","")&amp;IF(AND(F38="MANUAL",J38=""),"[X]units น้ำ ","")&amp;IF(AND(N38="MANUAL",R38=""),"[X]units ไฟ ","")&amp;IF(D38=0,"[!]ค่าเช่า=0",""))</f>
        <v/>
      </c>
      <c r="AA38" s="41">
        <f>IF(C38&lt;&gt;"",C38,CONFIG!$B$6)</f>
        <v/>
      </c>
      <c r="AB38" s="41">
        <f>IF(F38&lt;&gt;"",F38,IFERROR(VLOOKUP(AA38,RULES!$A:$C,3,0),CONFIG!$B$7))</f>
        <v/>
      </c>
      <c r="AC38" s="41">
        <f>IF(IFERROR(VLOOKUP(AA38,RULES!$A:$D,4,0),"")="",CONFIG!$B$10,VLOOKUP(AA38,RULES!$A:$D,4,0))</f>
        <v/>
      </c>
      <c r="AD38" s="41">
        <f>IF(IFERROR(VLOOKUP(AA38,RULES!$A:$E,5,0),"")="",CONFIG!$B$11,VLOOKUP(AA38,RULES!$A:$E,5,0))</f>
        <v/>
      </c>
      <c r="AE38" s="41">
        <f>IFERROR(VLOOKUP(AA38,RULES!$A:$F,6,0)*1,0)</f>
        <v/>
      </c>
      <c r="AF38" s="41">
        <f>IFERROR(VLOOKUP(AA38,RULES!$A:$G,7,0)*1,0)</f>
        <v/>
      </c>
      <c r="AG38" s="41">
        <f>IFERROR(VLOOKUP(AA38,RULES!$A:$H,8,0)*1,0)</f>
        <v/>
      </c>
      <c r="AH38" s="41">
        <f>IFERROR(VLOOKUP(AA38,RULES!$A:$I,9,0)*1,0)</f>
        <v/>
      </c>
      <c r="AI38" s="41">
        <f>IFERROR(VLOOKUP(AA38,RULES!$A:$J,10,0)*1,0)</f>
        <v/>
      </c>
      <c r="AJ38" s="41">
        <f>IFERROR(IF(VLOOKUP(AA38,RULES!$A:$K,11,0)="",999999,VLOOKUP(AA38,RULES!$A:$K,11,0)*1),999999)</f>
        <v/>
      </c>
      <c r="AK38" s="41">
        <f>IFERROR(VLOOKUP(AA38,RULES!$A:$L,12,0)*1,0)</f>
        <v/>
      </c>
      <c r="AL38" s="41">
        <f>IFERROR(VLOOKUP(AA38,RULES!$A:$M,13,0),"NONE")</f>
        <v/>
      </c>
      <c r="AM38" s="41">
        <f>IFERROR(VLOOKUP(AA38,RULES!$A:$N,14,0)*1,0)</f>
        <v/>
      </c>
      <c r="AN38" s="41">
        <f>IFERROR(VLOOKUP(AA38,RULES!$A:$O,15,0)*1,0)</f>
        <v/>
      </c>
      <c r="AO38" s="41">
        <f>IF(N38&lt;&gt;"",N38,IFERROR(VLOOKUP(AA38,RULES!$A:$P,16,0),CONFIG!$B$8))</f>
        <v/>
      </c>
      <c r="AP38" s="41">
        <f>IF(IFERROR(VLOOKUP(AA38,RULES!$A:$Q,17,0),"")="",CONFIG!$B$13,VLOOKUP(AA38,RULES!$A:$Q,17,0))</f>
        <v/>
      </c>
      <c r="AQ38" s="41">
        <f>IF(IFERROR(VLOOKUP(AA38,RULES!$A:$R,18,0),"")="",CONFIG!$B$14,VLOOKUP(AA38,RULES!$A:$R,18,0))</f>
        <v/>
      </c>
      <c r="AR38" s="41">
        <f>IFERROR(VLOOKUP(AA38,RULES!$A:$S,19,0)*1,0)</f>
        <v/>
      </c>
      <c r="AS38" s="41">
        <f>IFERROR(VLOOKUP(AA38,RULES!$A:$T,20,0)*1,0)</f>
        <v/>
      </c>
      <c r="AT38" s="41">
        <f>IFERROR(VLOOKUP(AA38,RULES!$A:$U,21,0)*1,0)</f>
        <v/>
      </c>
      <c r="AU38" s="41">
        <f>IFERROR(VLOOKUP(AA38,RULES!$A:$V,22,0)*1,0)</f>
        <v/>
      </c>
      <c r="AV38" s="41">
        <f>IFERROR(VLOOKUP(AA38,RULES!$A:$W,23,0)*1,0)</f>
        <v/>
      </c>
      <c r="AW38" s="41">
        <f>IFERROR(IF(VLOOKUP(AA38,RULES!$A:$X,24,0)="",999999,VLOOKUP(AA38,RULES!$A:$X,24,0)*1),999999)</f>
        <v/>
      </c>
      <c r="AX38" s="41">
        <f>IFERROR(VLOOKUP(AA38,RULES!$A:$Y,25,0)*1,0)</f>
        <v/>
      </c>
      <c r="AY38" s="41">
        <f>IFERROR(VLOOKUP(AA38,RULES!$A:$Z,26,0),"NONE")</f>
        <v/>
      </c>
      <c r="AZ38" s="41">
        <f>IFERROR(VLOOKUP(AA38,RULES!$A:$AA,27,0)*1,0)</f>
        <v/>
      </c>
      <c r="BA38" s="41">
        <f>IFERROR(VLOOKUP(AA38,RULES!$A:$AB,28,0)*1,0)</f>
        <v/>
      </c>
    </row>
    <row r="39" ht="17" customHeight="1">
      <c r="A39" s="36" t="n"/>
      <c r="B39" s="48" t="inlineStr">
        <is>
          <t>ACC004</t>
        </is>
      </c>
      <c r="C39" s="48" t="inlineStr">
        <is>
          <t>DEFAULT</t>
        </is>
      </c>
      <c r="D39" s="47" t="n"/>
      <c r="E39" s="36">
        <f>IF(OR(D39="",D39=0),"INACTIVE","ACTIVE")</f>
        <v/>
      </c>
      <c r="F39" s="48" t="inlineStr">
        <is>
          <t>NORMAL</t>
        </is>
      </c>
      <c r="G39" s="36" t="n"/>
      <c r="H39" s="36" t="n"/>
      <c r="I39" s="42">
        <f>IF(OR(E39="INACTIVE",H39=""),0,MAX(0,H39-G39))</f>
        <v/>
      </c>
      <c r="J39" s="36" t="n"/>
      <c r="K39" s="42">
        <f>IF(OR(E39="INACTIVE",H39=""),0,IF(AB39="DISABLED",0,IF(AB39="FLAT",AE39,IF(AB39="MANUAL",IF(J39="",0,J39*AC39),IF(AB39="STEP",IF(I39&lt;=AF39,I39*AG39,IF(I39&lt;=AH39,AF39*AG39+(I39-AF39)*AI39,AF39*AG39+(AH39-AF39)*AI39+(I39-AH39)*AK39)),MAX(I39*AC39,AD39))))))</f>
        <v/>
      </c>
      <c r="L39" s="42">
        <f>IF(OR(E39="INACTIVE",H39=""),0,IF(AL39="NONE",0,IF(AL39="FLAT",AM39,IF(AL39="PER_UNIT",I39*AN39,IF(AL39="MANUAL",IF(M39="",0,M39),0)))))</f>
        <v/>
      </c>
      <c r="M39" s="36" t="n"/>
      <c r="N39" s="48" t="inlineStr">
        <is>
          <t>NORMAL</t>
        </is>
      </c>
      <c r="O39" s="36" t="n"/>
      <c r="P39" s="36" t="n"/>
      <c r="Q39" s="42">
        <f>IF(OR(E39="INACTIVE",P39=""),0,MAX(0,P39-O39))</f>
        <v/>
      </c>
      <c r="R39" s="36" t="n"/>
      <c r="S39" s="42">
        <f>IF(OR(E39="INACTIVE",P39=""),0,IF(AO39="DISABLED",0,IF(AO39="FLAT",AR39,IF(AO39="MANUAL",IF(R39="",0,R39*AP39),IF(AO39="STEP",IF(Q39&lt;=AS39,Q39*AT39,IF(Q39&lt;=AU39,AS39*AT39+(Q39-AS39)*AV39,AS39*AT39+(AU39-AS39)*AV39+(Q39-AU39)*AX39)),MAX(Q39*AP39,AQ39))))))</f>
        <v/>
      </c>
      <c r="T39" s="42">
        <f>IF(OR(E39="INACTIVE",P39=""),0,IF(AY39="NONE",0,IF(AY39="FLAT",AZ39,IF(AY39="PER_UNIT",Q39*BA39,IF(AY39="MANUAL",IF(U39="",0,U39),0)))))</f>
        <v/>
      </c>
      <c r="U39" s="36" t="n"/>
      <c r="V39" s="36" t="n"/>
      <c r="W39" s="36" t="n"/>
      <c r="X39" s="42">
        <f>IF(E39="INACTIVE",0,D39+K39+L39+S39+T39+IF(V39="",0,V39)+IF(W39="",0,W39))</f>
        <v/>
      </c>
      <c r="Y39" s="36" t="n"/>
      <c r="Z39" s="42">
        <f>IF(E39="INACTIVE","_",IF(AND(G39&gt;0,H39&gt;0,H39&lt;G39),"[!]น้ำ reset ","")&amp;IF(AND(O39&gt;0,P39&gt;0,P39&lt;O39),"[!]ไฟ reset ","")&amp;IF(AND(F39="MANUAL",J39=""),"[X]units น้ำ ","")&amp;IF(AND(N39="MANUAL",R39=""),"[X]units ไฟ ","")&amp;IF(D39=0,"[!]ค่าเช่า=0",""))</f>
        <v/>
      </c>
      <c r="AA39" s="41">
        <f>IF(C39&lt;&gt;"",C39,CONFIG!$B$6)</f>
        <v/>
      </c>
      <c r="AB39" s="41">
        <f>IF(F39&lt;&gt;"",F39,IFERROR(VLOOKUP(AA39,RULES!$A:$C,3,0),CONFIG!$B$7))</f>
        <v/>
      </c>
      <c r="AC39" s="41">
        <f>IF(IFERROR(VLOOKUP(AA39,RULES!$A:$D,4,0),"")="",CONFIG!$B$10,VLOOKUP(AA39,RULES!$A:$D,4,0))</f>
        <v/>
      </c>
      <c r="AD39" s="41">
        <f>IF(IFERROR(VLOOKUP(AA39,RULES!$A:$E,5,0),"")="",CONFIG!$B$11,VLOOKUP(AA39,RULES!$A:$E,5,0))</f>
        <v/>
      </c>
      <c r="AE39" s="41">
        <f>IFERROR(VLOOKUP(AA39,RULES!$A:$F,6,0)*1,0)</f>
        <v/>
      </c>
      <c r="AF39" s="41">
        <f>IFERROR(VLOOKUP(AA39,RULES!$A:$G,7,0)*1,0)</f>
        <v/>
      </c>
      <c r="AG39" s="41">
        <f>IFERROR(VLOOKUP(AA39,RULES!$A:$H,8,0)*1,0)</f>
        <v/>
      </c>
      <c r="AH39" s="41">
        <f>IFERROR(VLOOKUP(AA39,RULES!$A:$I,9,0)*1,0)</f>
        <v/>
      </c>
      <c r="AI39" s="41">
        <f>IFERROR(VLOOKUP(AA39,RULES!$A:$J,10,0)*1,0)</f>
        <v/>
      </c>
      <c r="AJ39" s="41">
        <f>IFERROR(IF(VLOOKUP(AA39,RULES!$A:$K,11,0)="",999999,VLOOKUP(AA39,RULES!$A:$K,11,0)*1),999999)</f>
        <v/>
      </c>
      <c r="AK39" s="41">
        <f>IFERROR(VLOOKUP(AA39,RULES!$A:$L,12,0)*1,0)</f>
        <v/>
      </c>
      <c r="AL39" s="41">
        <f>IFERROR(VLOOKUP(AA39,RULES!$A:$M,13,0),"NONE")</f>
        <v/>
      </c>
      <c r="AM39" s="41">
        <f>IFERROR(VLOOKUP(AA39,RULES!$A:$N,14,0)*1,0)</f>
        <v/>
      </c>
      <c r="AN39" s="41">
        <f>IFERROR(VLOOKUP(AA39,RULES!$A:$O,15,0)*1,0)</f>
        <v/>
      </c>
      <c r="AO39" s="41">
        <f>IF(N39&lt;&gt;"",N39,IFERROR(VLOOKUP(AA39,RULES!$A:$P,16,0),CONFIG!$B$8))</f>
        <v/>
      </c>
      <c r="AP39" s="41">
        <f>IF(IFERROR(VLOOKUP(AA39,RULES!$A:$Q,17,0),"")="",CONFIG!$B$13,VLOOKUP(AA39,RULES!$A:$Q,17,0))</f>
        <v/>
      </c>
      <c r="AQ39" s="41">
        <f>IF(IFERROR(VLOOKUP(AA39,RULES!$A:$R,18,0),"")="",CONFIG!$B$14,VLOOKUP(AA39,RULES!$A:$R,18,0))</f>
        <v/>
      </c>
      <c r="AR39" s="41">
        <f>IFERROR(VLOOKUP(AA39,RULES!$A:$S,19,0)*1,0)</f>
        <v/>
      </c>
      <c r="AS39" s="41">
        <f>IFERROR(VLOOKUP(AA39,RULES!$A:$T,20,0)*1,0)</f>
        <v/>
      </c>
      <c r="AT39" s="41">
        <f>IFERROR(VLOOKUP(AA39,RULES!$A:$U,21,0)*1,0)</f>
        <v/>
      </c>
      <c r="AU39" s="41">
        <f>IFERROR(VLOOKUP(AA39,RULES!$A:$V,22,0)*1,0)</f>
        <v/>
      </c>
      <c r="AV39" s="41">
        <f>IFERROR(VLOOKUP(AA39,RULES!$A:$W,23,0)*1,0)</f>
        <v/>
      </c>
      <c r="AW39" s="41">
        <f>IFERROR(IF(VLOOKUP(AA39,RULES!$A:$X,24,0)="",999999,VLOOKUP(AA39,RULES!$A:$X,24,0)*1),999999)</f>
        <v/>
      </c>
      <c r="AX39" s="41">
        <f>IFERROR(VLOOKUP(AA39,RULES!$A:$Y,25,0)*1,0)</f>
        <v/>
      </c>
      <c r="AY39" s="41">
        <f>IFERROR(VLOOKUP(AA39,RULES!$A:$Z,26,0),"NONE")</f>
        <v/>
      </c>
      <c r="AZ39" s="41">
        <f>IFERROR(VLOOKUP(AA39,RULES!$A:$AA,27,0)*1,0)</f>
        <v/>
      </c>
      <c r="BA39" s="41">
        <f>IFERROR(VLOOKUP(AA39,RULES!$A:$AB,28,0)*1,0)</f>
        <v/>
      </c>
    </row>
    <row r="40" ht="17" customHeight="1">
      <c r="A40" s="36" t="n"/>
      <c r="B40" s="48" t="inlineStr">
        <is>
          <t>ACC004</t>
        </is>
      </c>
      <c r="C40" s="48" t="inlineStr">
        <is>
          <t>DEFAULT</t>
        </is>
      </c>
      <c r="D40" s="47" t="n"/>
      <c r="E40" s="36">
        <f>IF(OR(D40="",D40=0),"INACTIVE","ACTIVE")</f>
        <v/>
      </c>
      <c r="F40" s="48" t="inlineStr">
        <is>
          <t>NORMAL</t>
        </is>
      </c>
      <c r="G40" s="36" t="n"/>
      <c r="H40" s="36" t="n"/>
      <c r="I40" s="42">
        <f>IF(OR(E40="INACTIVE",H40=""),0,MAX(0,H40-G40))</f>
        <v/>
      </c>
      <c r="J40" s="36" t="n"/>
      <c r="K40" s="42">
        <f>IF(OR(E40="INACTIVE",H40=""),0,IF(AB40="DISABLED",0,IF(AB40="FLAT",AE40,IF(AB40="MANUAL",IF(J40="",0,J40*AC40),IF(AB40="STEP",IF(I40&lt;=AF40,I40*AG40,IF(I40&lt;=AH40,AF40*AG40+(I40-AF40)*AI40,AF40*AG40+(AH40-AF40)*AI40+(I40-AH40)*AK40)),MAX(I40*AC40,AD40))))))</f>
        <v/>
      </c>
      <c r="L40" s="42">
        <f>IF(OR(E40="INACTIVE",H40=""),0,IF(AL40="NONE",0,IF(AL40="FLAT",AM40,IF(AL40="PER_UNIT",I40*AN40,IF(AL40="MANUAL",IF(M40="",0,M40),0)))))</f>
        <v/>
      </c>
      <c r="M40" s="36" t="n"/>
      <c r="N40" s="48" t="inlineStr">
        <is>
          <t>NORMAL</t>
        </is>
      </c>
      <c r="O40" s="36" t="n"/>
      <c r="P40" s="36" t="n"/>
      <c r="Q40" s="42">
        <f>IF(OR(E40="INACTIVE",P40=""),0,MAX(0,P40-O40))</f>
        <v/>
      </c>
      <c r="R40" s="36" t="n"/>
      <c r="S40" s="42">
        <f>IF(OR(E40="INACTIVE",P40=""),0,IF(AO40="DISABLED",0,IF(AO40="FLAT",AR40,IF(AO40="MANUAL",IF(R40="",0,R40*AP40),IF(AO40="STEP",IF(Q40&lt;=AS40,Q40*AT40,IF(Q40&lt;=AU40,AS40*AT40+(Q40-AS40)*AV40,AS40*AT40+(AU40-AS40)*AV40+(Q40-AU40)*AX40)),MAX(Q40*AP40,AQ40))))))</f>
        <v/>
      </c>
      <c r="T40" s="42">
        <f>IF(OR(E40="INACTIVE",P40=""),0,IF(AY40="NONE",0,IF(AY40="FLAT",AZ40,IF(AY40="PER_UNIT",Q40*BA40,IF(AY40="MANUAL",IF(U40="",0,U40),0)))))</f>
        <v/>
      </c>
      <c r="U40" s="36" t="n"/>
      <c r="V40" s="36" t="n"/>
      <c r="W40" s="36" t="n"/>
      <c r="X40" s="42">
        <f>IF(E40="INACTIVE",0,D40+K40+L40+S40+T40+IF(V40="",0,V40)+IF(W40="",0,W40))</f>
        <v/>
      </c>
      <c r="Y40" s="36" t="n"/>
      <c r="Z40" s="42">
        <f>IF(E40="INACTIVE","_",IF(AND(G40&gt;0,H40&gt;0,H40&lt;G40),"[!]น้ำ reset ","")&amp;IF(AND(O40&gt;0,P40&gt;0,P40&lt;O40),"[!]ไฟ reset ","")&amp;IF(AND(F40="MANUAL",J40=""),"[X]units น้ำ ","")&amp;IF(AND(N40="MANUAL",R40=""),"[X]units ไฟ ","")&amp;IF(D40=0,"[!]ค่าเช่า=0",""))</f>
        <v/>
      </c>
      <c r="AA40" s="41">
        <f>IF(C40&lt;&gt;"",C40,CONFIG!$B$6)</f>
        <v/>
      </c>
      <c r="AB40" s="41">
        <f>IF(F40&lt;&gt;"",F40,IFERROR(VLOOKUP(AA40,RULES!$A:$C,3,0),CONFIG!$B$7))</f>
        <v/>
      </c>
      <c r="AC40" s="41">
        <f>IF(IFERROR(VLOOKUP(AA40,RULES!$A:$D,4,0),"")="",CONFIG!$B$10,VLOOKUP(AA40,RULES!$A:$D,4,0))</f>
        <v/>
      </c>
      <c r="AD40" s="41">
        <f>IF(IFERROR(VLOOKUP(AA40,RULES!$A:$E,5,0),"")="",CONFIG!$B$11,VLOOKUP(AA40,RULES!$A:$E,5,0))</f>
        <v/>
      </c>
      <c r="AE40" s="41">
        <f>IFERROR(VLOOKUP(AA40,RULES!$A:$F,6,0)*1,0)</f>
        <v/>
      </c>
      <c r="AF40" s="41">
        <f>IFERROR(VLOOKUP(AA40,RULES!$A:$G,7,0)*1,0)</f>
        <v/>
      </c>
      <c r="AG40" s="41">
        <f>IFERROR(VLOOKUP(AA40,RULES!$A:$H,8,0)*1,0)</f>
        <v/>
      </c>
      <c r="AH40" s="41">
        <f>IFERROR(VLOOKUP(AA40,RULES!$A:$I,9,0)*1,0)</f>
        <v/>
      </c>
      <c r="AI40" s="41">
        <f>IFERROR(VLOOKUP(AA40,RULES!$A:$J,10,0)*1,0)</f>
        <v/>
      </c>
      <c r="AJ40" s="41">
        <f>IFERROR(IF(VLOOKUP(AA40,RULES!$A:$K,11,0)="",999999,VLOOKUP(AA40,RULES!$A:$K,11,0)*1),999999)</f>
        <v/>
      </c>
      <c r="AK40" s="41">
        <f>IFERROR(VLOOKUP(AA40,RULES!$A:$L,12,0)*1,0)</f>
        <v/>
      </c>
      <c r="AL40" s="41">
        <f>IFERROR(VLOOKUP(AA40,RULES!$A:$M,13,0),"NONE")</f>
        <v/>
      </c>
      <c r="AM40" s="41">
        <f>IFERROR(VLOOKUP(AA40,RULES!$A:$N,14,0)*1,0)</f>
        <v/>
      </c>
      <c r="AN40" s="41">
        <f>IFERROR(VLOOKUP(AA40,RULES!$A:$O,15,0)*1,0)</f>
        <v/>
      </c>
      <c r="AO40" s="41">
        <f>IF(N40&lt;&gt;"",N40,IFERROR(VLOOKUP(AA40,RULES!$A:$P,16,0),CONFIG!$B$8))</f>
        <v/>
      </c>
      <c r="AP40" s="41">
        <f>IF(IFERROR(VLOOKUP(AA40,RULES!$A:$Q,17,0),"")="",CONFIG!$B$13,VLOOKUP(AA40,RULES!$A:$Q,17,0))</f>
        <v/>
      </c>
      <c r="AQ40" s="41">
        <f>IF(IFERROR(VLOOKUP(AA40,RULES!$A:$R,18,0),"")="",CONFIG!$B$14,VLOOKUP(AA40,RULES!$A:$R,18,0))</f>
        <v/>
      </c>
      <c r="AR40" s="41">
        <f>IFERROR(VLOOKUP(AA40,RULES!$A:$S,19,0)*1,0)</f>
        <v/>
      </c>
      <c r="AS40" s="41">
        <f>IFERROR(VLOOKUP(AA40,RULES!$A:$T,20,0)*1,0)</f>
        <v/>
      </c>
      <c r="AT40" s="41">
        <f>IFERROR(VLOOKUP(AA40,RULES!$A:$U,21,0)*1,0)</f>
        <v/>
      </c>
      <c r="AU40" s="41">
        <f>IFERROR(VLOOKUP(AA40,RULES!$A:$V,22,0)*1,0)</f>
        <v/>
      </c>
      <c r="AV40" s="41">
        <f>IFERROR(VLOOKUP(AA40,RULES!$A:$W,23,0)*1,0)</f>
        <v/>
      </c>
      <c r="AW40" s="41">
        <f>IFERROR(IF(VLOOKUP(AA40,RULES!$A:$X,24,0)="",999999,VLOOKUP(AA40,RULES!$A:$X,24,0)*1),999999)</f>
        <v/>
      </c>
      <c r="AX40" s="41">
        <f>IFERROR(VLOOKUP(AA40,RULES!$A:$Y,25,0)*1,0)</f>
        <v/>
      </c>
      <c r="AY40" s="41">
        <f>IFERROR(VLOOKUP(AA40,RULES!$A:$Z,26,0),"NONE")</f>
        <v/>
      </c>
      <c r="AZ40" s="41">
        <f>IFERROR(VLOOKUP(AA40,RULES!$A:$AA,27,0)*1,0)</f>
        <v/>
      </c>
      <c r="BA40" s="41">
        <f>IFERROR(VLOOKUP(AA40,RULES!$A:$AB,28,0)*1,0)</f>
        <v/>
      </c>
    </row>
    <row r="41" ht="17" customHeight="1">
      <c r="A41" s="36" t="n"/>
      <c r="B41" s="48" t="inlineStr">
        <is>
          <t>ACC004</t>
        </is>
      </c>
      <c r="C41" s="48" t="inlineStr">
        <is>
          <t>DEFAULT</t>
        </is>
      </c>
      <c r="D41" s="47" t="n"/>
      <c r="E41" s="36">
        <f>IF(OR(D41="",D41=0),"INACTIVE","ACTIVE")</f>
        <v/>
      </c>
      <c r="F41" s="48" t="inlineStr">
        <is>
          <t>NORMAL</t>
        </is>
      </c>
      <c r="G41" s="36" t="n"/>
      <c r="H41" s="36" t="n"/>
      <c r="I41" s="42">
        <f>IF(OR(E41="INACTIVE",H41=""),0,MAX(0,H41-G41))</f>
        <v/>
      </c>
      <c r="J41" s="36" t="n"/>
      <c r="K41" s="42">
        <f>IF(OR(E41="INACTIVE",H41=""),0,IF(AB41="DISABLED",0,IF(AB41="FLAT",AE41,IF(AB41="MANUAL",IF(J41="",0,J41*AC41),IF(AB41="STEP",IF(I41&lt;=AF41,I41*AG41,IF(I41&lt;=AH41,AF41*AG41+(I41-AF41)*AI41,AF41*AG41+(AH41-AF41)*AI41+(I41-AH41)*AK41)),MAX(I41*AC41,AD41))))))</f>
        <v/>
      </c>
      <c r="L41" s="42">
        <f>IF(OR(E41="INACTIVE",H41=""),0,IF(AL41="NONE",0,IF(AL41="FLAT",AM41,IF(AL41="PER_UNIT",I41*AN41,IF(AL41="MANUAL",IF(M41="",0,M41),0)))))</f>
        <v/>
      </c>
      <c r="M41" s="36" t="n"/>
      <c r="N41" s="48" t="inlineStr">
        <is>
          <t>NORMAL</t>
        </is>
      </c>
      <c r="O41" s="36" t="n"/>
      <c r="P41" s="36" t="n"/>
      <c r="Q41" s="42">
        <f>IF(OR(E41="INACTIVE",P41=""),0,MAX(0,P41-O41))</f>
        <v/>
      </c>
      <c r="R41" s="36" t="n"/>
      <c r="S41" s="42">
        <f>IF(OR(E41="INACTIVE",P41=""),0,IF(AO41="DISABLED",0,IF(AO41="FLAT",AR41,IF(AO41="MANUAL",IF(R41="",0,R41*AP41),IF(AO41="STEP",IF(Q41&lt;=AS41,Q41*AT41,IF(Q41&lt;=AU41,AS41*AT41+(Q41-AS41)*AV41,AS41*AT41+(AU41-AS41)*AV41+(Q41-AU41)*AX41)),MAX(Q41*AP41,AQ41))))))</f>
        <v/>
      </c>
      <c r="T41" s="42">
        <f>IF(OR(E41="INACTIVE",P41=""),0,IF(AY41="NONE",0,IF(AY41="FLAT",AZ41,IF(AY41="PER_UNIT",Q41*BA41,IF(AY41="MANUAL",IF(U41="",0,U41),0)))))</f>
        <v/>
      </c>
      <c r="U41" s="36" t="n"/>
      <c r="V41" s="36" t="n"/>
      <c r="W41" s="36" t="n"/>
      <c r="X41" s="42">
        <f>IF(E41="INACTIVE",0,D41+K41+L41+S41+T41+IF(V41="",0,V41)+IF(W41="",0,W41))</f>
        <v/>
      </c>
      <c r="Y41" s="36" t="n"/>
      <c r="Z41" s="42">
        <f>IF(E41="INACTIVE","_",IF(AND(G41&gt;0,H41&gt;0,H41&lt;G41),"[!]น้ำ reset ","")&amp;IF(AND(O41&gt;0,P41&gt;0,P41&lt;O41),"[!]ไฟ reset ","")&amp;IF(AND(F41="MANUAL",J41=""),"[X]units น้ำ ","")&amp;IF(AND(N41="MANUAL",R41=""),"[X]units ไฟ ","")&amp;IF(D41=0,"[!]ค่าเช่า=0",""))</f>
        <v/>
      </c>
      <c r="AA41" s="41">
        <f>IF(C41&lt;&gt;"",C41,CONFIG!$B$6)</f>
        <v/>
      </c>
      <c r="AB41" s="41">
        <f>IF(F41&lt;&gt;"",F41,IFERROR(VLOOKUP(AA41,RULES!$A:$C,3,0),CONFIG!$B$7))</f>
        <v/>
      </c>
      <c r="AC41" s="41">
        <f>IF(IFERROR(VLOOKUP(AA41,RULES!$A:$D,4,0),"")="",CONFIG!$B$10,VLOOKUP(AA41,RULES!$A:$D,4,0))</f>
        <v/>
      </c>
      <c r="AD41" s="41">
        <f>IF(IFERROR(VLOOKUP(AA41,RULES!$A:$E,5,0),"")="",CONFIG!$B$11,VLOOKUP(AA41,RULES!$A:$E,5,0))</f>
        <v/>
      </c>
      <c r="AE41" s="41">
        <f>IFERROR(VLOOKUP(AA41,RULES!$A:$F,6,0)*1,0)</f>
        <v/>
      </c>
      <c r="AF41" s="41">
        <f>IFERROR(VLOOKUP(AA41,RULES!$A:$G,7,0)*1,0)</f>
        <v/>
      </c>
      <c r="AG41" s="41">
        <f>IFERROR(VLOOKUP(AA41,RULES!$A:$H,8,0)*1,0)</f>
        <v/>
      </c>
      <c r="AH41" s="41">
        <f>IFERROR(VLOOKUP(AA41,RULES!$A:$I,9,0)*1,0)</f>
        <v/>
      </c>
      <c r="AI41" s="41">
        <f>IFERROR(VLOOKUP(AA41,RULES!$A:$J,10,0)*1,0)</f>
        <v/>
      </c>
      <c r="AJ41" s="41">
        <f>IFERROR(IF(VLOOKUP(AA41,RULES!$A:$K,11,0)="",999999,VLOOKUP(AA41,RULES!$A:$K,11,0)*1),999999)</f>
        <v/>
      </c>
      <c r="AK41" s="41">
        <f>IFERROR(VLOOKUP(AA41,RULES!$A:$L,12,0)*1,0)</f>
        <v/>
      </c>
      <c r="AL41" s="41">
        <f>IFERROR(VLOOKUP(AA41,RULES!$A:$M,13,0),"NONE")</f>
        <v/>
      </c>
      <c r="AM41" s="41">
        <f>IFERROR(VLOOKUP(AA41,RULES!$A:$N,14,0)*1,0)</f>
        <v/>
      </c>
      <c r="AN41" s="41">
        <f>IFERROR(VLOOKUP(AA41,RULES!$A:$O,15,0)*1,0)</f>
        <v/>
      </c>
      <c r="AO41" s="41">
        <f>IF(N41&lt;&gt;"",N41,IFERROR(VLOOKUP(AA41,RULES!$A:$P,16,0),CONFIG!$B$8))</f>
        <v/>
      </c>
      <c r="AP41" s="41">
        <f>IF(IFERROR(VLOOKUP(AA41,RULES!$A:$Q,17,0),"")="",CONFIG!$B$13,VLOOKUP(AA41,RULES!$A:$Q,17,0))</f>
        <v/>
      </c>
      <c r="AQ41" s="41">
        <f>IF(IFERROR(VLOOKUP(AA41,RULES!$A:$R,18,0),"")="",CONFIG!$B$14,VLOOKUP(AA41,RULES!$A:$R,18,0))</f>
        <v/>
      </c>
      <c r="AR41" s="41">
        <f>IFERROR(VLOOKUP(AA41,RULES!$A:$S,19,0)*1,0)</f>
        <v/>
      </c>
      <c r="AS41" s="41">
        <f>IFERROR(VLOOKUP(AA41,RULES!$A:$T,20,0)*1,0)</f>
        <v/>
      </c>
      <c r="AT41" s="41">
        <f>IFERROR(VLOOKUP(AA41,RULES!$A:$U,21,0)*1,0)</f>
        <v/>
      </c>
      <c r="AU41" s="41">
        <f>IFERROR(VLOOKUP(AA41,RULES!$A:$V,22,0)*1,0)</f>
        <v/>
      </c>
      <c r="AV41" s="41">
        <f>IFERROR(VLOOKUP(AA41,RULES!$A:$W,23,0)*1,0)</f>
        <v/>
      </c>
      <c r="AW41" s="41">
        <f>IFERROR(IF(VLOOKUP(AA41,RULES!$A:$X,24,0)="",999999,VLOOKUP(AA41,RULES!$A:$X,24,0)*1),999999)</f>
        <v/>
      </c>
      <c r="AX41" s="41">
        <f>IFERROR(VLOOKUP(AA41,RULES!$A:$Y,25,0)*1,0)</f>
        <v/>
      </c>
      <c r="AY41" s="41">
        <f>IFERROR(VLOOKUP(AA41,RULES!$A:$Z,26,0),"NONE")</f>
        <v/>
      </c>
      <c r="AZ41" s="41">
        <f>IFERROR(VLOOKUP(AA41,RULES!$A:$AA,27,0)*1,0)</f>
        <v/>
      </c>
      <c r="BA41" s="41">
        <f>IFERROR(VLOOKUP(AA41,RULES!$A:$AB,28,0)*1,0)</f>
        <v/>
      </c>
    </row>
    <row r="42" ht="17" customHeight="1">
      <c r="A42" s="36" t="n"/>
      <c r="B42" s="48" t="inlineStr">
        <is>
          <t>ACC004</t>
        </is>
      </c>
      <c r="C42" s="48" t="inlineStr">
        <is>
          <t>DEFAULT</t>
        </is>
      </c>
      <c r="D42" s="47" t="n"/>
      <c r="E42" s="36">
        <f>IF(OR(D42="",D42=0),"INACTIVE","ACTIVE")</f>
        <v/>
      </c>
      <c r="F42" s="48" t="inlineStr">
        <is>
          <t>NORMAL</t>
        </is>
      </c>
      <c r="G42" s="36" t="n"/>
      <c r="H42" s="36" t="n"/>
      <c r="I42" s="42">
        <f>IF(OR(E42="INACTIVE",H42=""),0,MAX(0,H42-G42))</f>
        <v/>
      </c>
      <c r="J42" s="36" t="n"/>
      <c r="K42" s="42">
        <f>IF(OR(E42="INACTIVE",H42=""),0,IF(AB42="DISABLED",0,IF(AB42="FLAT",AE42,IF(AB42="MANUAL",IF(J42="",0,J42*AC42),IF(AB42="STEP",IF(I42&lt;=AF42,I42*AG42,IF(I42&lt;=AH42,AF42*AG42+(I42-AF42)*AI42,AF42*AG42+(AH42-AF42)*AI42+(I42-AH42)*AK42)),MAX(I42*AC42,AD42))))))</f>
        <v/>
      </c>
      <c r="L42" s="42">
        <f>IF(OR(E42="INACTIVE",H42=""),0,IF(AL42="NONE",0,IF(AL42="FLAT",AM42,IF(AL42="PER_UNIT",I42*AN42,IF(AL42="MANUAL",IF(M42="",0,M42),0)))))</f>
        <v/>
      </c>
      <c r="M42" s="36" t="n"/>
      <c r="N42" s="48" t="inlineStr">
        <is>
          <t>NORMAL</t>
        </is>
      </c>
      <c r="O42" s="36" t="n"/>
      <c r="P42" s="36" t="n"/>
      <c r="Q42" s="42">
        <f>IF(OR(E42="INACTIVE",P42=""),0,MAX(0,P42-O42))</f>
        <v/>
      </c>
      <c r="R42" s="36" t="n"/>
      <c r="S42" s="42">
        <f>IF(OR(E42="INACTIVE",P42=""),0,IF(AO42="DISABLED",0,IF(AO42="FLAT",AR42,IF(AO42="MANUAL",IF(R42="",0,R42*AP42),IF(AO42="STEP",IF(Q42&lt;=AS42,Q42*AT42,IF(Q42&lt;=AU42,AS42*AT42+(Q42-AS42)*AV42,AS42*AT42+(AU42-AS42)*AV42+(Q42-AU42)*AX42)),MAX(Q42*AP42,AQ42))))))</f>
        <v/>
      </c>
      <c r="T42" s="42">
        <f>IF(OR(E42="INACTIVE",P42=""),0,IF(AY42="NONE",0,IF(AY42="FLAT",AZ42,IF(AY42="PER_UNIT",Q42*BA42,IF(AY42="MANUAL",IF(U42="",0,U42),0)))))</f>
        <v/>
      </c>
      <c r="U42" s="36" t="n"/>
      <c r="V42" s="36" t="n"/>
      <c r="W42" s="36" t="n"/>
      <c r="X42" s="42">
        <f>IF(E42="INACTIVE",0,D42+K42+L42+S42+T42+IF(V42="",0,V42)+IF(W42="",0,W42))</f>
        <v/>
      </c>
      <c r="Y42" s="36" t="n"/>
      <c r="Z42" s="42">
        <f>IF(E42="INACTIVE","_",IF(AND(G42&gt;0,H42&gt;0,H42&lt;G42),"[!]น้ำ reset ","")&amp;IF(AND(O42&gt;0,P42&gt;0,P42&lt;O42),"[!]ไฟ reset ","")&amp;IF(AND(F42="MANUAL",J42=""),"[X]units น้ำ ","")&amp;IF(AND(N42="MANUAL",R42=""),"[X]units ไฟ ","")&amp;IF(D42=0,"[!]ค่าเช่า=0",""))</f>
        <v/>
      </c>
      <c r="AA42" s="41">
        <f>IF(C42&lt;&gt;"",C42,CONFIG!$B$6)</f>
        <v/>
      </c>
      <c r="AB42" s="41">
        <f>IF(F42&lt;&gt;"",F42,IFERROR(VLOOKUP(AA42,RULES!$A:$C,3,0),CONFIG!$B$7))</f>
        <v/>
      </c>
      <c r="AC42" s="41">
        <f>IF(IFERROR(VLOOKUP(AA42,RULES!$A:$D,4,0),"")="",CONFIG!$B$10,VLOOKUP(AA42,RULES!$A:$D,4,0))</f>
        <v/>
      </c>
      <c r="AD42" s="41">
        <f>IF(IFERROR(VLOOKUP(AA42,RULES!$A:$E,5,0),"")="",CONFIG!$B$11,VLOOKUP(AA42,RULES!$A:$E,5,0))</f>
        <v/>
      </c>
      <c r="AE42" s="41">
        <f>IFERROR(VLOOKUP(AA42,RULES!$A:$F,6,0)*1,0)</f>
        <v/>
      </c>
      <c r="AF42" s="41">
        <f>IFERROR(VLOOKUP(AA42,RULES!$A:$G,7,0)*1,0)</f>
        <v/>
      </c>
      <c r="AG42" s="41">
        <f>IFERROR(VLOOKUP(AA42,RULES!$A:$H,8,0)*1,0)</f>
        <v/>
      </c>
      <c r="AH42" s="41">
        <f>IFERROR(VLOOKUP(AA42,RULES!$A:$I,9,0)*1,0)</f>
        <v/>
      </c>
      <c r="AI42" s="41">
        <f>IFERROR(VLOOKUP(AA42,RULES!$A:$J,10,0)*1,0)</f>
        <v/>
      </c>
      <c r="AJ42" s="41">
        <f>IFERROR(IF(VLOOKUP(AA42,RULES!$A:$K,11,0)="",999999,VLOOKUP(AA42,RULES!$A:$K,11,0)*1),999999)</f>
        <v/>
      </c>
      <c r="AK42" s="41">
        <f>IFERROR(VLOOKUP(AA42,RULES!$A:$L,12,0)*1,0)</f>
        <v/>
      </c>
      <c r="AL42" s="41">
        <f>IFERROR(VLOOKUP(AA42,RULES!$A:$M,13,0),"NONE")</f>
        <v/>
      </c>
      <c r="AM42" s="41">
        <f>IFERROR(VLOOKUP(AA42,RULES!$A:$N,14,0)*1,0)</f>
        <v/>
      </c>
      <c r="AN42" s="41">
        <f>IFERROR(VLOOKUP(AA42,RULES!$A:$O,15,0)*1,0)</f>
        <v/>
      </c>
      <c r="AO42" s="41">
        <f>IF(N42&lt;&gt;"",N42,IFERROR(VLOOKUP(AA42,RULES!$A:$P,16,0),CONFIG!$B$8))</f>
        <v/>
      </c>
      <c r="AP42" s="41">
        <f>IF(IFERROR(VLOOKUP(AA42,RULES!$A:$Q,17,0),"")="",CONFIG!$B$13,VLOOKUP(AA42,RULES!$A:$Q,17,0))</f>
        <v/>
      </c>
      <c r="AQ42" s="41">
        <f>IF(IFERROR(VLOOKUP(AA42,RULES!$A:$R,18,0),"")="",CONFIG!$B$14,VLOOKUP(AA42,RULES!$A:$R,18,0))</f>
        <v/>
      </c>
      <c r="AR42" s="41">
        <f>IFERROR(VLOOKUP(AA42,RULES!$A:$S,19,0)*1,0)</f>
        <v/>
      </c>
      <c r="AS42" s="41">
        <f>IFERROR(VLOOKUP(AA42,RULES!$A:$T,20,0)*1,0)</f>
        <v/>
      </c>
      <c r="AT42" s="41">
        <f>IFERROR(VLOOKUP(AA42,RULES!$A:$U,21,0)*1,0)</f>
        <v/>
      </c>
      <c r="AU42" s="41">
        <f>IFERROR(VLOOKUP(AA42,RULES!$A:$V,22,0)*1,0)</f>
        <v/>
      </c>
      <c r="AV42" s="41">
        <f>IFERROR(VLOOKUP(AA42,RULES!$A:$W,23,0)*1,0)</f>
        <v/>
      </c>
      <c r="AW42" s="41">
        <f>IFERROR(IF(VLOOKUP(AA42,RULES!$A:$X,24,0)="",999999,VLOOKUP(AA42,RULES!$A:$X,24,0)*1),999999)</f>
        <v/>
      </c>
      <c r="AX42" s="41">
        <f>IFERROR(VLOOKUP(AA42,RULES!$A:$Y,25,0)*1,0)</f>
        <v/>
      </c>
      <c r="AY42" s="41">
        <f>IFERROR(VLOOKUP(AA42,RULES!$A:$Z,26,0),"NONE")</f>
        <v/>
      </c>
      <c r="AZ42" s="41">
        <f>IFERROR(VLOOKUP(AA42,RULES!$A:$AA,27,0)*1,0)</f>
        <v/>
      </c>
      <c r="BA42" s="41">
        <f>IFERROR(VLOOKUP(AA42,RULES!$A:$AB,28,0)*1,0)</f>
        <v/>
      </c>
    </row>
    <row r="43" ht="17" customHeight="1">
      <c r="A43" s="36" t="n"/>
      <c r="B43" s="48" t="inlineStr">
        <is>
          <t>ACC004</t>
        </is>
      </c>
      <c r="C43" s="48" t="inlineStr">
        <is>
          <t>DEFAULT</t>
        </is>
      </c>
      <c r="D43" s="47" t="n"/>
      <c r="E43" s="36">
        <f>IF(OR(D43="",D43=0),"INACTIVE","ACTIVE")</f>
        <v/>
      </c>
      <c r="F43" s="48" t="inlineStr">
        <is>
          <t>NORMAL</t>
        </is>
      </c>
      <c r="G43" s="36" t="n"/>
      <c r="H43" s="36" t="n"/>
      <c r="I43" s="42">
        <f>IF(OR(E43="INACTIVE",H43=""),0,MAX(0,H43-G43))</f>
        <v/>
      </c>
      <c r="J43" s="36" t="n"/>
      <c r="K43" s="42">
        <f>IF(OR(E43="INACTIVE",H43=""),0,IF(AB43="DISABLED",0,IF(AB43="FLAT",AE43,IF(AB43="MANUAL",IF(J43="",0,J43*AC43),IF(AB43="STEP",IF(I43&lt;=AF43,I43*AG43,IF(I43&lt;=AH43,AF43*AG43+(I43-AF43)*AI43,AF43*AG43+(AH43-AF43)*AI43+(I43-AH43)*AK43)),MAX(I43*AC43,AD43))))))</f>
        <v/>
      </c>
      <c r="L43" s="42">
        <f>IF(OR(E43="INACTIVE",H43=""),0,IF(AL43="NONE",0,IF(AL43="FLAT",AM43,IF(AL43="PER_UNIT",I43*AN43,IF(AL43="MANUAL",IF(M43="",0,M43),0)))))</f>
        <v/>
      </c>
      <c r="M43" s="36" t="n"/>
      <c r="N43" s="48" t="inlineStr">
        <is>
          <t>NORMAL</t>
        </is>
      </c>
      <c r="O43" s="36" t="n"/>
      <c r="P43" s="36" t="n"/>
      <c r="Q43" s="42">
        <f>IF(OR(E43="INACTIVE",P43=""),0,MAX(0,P43-O43))</f>
        <v/>
      </c>
      <c r="R43" s="36" t="n"/>
      <c r="S43" s="42">
        <f>IF(OR(E43="INACTIVE",P43=""),0,IF(AO43="DISABLED",0,IF(AO43="FLAT",AR43,IF(AO43="MANUAL",IF(R43="",0,R43*AP43),IF(AO43="STEP",IF(Q43&lt;=AS43,Q43*AT43,IF(Q43&lt;=AU43,AS43*AT43+(Q43-AS43)*AV43,AS43*AT43+(AU43-AS43)*AV43+(Q43-AU43)*AX43)),MAX(Q43*AP43,AQ43))))))</f>
        <v/>
      </c>
      <c r="T43" s="42">
        <f>IF(OR(E43="INACTIVE",P43=""),0,IF(AY43="NONE",0,IF(AY43="FLAT",AZ43,IF(AY43="PER_UNIT",Q43*BA43,IF(AY43="MANUAL",IF(U43="",0,U43),0)))))</f>
        <v/>
      </c>
      <c r="U43" s="36" t="n"/>
      <c r="V43" s="36" t="n"/>
      <c r="W43" s="36" t="n"/>
      <c r="X43" s="42">
        <f>IF(E43="INACTIVE",0,D43+K43+L43+S43+T43+IF(V43="",0,V43)+IF(W43="",0,W43))</f>
        <v/>
      </c>
      <c r="Y43" s="36" t="n"/>
      <c r="Z43" s="42">
        <f>IF(E43="INACTIVE","_",IF(AND(G43&gt;0,H43&gt;0,H43&lt;G43),"[!]น้ำ reset ","")&amp;IF(AND(O43&gt;0,P43&gt;0,P43&lt;O43),"[!]ไฟ reset ","")&amp;IF(AND(F43="MANUAL",J43=""),"[X]units น้ำ ","")&amp;IF(AND(N43="MANUAL",R43=""),"[X]units ไฟ ","")&amp;IF(D43=0,"[!]ค่าเช่า=0",""))</f>
        <v/>
      </c>
      <c r="AA43" s="41">
        <f>IF(C43&lt;&gt;"",C43,CONFIG!$B$6)</f>
        <v/>
      </c>
      <c r="AB43" s="41">
        <f>IF(F43&lt;&gt;"",F43,IFERROR(VLOOKUP(AA43,RULES!$A:$C,3,0),CONFIG!$B$7))</f>
        <v/>
      </c>
      <c r="AC43" s="41">
        <f>IF(IFERROR(VLOOKUP(AA43,RULES!$A:$D,4,0),"")="",CONFIG!$B$10,VLOOKUP(AA43,RULES!$A:$D,4,0))</f>
        <v/>
      </c>
      <c r="AD43" s="41">
        <f>IF(IFERROR(VLOOKUP(AA43,RULES!$A:$E,5,0),"")="",CONFIG!$B$11,VLOOKUP(AA43,RULES!$A:$E,5,0))</f>
        <v/>
      </c>
      <c r="AE43" s="41">
        <f>IFERROR(VLOOKUP(AA43,RULES!$A:$F,6,0)*1,0)</f>
        <v/>
      </c>
      <c r="AF43" s="41">
        <f>IFERROR(VLOOKUP(AA43,RULES!$A:$G,7,0)*1,0)</f>
        <v/>
      </c>
      <c r="AG43" s="41">
        <f>IFERROR(VLOOKUP(AA43,RULES!$A:$H,8,0)*1,0)</f>
        <v/>
      </c>
      <c r="AH43" s="41">
        <f>IFERROR(VLOOKUP(AA43,RULES!$A:$I,9,0)*1,0)</f>
        <v/>
      </c>
      <c r="AI43" s="41">
        <f>IFERROR(VLOOKUP(AA43,RULES!$A:$J,10,0)*1,0)</f>
        <v/>
      </c>
      <c r="AJ43" s="41">
        <f>IFERROR(IF(VLOOKUP(AA43,RULES!$A:$K,11,0)="",999999,VLOOKUP(AA43,RULES!$A:$K,11,0)*1),999999)</f>
        <v/>
      </c>
      <c r="AK43" s="41">
        <f>IFERROR(VLOOKUP(AA43,RULES!$A:$L,12,0)*1,0)</f>
        <v/>
      </c>
      <c r="AL43" s="41">
        <f>IFERROR(VLOOKUP(AA43,RULES!$A:$M,13,0),"NONE")</f>
        <v/>
      </c>
      <c r="AM43" s="41">
        <f>IFERROR(VLOOKUP(AA43,RULES!$A:$N,14,0)*1,0)</f>
        <v/>
      </c>
      <c r="AN43" s="41">
        <f>IFERROR(VLOOKUP(AA43,RULES!$A:$O,15,0)*1,0)</f>
        <v/>
      </c>
      <c r="AO43" s="41">
        <f>IF(N43&lt;&gt;"",N43,IFERROR(VLOOKUP(AA43,RULES!$A:$P,16,0),CONFIG!$B$8))</f>
        <v/>
      </c>
      <c r="AP43" s="41">
        <f>IF(IFERROR(VLOOKUP(AA43,RULES!$A:$Q,17,0),"")="",CONFIG!$B$13,VLOOKUP(AA43,RULES!$A:$Q,17,0))</f>
        <v/>
      </c>
      <c r="AQ43" s="41">
        <f>IF(IFERROR(VLOOKUP(AA43,RULES!$A:$R,18,0),"")="",CONFIG!$B$14,VLOOKUP(AA43,RULES!$A:$R,18,0))</f>
        <v/>
      </c>
      <c r="AR43" s="41">
        <f>IFERROR(VLOOKUP(AA43,RULES!$A:$S,19,0)*1,0)</f>
        <v/>
      </c>
      <c r="AS43" s="41">
        <f>IFERROR(VLOOKUP(AA43,RULES!$A:$T,20,0)*1,0)</f>
        <v/>
      </c>
      <c r="AT43" s="41">
        <f>IFERROR(VLOOKUP(AA43,RULES!$A:$U,21,0)*1,0)</f>
        <v/>
      </c>
      <c r="AU43" s="41">
        <f>IFERROR(VLOOKUP(AA43,RULES!$A:$V,22,0)*1,0)</f>
        <v/>
      </c>
      <c r="AV43" s="41">
        <f>IFERROR(VLOOKUP(AA43,RULES!$A:$W,23,0)*1,0)</f>
        <v/>
      </c>
      <c r="AW43" s="41">
        <f>IFERROR(IF(VLOOKUP(AA43,RULES!$A:$X,24,0)="",999999,VLOOKUP(AA43,RULES!$A:$X,24,0)*1),999999)</f>
        <v/>
      </c>
      <c r="AX43" s="41">
        <f>IFERROR(VLOOKUP(AA43,RULES!$A:$Y,25,0)*1,0)</f>
        <v/>
      </c>
      <c r="AY43" s="41">
        <f>IFERROR(VLOOKUP(AA43,RULES!$A:$Z,26,0),"NONE")</f>
        <v/>
      </c>
      <c r="AZ43" s="41">
        <f>IFERROR(VLOOKUP(AA43,RULES!$A:$AA,27,0)*1,0)</f>
        <v/>
      </c>
      <c r="BA43" s="41">
        <f>IFERROR(VLOOKUP(AA43,RULES!$A:$AB,28,0)*1,0)</f>
        <v/>
      </c>
    </row>
    <row r="44" ht="17" customHeight="1">
      <c r="A44" s="36" t="n"/>
      <c r="B44" s="48" t="inlineStr">
        <is>
          <t>ACC004</t>
        </is>
      </c>
      <c r="C44" s="48" t="inlineStr">
        <is>
          <t>DEFAULT</t>
        </is>
      </c>
      <c r="D44" s="47" t="n"/>
      <c r="E44" s="36">
        <f>IF(OR(D44="",D44=0),"INACTIVE","ACTIVE")</f>
        <v/>
      </c>
      <c r="F44" s="48" t="inlineStr">
        <is>
          <t>NORMAL</t>
        </is>
      </c>
      <c r="G44" s="36" t="n"/>
      <c r="H44" s="36" t="n"/>
      <c r="I44" s="42">
        <f>IF(OR(E44="INACTIVE",H44=""),0,MAX(0,H44-G44))</f>
        <v/>
      </c>
      <c r="J44" s="36" t="n"/>
      <c r="K44" s="42">
        <f>IF(OR(E44="INACTIVE",H44=""),0,IF(AB44="DISABLED",0,IF(AB44="FLAT",AE44,IF(AB44="MANUAL",IF(J44="",0,J44*AC44),IF(AB44="STEP",IF(I44&lt;=AF44,I44*AG44,IF(I44&lt;=AH44,AF44*AG44+(I44-AF44)*AI44,AF44*AG44+(AH44-AF44)*AI44+(I44-AH44)*AK44)),MAX(I44*AC44,AD44))))))</f>
        <v/>
      </c>
      <c r="L44" s="42">
        <f>IF(OR(E44="INACTIVE",H44=""),0,IF(AL44="NONE",0,IF(AL44="FLAT",AM44,IF(AL44="PER_UNIT",I44*AN44,IF(AL44="MANUAL",IF(M44="",0,M44),0)))))</f>
        <v/>
      </c>
      <c r="M44" s="36" t="n"/>
      <c r="N44" s="48" t="inlineStr">
        <is>
          <t>NORMAL</t>
        </is>
      </c>
      <c r="O44" s="36" t="n"/>
      <c r="P44" s="36" t="n"/>
      <c r="Q44" s="42">
        <f>IF(OR(E44="INACTIVE",P44=""),0,MAX(0,P44-O44))</f>
        <v/>
      </c>
      <c r="R44" s="36" t="n"/>
      <c r="S44" s="42">
        <f>IF(OR(E44="INACTIVE",P44=""),0,IF(AO44="DISABLED",0,IF(AO44="FLAT",AR44,IF(AO44="MANUAL",IF(R44="",0,R44*AP44),IF(AO44="STEP",IF(Q44&lt;=AS44,Q44*AT44,IF(Q44&lt;=AU44,AS44*AT44+(Q44-AS44)*AV44,AS44*AT44+(AU44-AS44)*AV44+(Q44-AU44)*AX44)),MAX(Q44*AP44,AQ44))))))</f>
        <v/>
      </c>
      <c r="T44" s="42">
        <f>IF(OR(E44="INACTIVE",P44=""),0,IF(AY44="NONE",0,IF(AY44="FLAT",AZ44,IF(AY44="PER_UNIT",Q44*BA44,IF(AY44="MANUAL",IF(U44="",0,U44),0)))))</f>
        <v/>
      </c>
      <c r="U44" s="36" t="n"/>
      <c r="V44" s="36" t="n"/>
      <c r="W44" s="36" t="n"/>
      <c r="X44" s="42">
        <f>IF(E44="INACTIVE",0,D44+K44+L44+S44+T44+IF(V44="",0,V44)+IF(W44="",0,W44))</f>
        <v/>
      </c>
      <c r="Y44" s="36" t="n"/>
      <c r="Z44" s="42">
        <f>IF(E44="INACTIVE","_",IF(AND(G44&gt;0,H44&gt;0,H44&lt;G44),"[!]น้ำ reset ","")&amp;IF(AND(O44&gt;0,P44&gt;0,P44&lt;O44),"[!]ไฟ reset ","")&amp;IF(AND(F44="MANUAL",J44=""),"[X]units น้ำ ","")&amp;IF(AND(N44="MANUAL",R44=""),"[X]units ไฟ ","")&amp;IF(D44=0,"[!]ค่าเช่า=0",""))</f>
        <v/>
      </c>
      <c r="AA44" s="41">
        <f>IF(C44&lt;&gt;"",C44,CONFIG!$B$6)</f>
        <v/>
      </c>
      <c r="AB44" s="41">
        <f>IF(F44&lt;&gt;"",F44,IFERROR(VLOOKUP(AA44,RULES!$A:$C,3,0),CONFIG!$B$7))</f>
        <v/>
      </c>
      <c r="AC44" s="41">
        <f>IF(IFERROR(VLOOKUP(AA44,RULES!$A:$D,4,0),"")="",CONFIG!$B$10,VLOOKUP(AA44,RULES!$A:$D,4,0))</f>
        <v/>
      </c>
      <c r="AD44" s="41">
        <f>IF(IFERROR(VLOOKUP(AA44,RULES!$A:$E,5,0),"")="",CONFIG!$B$11,VLOOKUP(AA44,RULES!$A:$E,5,0))</f>
        <v/>
      </c>
      <c r="AE44" s="41">
        <f>IFERROR(VLOOKUP(AA44,RULES!$A:$F,6,0)*1,0)</f>
        <v/>
      </c>
      <c r="AF44" s="41">
        <f>IFERROR(VLOOKUP(AA44,RULES!$A:$G,7,0)*1,0)</f>
        <v/>
      </c>
      <c r="AG44" s="41">
        <f>IFERROR(VLOOKUP(AA44,RULES!$A:$H,8,0)*1,0)</f>
        <v/>
      </c>
      <c r="AH44" s="41">
        <f>IFERROR(VLOOKUP(AA44,RULES!$A:$I,9,0)*1,0)</f>
        <v/>
      </c>
      <c r="AI44" s="41">
        <f>IFERROR(VLOOKUP(AA44,RULES!$A:$J,10,0)*1,0)</f>
        <v/>
      </c>
      <c r="AJ44" s="41">
        <f>IFERROR(IF(VLOOKUP(AA44,RULES!$A:$K,11,0)="",999999,VLOOKUP(AA44,RULES!$A:$K,11,0)*1),999999)</f>
        <v/>
      </c>
      <c r="AK44" s="41">
        <f>IFERROR(VLOOKUP(AA44,RULES!$A:$L,12,0)*1,0)</f>
        <v/>
      </c>
      <c r="AL44" s="41">
        <f>IFERROR(VLOOKUP(AA44,RULES!$A:$M,13,0),"NONE")</f>
        <v/>
      </c>
      <c r="AM44" s="41">
        <f>IFERROR(VLOOKUP(AA44,RULES!$A:$N,14,0)*1,0)</f>
        <v/>
      </c>
      <c r="AN44" s="41">
        <f>IFERROR(VLOOKUP(AA44,RULES!$A:$O,15,0)*1,0)</f>
        <v/>
      </c>
      <c r="AO44" s="41">
        <f>IF(N44&lt;&gt;"",N44,IFERROR(VLOOKUP(AA44,RULES!$A:$P,16,0),CONFIG!$B$8))</f>
        <v/>
      </c>
      <c r="AP44" s="41">
        <f>IF(IFERROR(VLOOKUP(AA44,RULES!$A:$Q,17,0),"")="",CONFIG!$B$13,VLOOKUP(AA44,RULES!$A:$Q,17,0))</f>
        <v/>
      </c>
      <c r="AQ44" s="41">
        <f>IF(IFERROR(VLOOKUP(AA44,RULES!$A:$R,18,0),"")="",CONFIG!$B$14,VLOOKUP(AA44,RULES!$A:$R,18,0))</f>
        <v/>
      </c>
      <c r="AR44" s="41">
        <f>IFERROR(VLOOKUP(AA44,RULES!$A:$S,19,0)*1,0)</f>
        <v/>
      </c>
      <c r="AS44" s="41">
        <f>IFERROR(VLOOKUP(AA44,RULES!$A:$T,20,0)*1,0)</f>
        <v/>
      </c>
      <c r="AT44" s="41">
        <f>IFERROR(VLOOKUP(AA44,RULES!$A:$U,21,0)*1,0)</f>
        <v/>
      </c>
      <c r="AU44" s="41">
        <f>IFERROR(VLOOKUP(AA44,RULES!$A:$V,22,0)*1,0)</f>
        <v/>
      </c>
      <c r="AV44" s="41">
        <f>IFERROR(VLOOKUP(AA44,RULES!$A:$W,23,0)*1,0)</f>
        <v/>
      </c>
      <c r="AW44" s="41">
        <f>IFERROR(IF(VLOOKUP(AA44,RULES!$A:$X,24,0)="",999999,VLOOKUP(AA44,RULES!$A:$X,24,0)*1),999999)</f>
        <v/>
      </c>
      <c r="AX44" s="41">
        <f>IFERROR(VLOOKUP(AA44,RULES!$A:$Y,25,0)*1,0)</f>
        <v/>
      </c>
      <c r="AY44" s="41">
        <f>IFERROR(VLOOKUP(AA44,RULES!$A:$Z,26,0),"NONE")</f>
        <v/>
      </c>
      <c r="AZ44" s="41">
        <f>IFERROR(VLOOKUP(AA44,RULES!$A:$AA,27,0)*1,0)</f>
        <v/>
      </c>
      <c r="BA44" s="41">
        <f>IFERROR(VLOOKUP(AA44,RULES!$A:$AB,28,0)*1,0)</f>
        <v/>
      </c>
    </row>
    <row r="45" ht="17" customHeight="1">
      <c r="A45" s="36" t="n"/>
      <c r="B45" s="48" t="inlineStr">
        <is>
          <t>ACC004</t>
        </is>
      </c>
      <c r="C45" s="48" t="inlineStr">
        <is>
          <t>DEFAULT</t>
        </is>
      </c>
      <c r="D45" s="47" t="n"/>
      <c r="E45" s="36">
        <f>IF(OR(D45="",D45=0),"INACTIVE","ACTIVE")</f>
        <v/>
      </c>
      <c r="F45" s="48" t="inlineStr">
        <is>
          <t>NORMAL</t>
        </is>
      </c>
      <c r="G45" s="36" t="n"/>
      <c r="H45" s="36" t="n"/>
      <c r="I45" s="42">
        <f>IF(OR(E45="INACTIVE",H45=""),0,MAX(0,H45-G45))</f>
        <v/>
      </c>
      <c r="J45" s="36" t="n"/>
      <c r="K45" s="42">
        <f>IF(OR(E45="INACTIVE",H45=""),0,IF(AB45="DISABLED",0,IF(AB45="FLAT",AE45,IF(AB45="MANUAL",IF(J45="",0,J45*AC45),IF(AB45="STEP",IF(I45&lt;=AF45,I45*AG45,IF(I45&lt;=AH45,AF45*AG45+(I45-AF45)*AI45,AF45*AG45+(AH45-AF45)*AI45+(I45-AH45)*AK45)),MAX(I45*AC45,AD45))))))</f>
        <v/>
      </c>
      <c r="L45" s="42">
        <f>IF(OR(E45="INACTIVE",H45=""),0,IF(AL45="NONE",0,IF(AL45="FLAT",AM45,IF(AL45="PER_UNIT",I45*AN45,IF(AL45="MANUAL",IF(M45="",0,M45),0)))))</f>
        <v/>
      </c>
      <c r="M45" s="36" t="n"/>
      <c r="N45" s="48" t="inlineStr">
        <is>
          <t>NORMAL</t>
        </is>
      </c>
      <c r="O45" s="36" t="n"/>
      <c r="P45" s="36" t="n"/>
      <c r="Q45" s="42">
        <f>IF(OR(E45="INACTIVE",P45=""),0,MAX(0,P45-O45))</f>
        <v/>
      </c>
      <c r="R45" s="36" t="n"/>
      <c r="S45" s="42">
        <f>IF(OR(E45="INACTIVE",P45=""),0,IF(AO45="DISABLED",0,IF(AO45="FLAT",AR45,IF(AO45="MANUAL",IF(R45="",0,R45*AP45),IF(AO45="STEP",IF(Q45&lt;=AS45,Q45*AT45,IF(Q45&lt;=AU45,AS45*AT45+(Q45-AS45)*AV45,AS45*AT45+(AU45-AS45)*AV45+(Q45-AU45)*AX45)),MAX(Q45*AP45,AQ45))))))</f>
        <v/>
      </c>
      <c r="T45" s="42">
        <f>IF(OR(E45="INACTIVE",P45=""),0,IF(AY45="NONE",0,IF(AY45="FLAT",AZ45,IF(AY45="PER_UNIT",Q45*BA45,IF(AY45="MANUAL",IF(U45="",0,U45),0)))))</f>
        <v/>
      </c>
      <c r="U45" s="36" t="n"/>
      <c r="V45" s="36" t="n"/>
      <c r="W45" s="36" t="n"/>
      <c r="X45" s="42">
        <f>IF(E45="INACTIVE",0,D45+K45+L45+S45+T45+IF(V45="",0,V45)+IF(W45="",0,W45))</f>
        <v/>
      </c>
      <c r="Y45" s="36" t="n"/>
      <c r="Z45" s="42">
        <f>IF(E45="INACTIVE","_",IF(AND(G45&gt;0,H45&gt;0,H45&lt;G45),"[!]น้ำ reset ","")&amp;IF(AND(O45&gt;0,P45&gt;0,P45&lt;O45),"[!]ไฟ reset ","")&amp;IF(AND(F45="MANUAL",J45=""),"[X]units น้ำ ","")&amp;IF(AND(N45="MANUAL",R45=""),"[X]units ไฟ ","")&amp;IF(D45=0,"[!]ค่าเช่า=0",""))</f>
        <v/>
      </c>
      <c r="AA45" s="41">
        <f>IF(C45&lt;&gt;"",C45,CONFIG!$B$6)</f>
        <v/>
      </c>
      <c r="AB45" s="41">
        <f>IF(F45&lt;&gt;"",F45,IFERROR(VLOOKUP(AA45,RULES!$A:$C,3,0),CONFIG!$B$7))</f>
        <v/>
      </c>
      <c r="AC45" s="41">
        <f>IF(IFERROR(VLOOKUP(AA45,RULES!$A:$D,4,0),"")="",CONFIG!$B$10,VLOOKUP(AA45,RULES!$A:$D,4,0))</f>
        <v/>
      </c>
      <c r="AD45" s="41">
        <f>IF(IFERROR(VLOOKUP(AA45,RULES!$A:$E,5,0),"")="",CONFIG!$B$11,VLOOKUP(AA45,RULES!$A:$E,5,0))</f>
        <v/>
      </c>
      <c r="AE45" s="41">
        <f>IFERROR(VLOOKUP(AA45,RULES!$A:$F,6,0)*1,0)</f>
        <v/>
      </c>
      <c r="AF45" s="41">
        <f>IFERROR(VLOOKUP(AA45,RULES!$A:$G,7,0)*1,0)</f>
        <v/>
      </c>
      <c r="AG45" s="41">
        <f>IFERROR(VLOOKUP(AA45,RULES!$A:$H,8,0)*1,0)</f>
        <v/>
      </c>
      <c r="AH45" s="41">
        <f>IFERROR(VLOOKUP(AA45,RULES!$A:$I,9,0)*1,0)</f>
        <v/>
      </c>
      <c r="AI45" s="41">
        <f>IFERROR(VLOOKUP(AA45,RULES!$A:$J,10,0)*1,0)</f>
        <v/>
      </c>
      <c r="AJ45" s="41">
        <f>IFERROR(IF(VLOOKUP(AA45,RULES!$A:$K,11,0)="",999999,VLOOKUP(AA45,RULES!$A:$K,11,0)*1),999999)</f>
        <v/>
      </c>
      <c r="AK45" s="41">
        <f>IFERROR(VLOOKUP(AA45,RULES!$A:$L,12,0)*1,0)</f>
        <v/>
      </c>
      <c r="AL45" s="41">
        <f>IFERROR(VLOOKUP(AA45,RULES!$A:$M,13,0),"NONE")</f>
        <v/>
      </c>
      <c r="AM45" s="41">
        <f>IFERROR(VLOOKUP(AA45,RULES!$A:$N,14,0)*1,0)</f>
        <v/>
      </c>
      <c r="AN45" s="41">
        <f>IFERROR(VLOOKUP(AA45,RULES!$A:$O,15,0)*1,0)</f>
        <v/>
      </c>
      <c r="AO45" s="41">
        <f>IF(N45&lt;&gt;"",N45,IFERROR(VLOOKUP(AA45,RULES!$A:$P,16,0),CONFIG!$B$8))</f>
        <v/>
      </c>
      <c r="AP45" s="41">
        <f>IF(IFERROR(VLOOKUP(AA45,RULES!$A:$Q,17,0),"")="",CONFIG!$B$13,VLOOKUP(AA45,RULES!$A:$Q,17,0))</f>
        <v/>
      </c>
      <c r="AQ45" s="41">
        <f>IF(IFERROR(VLOOKUP(AA45,RULES!$A:$R,18,0),"")="",CONFIG!$B$14,VLOOKUP(AA45,RULES!$A:$R,18,0))</f>
        <v/>
      </c>
      <c r="AR45" s="41">
        <f>IFERROR(VLOOKUP(AA45,RULES!$A:$S,19,0)*1,0)</f>
        <v/>
      </c>
      <c r="AS45" s="41">
        <f>IFERROR(VLOOKUP(AA45,RULES!$A:$T,20,0)*1,0)</f>
        <v/>
      </c>
      <c r="AT45" s="41">
        <f>IFERROR(VLOOKUP(AA45,RULES!$A:$U,21,0)*1,0)</f>
        <v/>
      </c>
      <c r="AU45" s="41">
        <f>IFERROR(VLOOKUP(AA45,RULES!$A:$V,22,0)*1,0)</f>
        <v/>
      </c>
      <c r="AV45" s="41">
        <f>IFERROR(VLOOKUP(AA45,RULES!$A:$W,23,0)*1,0)</f>
        <v/>
      </c>
      <c r="AW45" s="41">
        <f>IFERROR(IF(VLOOKUP(AA45,RULES!$A:$X,24,0)="",999999,VLOOKUP(AA45,RULES!$A:$X,24,0)*1),999999)</f>
        <v/>
      </c>
      <c r="AX45" s="41">
        <f>IFERROR(VLOOKUP(AA45,RULES!$A:$Y,25,0)*1,0)</f>
        <v/>
      </c>
      <c r="AY45" s="41">
        <f>IFERROR(VLOOKUP(AA45,RULES!$A:$Z,26,0),"NONE")</f>
        <v/>
      </c>
      <c r="AZ45" s="41">
        <f>IFERROR(VLOOKUP(AA45,RULES!$A:$AA,27,0)*1,0)</f>
        <v/>
      </c>
      <c r="BA45" s="41">
        <f>IFERROR(VLOOKUP(AA45,RULES!$A:$AB,28,0)*1,0)</f>
        <v/>
      </c>
    </row>
    <row r="46" ht="22" customHeight="1">
      <c r="A46" s="43" t="inlineStr">
        <is>
          <t>Summary Floor 4</t>
        </is>
      </c>
      <c r="B46" s="46" t="n"/>
      <c r="C46" s="44" t="n"/>
      <c r="D46" s="44" t="n"/>
      <c r="E46" s="43">
        <f>COUNTIF(E4:E35,"ACTIVE")&amp;" / "&amp;COUNTIF(E4:E35,"INACTIVE")</f>
        <v/>
      </c>
      <c r="F46" s="44" t="n"/>
      <c r="G46" s="44" t="n"/>
      <c r="H46" s="44" t="n"/>
      <c r="I46" s="44" t="n"/>
      <c r="J46" s="44" t="n"/>
      <c r="K46" s="45">
        <f>SUM(K4:K35)</f>
        <v/>
      </c>
      <c r="L46" s="45">
        <f>SUM(L4:L35)</f>
        <v/>
      </c>
      <c r="M46" s="44" t="n"/>
      <c r="N46" s="44" t="n"/>
      <c r="O46" s="44" t="n"/>
      <c r="P46" s="44" t="n"/>
      <c r="Q46" s="44" t="n"/>
      <c r="R46" s="44" t="n"/>
      <c r="S46" s="45">
        <f>SUM(S4:S35)</f>
        <v/>
      </c>
      <c r="T46" s="45">
        <f>SUM(T4:T35)</f>
        <v/>
      </c>
      <c r="U46" s="44" t="n"/>
      <c r="V46" s="44" t="n"/>
      <c r="W46" s="44" t="n"/>
      <c r="X46" s="45">
        <f>SUM(X4:X35)</f>
        <v/>
      </c>
      <c r="Y46" s="44" t="n"/>
      <c r="Z46" s="44" t="n"/>
    </row>
  </sheetData>
  <mergeCells count="3">
    <mergeCell ref="A1:Z1"/>
    <mergeCell ref="A36:B36"/>
    <mergeCell ref="A46:B46"/>
  </mergeCells>
  <conditionalFormatting sqref="A4:Z46">
    <cfRule type="expression" priority="22" dxfId="11">
      <formula>=$E4="INACTIVE"</formula>
    </cfRule>
  </conditionalFormatting>
  <conditionalFormatting sqref="E4:E46">
    <cfRule type="expression" priority="23" dxfId="12">
      <formula>=E4="ACTIVE"</formula>
    </cfRule>
    <cfRule type="expression" priority="24" dxfId="13">
      <formula>=E4="INACTIVE"</formula>
    </cfRule>
  </conditionalFormatting>
  <conditionalFormatting sqref="F4:F46">
    <cfRule type="expression" priority="25" dxfId="14">
      <formula>=F4="NORMAL"</formula>
    </cfRule>
    <cfRule type="expression" priority="26" dxfId="15">
      <formula>=F4="MANUAL"</formula>
    </cfRule>
    <cfRule type="expression" priority="27" dxfId="16">
      <formula>=F4="DISABLED"</formula>
    </cfRule>
    <cfRule type="expression" priority="28" dxfId="17">
      <formula>=F4="FLAT"</formula>
    </cfRule>
    <cfRule type="expression" priority="29" dxfId="18">
      <formula>=F4="STEP"</formula>
    </cfRule>
  </conditionalFormatting>
  <conditionalFormatting sqref="N4:N46">
    <cfRule type="expression" priority="30" dxfId="14">
      <formula>=N4="NORMAL"</formula>
    </cfRule>
    <cfRule type="expression" priority="31" dxfId="15">
      <formula>=N4="MANUAL"</formula>
    </cfRule>
    <cfRule type="expression" priority="32" dxfId="16">
      <formula>=N4="DISABLED"</formula>
    </cfRule>
    <cfRule type="expression" priority="33" dxfId="17">
      <formula>=N4="FLAT"</formula>
    </cfRule>
    <cfRule type="expression" priority="34" dxfId="18">
      <formula>=N4="STEP"</formula>
    </cfRule>
  </conditionalFormatting>
  <conditionalFormatting sqref="Z4:Z46">
    <cfRule type="expression" priority="35" dxfId="19">
      <formula>=ISNUMBER(SEARCH("[X]",Z4))</formula>
    </cfRule>
    <cfRule type="expression" priority="36" dxfId="20">
      <formula>=ISNUMBER(SEARCH("[!]",Z4))</formula>
    </cfRule>
    <cfRule type="expression" priority="37" dxfId="16">
      <formula>=Z4="_"</formula>
    </cfRule>
    <cfRule type="expression" priority="38" dxfId="14">
      <formula>=AND(Z4="",E4="ACTIVE")</formula>
    </cfRule>
  </conditionalFormatting>
  <conditionalFormatting sqref="B4:B46">
    <cfRule type="expression" priority="39" dxfId="21">
      <formula>=B4&lt;&gt;""</formula>
    </cfRule>
  </conditionalFormatting>
  <conditionalFormatting sqref="C4:C46">
    <cfRule type="expression" priority="40" dxfId="21">
      <formula>=AND(C4&lt;&gt;"",C4&lt;&gt;"DEFAULT")</formula>
    </cfRule>
  </conditionalFormatting>
  <conditionalFormatting sqref="J4:J46">
    <cfRule type="expression" priority="41" dxfId="19">
      <formula>=AND(AB4="MANUAL",J4="")</formula>
    </cfRule>
  </conditionalFormatting>
  <conditionalFormatting sqref="R4:R46">
    <cfRule type="expression" priority="42" dxfId="19">
      <formula>=AND(AO4="MANUAL",R4="")</formula>
    </cfRule>
  </conditionalFormatting>
  <dataValidations count="4">
    <dataValidation sqref="B4:B45" showDropDown="0" showInputMessage="0" showErrorMessage="0" allowBlank="0" type="list">
      <formula1>=ACCOUNTS!$A$2:$A$30</formula1>
    </dataValidation>
    <dataValidation sqref="C4:C45" showDropDown="0" showInputMessage="0" showErrorMessage="0" allowBlank="0" type="list">
      <formula1>=RULES!$A$2:$A$50</formula1>
    </dataValidation>
    <dataValidation sqref="F4:F45" showDropDown="0" showInputMessage="0" showErrorMessage="0" allowBlank="0" type="list">
      <formula1>"NORMAL,MANUAL,DISABLED,FLAT,STEP"</formula1>
    </dataValidation>
    <dataValidation sqref="N4:N45" showDropDown="0" showInputMessage="0" showErrorMessage="0" allowBlank="0" type="list">
      <formula1>"NORMAL,MANUAL,DISABLED,FLAT,STEP"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46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1" customWidth="1" min="12" max="12"/>
    <col width="11" customWidth="1" min="13" max="13"/>
    <col width="10" customWidth="1" min="14" max="14"/>
    <col width="8" customWidth="1" min="15" max="15"/>
    <col width="8" customWidth="1" min="16" max="16"/>
    <col width="8" customWidth="1" min="17" max="17"/>
    <col width="10" customWidth="1" min="18" max="18"/>
    <col width="10" customWidth="1" min="19" max="19"/>
    <col width="11" customWidth="1" min="20" max="20"/>
    <col width="11" customWidth="1" min="21" max="21"/>
    <col width="9" customWidth="1" min="22" max="22"/>
    <col width="9" customWidth="1" min="23" max="23"/>
    <col width="11" customWidth="1" min="24" max="24"/>
    <col width="16" customWidth="1" min="25" max="25"/>
    <col width="22" customWidth="1" min="26" max="26"/>
    <col hidden="1" width="0.5" customWidth="1" min="27" max="27"/>
    <col hidden="1" width="0.5" customWidth="1" min="28" max="28"/>
    <col hidden="1" width="0.5" customWidth="1" min="29" max="29"/>
    <col hidden="1" width="0.5" customWidth="1" min="30" max="30"/>
    <col hidden="1" width="0.5" customWidth="1" min="31" max="31"/>
    <col hidden="1" width="0.5" customWidth="1" min="32" max="32"/>
    <col hidden="1" width="0.5" customWidth="1" min="33" max="33"/>
    <col hidden="1" width="0.5" customWidth="1" min="34" max="34"/>
    <col hidden="1" width="0.5" customWidth="1" min="35" max="35"/>
    <col hidden="1" width="0.5" customWidth="1" min="36" max="36"/>
    <col hidden="1" width="0.5" customWidth="1" min="37" max="37"/>
    <col hidden="1" width="0.5" customWidth="1" min="38" max="38"/>
    <col hidden="1" width="0.5" customWidth="1" min="39" max="39"/>
    <col hidden="1" width="0.5" customWidth="1" min="40" max="40"/>
    <col hidden="1" width="0.5" customWidth="1" min="41" max="41"/>
    <col hidden="1" width="0.5" customWidth="1" min="42" max="42"/>
    <col hidden="1" width="0.5" customWidth="1" min="43" max="43"/>
    <col hidden="1" width="0.5" customWidth="1" min="44" max="44"/>
    <col hidden="1" width="0.5" customWidth="1" min="45" max="45"/>
    <col hidden="1" width="0.5" customWidth="1" min="46" max="46"/>
    <col hidden="1" width="0.5" customWidth="1" min="47" max="47"/>
    <col hidden="1" width="0.5" customWidth="1" min="48" max="48"/>
    <col hidden="1" width="0.5" customWidth="1" min="49" max="49"/>
    <col hidden="1" width="0.5" customWidth="1" min="50" max="50"/>
    <col hidden="1" width="0.5" customWidth="1" min="51" max="51"/>
    <col hidden="1" width="0.5" customWidth="1" min="52" max="52"/>
    <col hidden="1" width="0.5" customWidth="1" min="53" max="53"/>
  </cols>
  <sheetData>
    <row r="1" ht="28" customHeight="1">
      <c r="A1" s="1" t="inlineStr">
        <is>
          <t>ข้อมูลบิล ชั้น 5</t>
        </is>
      </c>
    </row>
    <row r="2" ht="20" customHeight="1">
      <c r="A2" s="9" t="inlineStr">
        <is>
          <t>room</t>
        </is>
      </c>
      <c r="B2" s="9" t="inlineStr">
        <is>
          <t>account_id</t>
        </is>
      </c>
      <c r="C2" s="9" t="inlineStr">
        <is>
          <t>rule_code</t>
        </is>
      </c>
      <c r="D2" s="9" t="inlineStr">
        <is>
          <t>rent_amount</t>
        </is>
      </c>
      <c r="E2" s="9" t="inlineStr">
        <is>
          <t>room_status</t>
        </is>
      </c>
      <c r="F2" s="9" t="inlineStr">
        <is>
          <t>water_mode</t>
        </is>
      </c>
      <c r="G2" s="9" t="inlineStr">
        <is>
          <t>water_prev</t>
        </is>
      </c>
      <c r="H2" s="9" t="inlineStr">
        <is>
          <t>water_curr</t>
        </is>
      </c>
      <c r="I2" s="9" t="inlineStr">
        <is>
          <t>water_units</t>
        </is>
      </c>
      <c r="J2" s="9" t="inlineStr">
        <is>
          <t>water_units_manual</t>
        </is>
      </c>
      <c r="K2" s="9" t="inlineStr">
        <is>
          <t>water_charge</t>
        </is>
      </c>
      <c r="L2" s="9" t="inlineStr">
        <is>
          <t>water_fee</t>
        </is>
      </c>
      <c r="M2" s="9" t="inlineStr">
        <is>
          <t>water_fee_manual</t>
        </is>
      </c>
      <c r="N2" s="9" t="inlineStr">
        <is>
          <t>electric_mode</t>
        </is>
      </c>
      <c r="O2" s="9" t="inlineStr">
        <is>
          <t>electric_prev</t>
        </is>
      </c>
      <c r="P2" s="9" t="inlineStr">
        <is>
          <t>electric_curr</t>
        </is>
      </c>
      <c r="Q2" s="9" t="inlineStr">
        <is>
          <t>electric_units</t>
        </is>
      </c>
      <c r="R2" s="9" t="inlineStr">
        <is>
          <t>electric_units_manual</t>
        </is>
      </c>
      <c r="S2" s="9" t="inlineStr">
        <is>
          <t>electric_charge</t>
        </is>
      </c>
      <c r="T2" s="9" t="inlineStr">
        <is>
          <t>electric_fee</t>
        </is>
      </c>
      <c r="U2" s="9" t="inlineStr">
        <is>
          <t>electric_fee_manual</t>
        </is>
      </c>
      <c r="V2" s="9" t="inlineStr">
        <is>
          <t>furniture_fee</t>
        </is>
      </c>
      <c r="W2" s="9" t="inlineStr">
        <is>
          <t>other_fee</t>
        </is>
      </c>
      <c r="X2" s="9" t="inlineStr">
        <is>
          <t>total_due</t>
        </is>
      </c>
      <c r="Y2" s="9" t="inlineStr">
        <is>
          <t>note</t>
        </is>
      </c>
      <c r="Z2" s="9" t="inlineStr">
        <is>
          <t>check_notes</t>
        </is>
      </c>
      <c r="AA2" s="21" t="inlineStr">
        <is>
          <t>_helpers (hidden)</t>
        </is>
      </c>
    </row>
    <row r="3" ht="22" customHeight="1">
      <c r="A3" s="10" t="inlineStr">
        <is>
          <t>เลขห้อง</t>
        </is>
      </c>
      <c r="B3" s="10" t="inlineStr">
        <is>
          <t>บัญชีรับเงิน</t>
        </is>
      </c>
      <c r="C3" s="10" t="inlineStr">
        <is>
          <t>กฎ billing</t>
        </is>
      </c>
      <c r="D3" s="10" t="inlineStr">
        <is>
          <t>ค่าเช่า (กรอกเอง)</t>
        </is>
      </c>
      <c r="E3" s="10" t="inlineStr">
        <is>
          <t>สถานะ</t>
        </is>
      </c>
      <c r="F3" s="10" t="inlineStr">
        <is>
          <t>โหมดน้ำ</t>
        </is>
      </c>
      <c r="G3" s="10" t="inlineStr">
        <is>
          <t>น้ำก่อน</t>
        </is>
      </c>
      <c r="H3" s="10" t="inlineStr">
        <is>
          <t>น้ำหลัง</t>
        </is>
      </c>
      <c r="I3" s="10" t="inlineStr">
        <is>
          <t>ใช้น้ำ</t>
        </is>
      </c>
      <c r="J3" s="10" t="inlineStr">
        <is>
          <t>units น้ำ(manual)</t>
        </is>
      </c>
      <c r="K3" s="10" t="inlineStr">
        <is>
          <t>ค่าน้ำ</t>
        </is>
      </c>
      <c r="L3" s="10" t="inlineStr">
        <is>
          <t>ค่าบริการน้ำ</t>
        </is>
      </c>
      <c r="M3" s="10" t="inlineStr">
        <is>
          <t>ค่าบริการน้ำ(M)</t>
        </is>
      </c>
      <c r="N3" s="10" t="inlineStr">
        <is>
          <t>โหมดไฟ</t>
        </is>
      </c>
      <c r="O3" s="10" t="inlineStr">
        <is>
          <t>ไฟก่อน</t>
        </is>
      </c>
      <c r="P3" s="10" t="inlineStr">
        <is>
          <t>ไฟหลัง</t>
        </is>
      </c>
      <c r="Q3" s="10" t="inlineStr">
        <is>
          <t>ใช้ไฟ</t>
        </is>
      </c>
      <c r="R3" s="10" t="inlineStr">
        <is>
          <t>units ไฟ(manual)</t>
        </is>
      </c>
      <c r="S3" s="10" t="inlineStr">
        <is>
          <t>ค่าไฟ</t>
        </is>
      </c>
      <c r="T3" s="10" t="inlineStr">
        <is>
          <t>ค่าบริการไฟ</t>
        </is>
      </c>
      <c r="U3" s="10" t="inlineStr">
        <is>
          <t>ค่าบริการไฟ(M)</t>
        </is>
      </c>
      <c r="V3" s="10" t="inlineStr">
        <is>
          <t>ค่าเฟอร์</t>
        </is>
      </c>
      <c r="W3" s="10" t="inlineStr">
        <is>
          <t>อื่นๆ</t>
        </is>
      </c>
      <c r="X3" s="10" t="inlineStr">
        <is>
          <t>รวมเงิน</t>
        </is>
      </c>
      <c r="Y3" s="10" t="inlineStr">
        <is>
          <t>หมายเหตุ</t>
        </is>
      </c>
      <c r="Z3" s="10" t="inlineStr">
        <is>
          <t>ตรวจสอบ</t>
        </is>
      </c>
    </row>
    <row r="4" ht="17" customHeight="1">
      <c r="A4" s="22" t="inlineStr">
        <is>
          <t>3501</t>
        </is>
      </c>
      <c r="B4" s="48" t="inlineStr">
        <is>
          <t>ACC005</t>
        </is>
      </c>
      <c r="C4" s="48" t="inlineStr">
        <is>
          <t>DEFAULT</t>
        </is>
      </c>
      <c r="D4" s="47" t="n"/>
      <c r="E4" s="22">
        <f>IF(OR(D4="",D4=0),"INACTIVE","ACTIVE")</f>
        <v/>
      </c>
      <c r="F4" s="48" t="inlineStr">
        <is>
          <t>NORMAL</t>
        </is>
      </c>
      <c r="G4" s="25" t="n"/>
      <c r="H4" s="25" t="n"/>
      <c r="I4" s="26">
        <f>IF(OR(E4="INACTIVE",H4=""),0,MAX(0,H4-G4))</f>
        <v/>
      </c>
      <c r="J4" s="23" t="n"/>
      <c r="K4" s="26">
        <f>IF(OR(E4="INACTIVE",H4=""),0,IF(AB4="DISABLED",0,IF(AB4="FLAT",AE4,IF(AB4="MANUAL",IF(J4="",0,J4*AC4),IF(AB4="STEP",IF(I4&lt;=AF4,I4*AG4,IF(I4&lt;=AH4,AF4*AG4+(I4-AF4)*AI4,AF4*AG4+(AH4-AF4)*AI4+(I4-AH4)*AK4)),MAX(I4*AC4,AD4))))))</f>
        <v/>
      </c>
      <c r="L4" s="26">
        <f>IF(OR(E4="INACTIVE",H4=""),0,IF(AL4="NONE",0,IF(AL4="FLAT",AM4,IF(AL4="PER_UNIT",I4*AN4,IF(AL4="MANUAL",IF(M4="",0,M4),0)))))</f>
        <v/>
      </c>
      <c r="M4" s="23" t="n"/>
      <c r="N4" s="48" t="inlineStr">
        <is>
          <t>NORMAL</t>
        </is>
      </c>
      <c r="O4" s="25" t="n"/>
      <c r="P4" s="25" t="n"/>
      <c r="Q4" s="26">
        <f>IF(OR(E4="INACTIVE",P4=""),0,MAX(0,P4-O4))</f>
        <v/>
      </c>
      <c r="R4" s="23" t="n"/>
      <c r="S4" s="26">
        <f>IF(OR(E4="INACTIVE",P4=""),0,IF(AO4="DISABLED",0,IF(AO4="FLAT",AR4,IF(AO4="MANUAL",IF(R4="",0,R4*AP4),IF(AO4="STEP",IF(Q4&lt;=AS4,Q4*AT4,IF(Q4&lt;=AU4,AS4*AT4+(Q4-AS4)*AV4,AS4*AT4+(AU4-AS4)*AV4+(Q4-AU4)*AX4)),MAX(Q4*AP4,AQ4))))))</f>
        <v/>
      </c>
      <c r="T4" s="26">
        <f>IF(OR(E4="INACTIVE",P4=""),0,IF(AY4="NONE",0,IF(AY4="FLAT",AZ4,IF(AY4="PER_UNIT",Q4*BA4,IF(AY4="MANUAL",IF(U4="",0,U4),0)))))</f>
        <v/>
      </c>
      <c r="U4" s="23" t="n"/>
      <c r="V4" s="25" t="n"/>
      <c r="W4" s="25" t="n"/>
      <c r="X4" s="26">
        <f>IF(E4="INACTIVE",0,D4+K4+L4+S4+T4+IF(V4="",0,V4)+IF(W4="",0,W4))</f>
        <v/>
      </c>
      <c r="Y4" s="27" t="n"/>
      <c r="Z4" s="28">
        <f>IF(E4="INACTIVE","_",IF(AND(G4&gt;0,H4&gt;0,H4&lt;G4),"[!]น้ำ reset ","")&amp;IF(AND(O4&gt;0,P4&gt;0,P4&lt;O4),"[!]ไฟ reset ","")&amp;IF(AND(F4="MANUAL",J4=""),"[X]units น้ำ ","")&amp;IF(AND(N4="MANUAL",R4=""),"[X]units ไฟ ","")&amp;IF(D4=0,"[!]ค่าเช่า=0",""))</f>
        <v/>
      </c>
      <c r="AA4" s="29">
        <f>IF(C4&lt;&gt;"",C4,CONFIG!$B$6)</f>
        <v/>
      </c>
      <c r="AB4" s="29">
        <f>IF(F4&lt;&gt;"",F4,IFERROR(VLOOKUP(AA4,RULES!$A:$C,3,0),CONFIG!$B$7))</f>
        <v/>
      </c>
      <c r="AC4" s="29">
        <f>IF(IFERROR(VLOOKUP(AA4,RULES!$A:$D,4,0),"")="",CONFIG!$B$10,VLOOKUP(AA4,RULES!$A:$D,4,0))</f>
        <v/>
      </c>
      <c r="AD4" s="29">
        <f>IF(IFERROR(VLOOKUP(AA4,RULES!$A:$E,5,0),"")="",CONFIG!$B$11,VLOOKUP(AA4,RULES!$A:$E,5,0))</f>
        <v/>
      </c>
      <c r="AE4" s="29">
        <f>IFERROR(VLOOKUP(AA4,RULES!$A:$F,6,0)*1,0)</f>
        <v/>
      </c>
      <c r="AF4" s="29">
        <f>IFERROR(VLOOKUP(AA4,RULES!$A:$G,7,0)*1,0)</f>
        <v/>
      </c>
      <c r="AG4" s="29">
        <f>IFERROR(VLOOKUP(AA4,RULES!$A:$H,8,0)*1,0)</f>
        <v/>
      </c>
      <c r="AH4" s="29">
        <f>IFERROR(VLOOKUP(AA4,RULES!$A:$I,9,0)*1,0)</f>
        <v/>
      </c>
      <c r="AI4" s="29">
        <f>IFERROR(VLOOKUP(AA4,RULES!$A:$J,10,0)*1,0)</f>
        <v/>
      </c>
      <c r="AJ4" s="29">
        <f>IFERROR(IF(VLOOKUP(AA4,RULES!$A:$K,11,0)="",999999,VLOOKUP(AA4,RULES!$A:$K,11,0)*1),999999)</f>
        <v/>
      </c>
      <c r="AK4" s="29">
        <f>IFERROR(VLOOKUP(AA4,RULES!$A:$L,12,0)*1,0)</f>
        <v/>
      </c>
      <c r="AL4" s="29">
        <f>IFERROR(VLOOKUP(AA4,RULES!$A:$M,13,0),"NONE")</f>
        <v/>
      </c>
      <c r="AM4" s="29">
        <f>IFERROR(VLOOKUP(AA4,RULES!$A:$N,14,0)*1,0)</f>
        <v/>
      </c>
      <c r="AN4" s="29">
        <f>IFERROR(VLOOKUP(AA4,RULES!$A:$O,15,0)*1,0)</f>
        <v/>
      </c>
      <c r="AO4" s="29">
        <f>IF(N4&lt;&gt;"",N4,IFERROR(VLOOKUP(AA4,RULES!$A:$P,16,0),CONFIG!$B$8))</f>
        <v/>
      </c>
      <c r="AP4" s="29">
        <f>IF(IFERROR(VLOOKUP(AA4,RULES!$A:$Q,17,0),"")="",CONFIG!$B$13,VLOOKUP(AA4,RULES!$A:$Q,17,0))</f>
        <v/>
      </c>
      <c r="AQ4" s="29">
        <f>IF(IFERROR(VLOOKUP(AA4,RULES!$A:$R,18,0),"")="",CONFIG!$B$14,VLOOKUP(AA4,RULES!$A:$R,18,0))</f>
        <v/>
      </c>
      <c r="AR4" s="29">
        <f>IFERROR(VLOOKUP(AA4,RULES!$A:$S,19,0)*1,0)</f>
        <v/>
      </c>
      <c r="AS4" s="29">
        <f>IFERROR(VLOOKUP(AA4,RULES!$A:$T,20,0)*1,0)</f>
        <v/>
      </c>
      <c r="AT4" s="29">
        <f>IFERROR(VLOOKUP(AA4,RULES!$A:$U,21,0)*1,0)</f>
        <v/>
      </c>
      <c r="AU4" s="29">
        <f>IFERROR(VLOOKUP(AA4,RULES!$A:$V,22,0)*1,0)</f>
        <v/>
      </c>
      <c r="AV4" s="29">
        <f>IFERROR(VLOOKUP(AA4,RULES!$A:$W,23,0)*1,0)</f>
        <v/>
      </c>
      <c r="AW4" s="29">
        <f>IFERROR(IF(VLOOKUP(AA4,RULES!$A:$X,24,0)="",999999,VLOOKUP(AA4,RULES!$A:$X,24,0)*1),999999)</f>
        <v/>
      </c>
      <c r="AX4" s="29">
        <f>IFERROR(VLOOKUP(AA4,RULES!$A:$Y,25,0)*1,0)</f>
        <v/>
      </c>
      <c r="AY4" s="29">
        <f>IFERROR(VLOOKUP(AA4,RULES!$A:$Z,26,0),"NONE")</f>
        <v/>
      </c>
      <c r="AZ4" s="29">
        <f>IFERROR(VLOOKUP(AA4,RULES!$A:$AA,27,0)*1,0)</f>
        <v/>
      </c>
      <c r="BA4" s="29">
        <f>IFERROR(VLOOKUP(AA4,RULES!$A:$AB,28,0)*1,0)</f>
        <v/>
      </c>
    </row>
    <row r="5" ht="17" customHeight="1">
      <c r="A5" s="22" t="inlineStr">
        <is>
          <t>3502</t>
        </is>
      </c>
      <c r="B5" s="48" t="inlineStr">
        <is>
          <t>ACC005</t>
        </is>
      </c>
      <c r="C5" s="48" t="inlineStr">
        <is>
          <t>DEFAULT</t>
        </is>
      </c>
      <c r="D5" s="47" t="n"/>
      <c r="E5" s="22">
        <f>IF(OR(D5="",D5=0),"INACTIVE","ACTIVE")</f>
        <v/>
      </c>
      <c r="F5" s="48" t="inlineStr">
        <is>
          <t>NORMAL</t>
        </is>
      </c>
      <c r="G5" s="25" t="n"/>
      <c r="H5" s="25" t="n"/>
      <c r="I5" s="26">
        <f>IF(OR(E5="INACTIVE",H5=""),0,MAX(0,H5-G5))</f>
        <v/>
      </c>
      <c r="J5" s="23" t="n"/>
      <c r="K5" s="26">
        <f>IF(OR(E5="INACTIVE",H5=""),0,IF(AB5="DISABLED",0,IF(AB5="FLAT",AE5,IF(AB5="MANUAL",IF(J5="",0,J5*AC5),IF(AB5="STEP",IF(I5&lt;=AF5,I5*AG5,IF(I5&lt;=AH5,AF5*AG5+(I5-AF5)*AI5,AF5*AG5+(AH5-AF5)*AI5+(I5-AH5)*AK5)),MAX(I5*AC5,AD5))))))</f>
        <v/>
      </c>
      <c r="L5" s="26">
        <f>IF(OR(E5="INACTIVE",H5=""),0,IF(AL5="NONE",0,IF(AL5="FLAT",AM5,IF(AL5="PER_UNIT",I5*AN5,IF(AL5="MANUAL",IF(M5="",0,M5),0)))))</f>
        <v/>
      </c>
      <c r="M5" s="23" t="n"/>
      <c r="N5" s="48" t="inlineStr">
        <is>
          <t>NORMAL</t>
        </is>
      </c>
      <c r="O5" s="25" t="n"/>
      <c r="P5" s="25" t="n"/>
      <c r="Q5" s="26">
        <f>IF(OR(E5="INACTIVE",P5=""),0,MAX(0,P5-O5))</f>
        <v/>
      </c>
      <c r="R5" s="23" t="n"/>
      <c r="S5" s="26">
        <f>IF(OR(E5="INACTIVE",P5=""),0,IF(AO5="DISABLED",0,IF(AO5="FLAT",AR5,IF(AO5="MANUAL",IF(R5="",0,R5*AP5),IF(AO5="STEP",IF(Q5&lt;=AS5,Q5*AT5,IF(Q5&lt;=AU5,AS5*AT5+(Q5-AS5)*AV5,AS5*AT5+(AU5-AS5)*AV5+(Q5-AU5)*AX5)),MAX(Q5*AP5,AQ5))))))</f>
        <v/>
      </c>
      <c r="T5" s="26">
        <f>IF(OR(E5="INACTIVE",P5=""),0,IF(AY5="NONE",0,IF(AY5="FLAT",AZ5,IF(AY5="PER_UNIT",Q5*BA5,IF(AY5="MANUAL",IF(U5="",0,U5),0)))))</f>
        <v/>
      </c>
      <c r="U5" s="23" t="n"/>
      <c r="V5" s="25" t="n"/>
      <c r="W5" s="25" t="n"/>
      <c r="X5" s="26">
        <f>IF(E5="INACTIVE",0,D5+K5+L5+S5+T5+IF(V5="",0,V5)+IF(W5="",0,W5))</f>
        <v/>
      </c>
      <c r="Y5" s="27" t="n"/>
      <c r="Z5" s="28">
        <f>IF(E5="INACTIVE","_",IF(AND(G5&gt;0,H5&gt;0,H5&lt;G5),"[!]น้ำ reset ","")&amp;IF(AND(O5&gt;0,P5&gt;0,P5&lt;O5),"[!]ไฟ reset ","")&amp;IF(AND(F5="MANUAL",J5=""),"[X]units น้ำ ","")&amp;IF(AND(N5="MANUAL",R5=""),"[X]units ไฟ ","")&amp;IF(D5=0,"[!]ค่าเช่า=0",""))</f>
        <v/>
      </c>
      <c r="AA5" s="29">
        <f>IF(C5&lt;&gt;"",C5,CONFIG!$B$6)</f>
        <v/>
      </c>
      <c r="AB5" s="29">
        <f>IF(F5&lt;&gt;"",F5,IFERROR(VLOOKUP(AA5,RULES!$A:$C,3,0),CONFIG!$B$7))</f>
        <v/>
      </c>
      <c r="AC5" s="29">
        <f>IF(IFERROR(VLOOKUP(AA5,RULES!$A:$D,4,0),"")="",CONFIG!$B$10,VLOOKUP(AA5,RULES!$A:$D,4,0))</f>
        <v/>
      </c>
      <c r="AD5" s="29">
        <f>IF(IFERROR(VLOOKUP(AA5,RULES!$A:$E,5,0),"")="",CONFIG!$B$11,VLOOKUP(AA5,RULES!$A:$E,5,0))</f>
        <v/>
      </c>
      <c r="AE5" s="29">
        <f>IFERROR(VLOOKUP(AA5,RULES!$A:$F,6,0)*1,0)</f>
        <v/>
      </c>
      <c r="AF5" s="29">
        <f>IFERROR(VLOOKUP(AA5,RULES!$A:$G,7,0)*1,0)</f>
        <v/>
      </c>
      <c r="AG5" s="29">
        <f>IFERROR(VLOOKUP(AA5,RULES!$A:$H,8,0)*1,0)</f>
        <v/>
      </c>
      <c r="AH5" s="29">
        <f>IFERROR(VLOOKUP(AA5,RULES!$A:$I,9,0)*1,0)</f>
        <v/>
      </c>
      <c r="AI5" s="29">
        <f>IFERROR(VLOOKUP(AA5,RULES!$A:$J,10,0)*1,0)</f>
        <v/>
      </c>
      <c r="AJ5" s="29">
        <f>IFERROR(IF(VLOOKUP(AA5,RULES!$A:$K,11,0)="",999999,VLOOKUP(AA5,RULES!$A:$K,11,0)*1),999999)</f>
        <v/>
      </c>
      <c r="AK5" s="29">
        <f>IFERROR(VLOOKUP(AA5,RULES!$A:$L,12,0)*1,0)</f>
        <v/>
      </c>
      <c r="AL5" s="29">
        <f>IFERROR(VLOOKUP(AA5,RULES!$A:$M,13,0),"NONE")</f>
        <v/>
      </c>
      <c r="AM5" s="29">
        <f>IFERROR(VLOOKUP(AA5,RULES!$A:$N,14,0)*1,0)</f>
        <v/>
      </c>
      <c r="AN5" s="29">
        <f>IFERROR(VLOOKUP(AA5,RULES!$A:$O,15,0)*1,0)</f>
        <v/>
      </c>
      <c r="AO5" s="29">
        <f>IF(N5&lt;&gt;"",N5,IFERROR(VLOOKUP(AA5,RULES!$A:$P,16,0),CONFIG!$B$8))</f>
        <v/>
      </c>
      <c r="AP5" s="29">
        <f>IF(IFERROR(VLOOKUP(AA5,RULES!$A:$Q,17,0),"")="",CONFIG!$B$13,VLOOKUP(AA5,RULES!$A:$Q,17,0))</f>
        <v/>
      </c>
      <c r="AQ5" s="29">
        <f>IF(IFERROR(VLOOKUP(AA5,RULES!$A:$R,18,0),"")="",CONFIG!$B$14,VLOOKUP(AA5,RULES!$A:$R,18,0))</f>
        <v/>
      </c>
      <c r="AR5" s="29">
        <f>IFERROR(VLOOKUP(AA5,RULES!$A:$S,19,0)*1,0)</f>
        <v/>
      </c>
      <c r="AS5" s="29">
        <f>IFERROR(VLOOKUP(AA5,RULES!$A:$T,20,0)*1,0)</f>
        <v/>
      </c>
      <c r="AT5" s="29">
        <f>IFERROR(VLOOKUP(AA5,RULES!$A:$U,21,0)*1,0)</f>
        <v/>
      </c>
      <c r="AU5" s="29">
        <f>IFERROR(VLOOKUP(AA5,RULES!$A:$V,22,0)*1,0)</f>
        <v/>
      </c>
      <c r="AV5" s="29">
        <f>IFERROR(VLOOKUP(AA5,RULES!$A:$W,23,0)*1,0)</f>
        <v/>
      </c>
      <c r="AW5" s="29">
        <f>IFERROR(IF(VLOOKUP(AA5,RULES!$A:$X,24,0)="",999999,VLOOKUP(AA5,RULES!$A:$X,24,0)*1),999999)</f>
        <v/>
      </c>
      <c r="AX5" s="29">
        <f>IFERROR(VLOOKUP(AA5,RULES!$A:$Y,25,0)*1,0)</f>
        <v/>
      </c>
      <c r="AY5" s="29">
        <f>IFERROR(VLOOKUP(AA5,RULES!$A:$Z,26,0),"NONE")</f>
        <v/>
      </c>
      <c r="AZ5" s="29">
        <f>IFERROR(VLOOKUP(AA5,RULES!$A:$AA,27,0)*1,0)</f>
        <v/>
      </c>
      <c r="BA5" s="29">
        <f>IFERROR(VLOOKUP(AA5,RULES!$A:$AB,28,0)*1,0)</f>
        <v/>
      </c>
    </row>
    <row r="6" ht="17" customHeight="1">
      <c r="A6" s="22" t="inlineStr">
        <is>
          <t>3503</t>
        </is>
      </c>
      <c r="B6" s="48" t="inlineStr">
        <is>
          <t>ACC005</t>
        </is>
      </c>
      <c r="C6" s="48" t="inlineStr">
        <is>
          <t>DEFAULT</t>
        </is>
      </c>
      <c r="D6" s="47" t="n"/>
      <c r="E6" s="22">
        <f>IF(OR(D6="",D6=0),"INACTIVE","ACTIVE")</f>
        <v/>
      </c>
      <c r="F6" s="48" t="inlineStr">
        <is>
          <t>NORMAL</t>
        </is>
      </c>
      <c r="G6" s="25" t="n"/>
      <c r="H6" s="25" t="n"/>
      <c r="I6" s="26">
        <f>IF(OR(E6="INACTIVE",H6=""),0,MAX(0,H6-G6))</f>
        <v/>
      </c>
      <c r="J6" s="23" t="n"/>
      <c r="K6" s="26">
        <f>IF(OR(E6="INACTIVE",H6=""),0,IF(AB6="DISABLED",0,IF(AB6="FLAT",AE6,IF(AB6="MANUAL",IF(J6="",0,J6*AC6),IF(AB6="STEP",IF(I6&lt;=AF6,I6*AG6,IF(I6&lt;=AH6,AF6*AG6+(I6-AF6)*AI6,AF6*AG6+(AH6-AF6)*AI6+(I6-AH6)*AK6)),MAX(I6*AC6,AD6))))))</f>
        <v/>
      </c>
      <c r="L6" s="26">
        <f>IF(OR(E6="INACTIVE",H6=""),0,IF(AL6="NONE",0,IF(AL6="FLAT",AM6,IF(AL6="PER_UNIT",I6*AN6,IF(AL6="MANUAL",IF(M6="",0,M6),0)))))</f>
        <v/>
      </c>
      <c r="M6" s="23" t="n"/>
      <c r="N6" s="48" t="inlineStr">
        <is>
          <t>NORMAL</t>
        </is>
      </c>
      <c r="O6" s="25" t="n"/>
      <c r="P6" s="25" t="n"/>
      <c r="Q6" s="26">
        <f>IF(OR(E6="INACTIVE",P6=""),0,MAX(0,P6-O6))</f>
        <v/>
      </c>
      <c r="R6" s="23" t="n"/>
      <c r="S6" s="26">
        <f>IF(OR(E6="INACTIVE",P6=""),0,IF(AO6="DISABLED",0,IF(AO6="FLAT",AR6,IF(AO6="MANUAL",IF(R6="",0,R6*AP6),IF(AO6="STEP",IF(Q6&lt;=AS6,Q6*AT6,IF(Q6&lt;=AU6,AS6*AT6+(Q6-AS6)*AV6,AS6*AT6+(AU6-AS6)*AV6+(Q6-AU6)*AX6)),MAX(Q6*AP6,AQ6))))))</f>
        <v/>
      </c>
      <c r="T6" s="26">
        <f>IF(OR(E6="INACTIVE",P6=""),0,IF(AY6="NONE",0,IF(AY6="FLAT",AZ6,IF(AY6="PER_UNIT",Q6*BA6,IF(AY6="MANUAL",IF(U6="",0,U6),0)))))</f>
        <v/>
      </c>
      <c r="U6" s="23" t="n"/>
      <c r="V6" s="25" t="n"/>
      <c r="W6" s="25" t="n"/>
      <c r="X6" s="26">
        <f>IF(E6="INACTIVE",0,D6+K6+L6+S6+T6+IF(V6="",0,V6)+IF(W6="",0,W6))</f>
        <v/>
      </c>
      <c r="Y6" s="27" t="n"/>
      <c r="Z6" s="28">
        <f>IF(E6="INACTIVE","_",IF(AND(G6&gt;0,H6&gt;0,H6&lt;G6),"[!]น้ำ reset ","")&amp;IF(AND(O6&gt;0,P6&gt;0,P6&lt;O6),"[!]ไฟ reset ","")&amp;IF(AND(F6="MANUAL",J6=""),"[X]units น้ำ ","")&amp;IF(AND(N6="MANUAL",R6=""),"[X]units ไฟ ","")&amp;IF(D6=0,"[!]ค่าเช่า=0",""))</f>
        <v/>
      </c>
      <c r="AA6" s="29">
        <f>IF(C6&lt;&gt;"",C6,CONFIG!$B$6)</f>
        <v/>
      </c>
      <c r="AB6" s="29">
        <f>IF(F6&lt;&gt;"",F6,IFERROR(VLOOKUP(AA6,RULES!$A:$C,3,0),CONFIG!$B$7))</f>
        <v/>
      </c>
      <c r="AC6" s="29">
        <f>IF(IFERROR(VLOOKUP(AA6,RULES!$A:$D,4,0),"")="",CONFIG!$B$10,VLOOKUP(AA6,RULES!$A:$D,4,0))</f>
        <v/>
      </c>
      <c r="AD6" s="29">
        <f>IF(IFERROR(VLOOKUP(AA6,RULES!$A:$E,5,0),"")="",CONFIG!$B$11,VLOOKUP(AA6,RULES!$A:$E,5,0))</f>
        <v/>
      </c>
      <c r="AE6" s="29">
        <f>IFERROR(VLOOKUP(AA6,RULES!$A:$F,6,0)*1,0)</f>
        <v/>
      </c>
      <c r="AF6" s="29">
        <f>IFERROR(VLOOKUP(AA6,RULES!$A:$G,7,0)*1,0)</f>
        <v/>
      </c>
      <c r="AG6" s="29">
        <f>IFERROR(VLOOKUP(AA6,RULES!$A:$H,8,0)*1,0)</f>
        <v/>
      </c>
      <c r="AH6" s="29">
        <f>IFERROR(VLOOKUP(AA6,RULES!$A:$I,9,0)*1,0)</f>
        <v/>
      </c>
      <c r="AI6" s="29">
        <f>IFERROR(VLOOKUP(AA6,RULES!$A:$J,10,0)*1,0)</f>
        <v/>
      </c>
      <c r="AJ6" s="29">
        <f>IFERROR(IF(VLOOKUP(AA6,RULES!$A:$K,11,0)="",999999,VLOOKUP(AA6,RULES!$A:$K,11,0)*1),999999)</f>
        <v/>
      </c>
      <c r="AK6" s="29">
        <f>IFERROR(VLOOKUP(AA6,RULES!$A:$L,12,0)*1,0)</f>
        <v/>
      </c>
      <c r="AL6" s="29">
        <f>IFERROR(VLOOKUP(AA6,RULES!$A:$M,13,0),"NONE")</f>
        <v/>
      </c>
      <c r="AM6" s="29">
        <f>IFERROR(VLOOKUP(AA6,RULES!$A:$N,14,0)*1,0)</f>
        <v/>
      </c>
      <c r="AN6" s="29">
        <f>IFERROR(VLOOKUP(AA6,RULES!$A:$O,15,0)*1,0)</f>
        <v/>
      </c>
      <c r="AO6" s="29">
        <f>IF(N6&lt;&gt;"",N6,IFERROR(VLOOKUP(AA6,RULES!$A:$P,16,0),CONFIG!$B$8))</f>
        <v/>
      </c>
      <c r="AP6" s="29">
        <f>IF(IFERROR(VLOOKUP(AA6,RULES!$A:$Q,17,0),"")="",CONFIG!$B$13,VLOOKUP(AA6,RULES!$A:$Q,17,0))</f>
        <v/>
      </c>
      <c r="AQ6" s="29">
        <f>IF(IFERROR(VLOOKUP(AA6,RULES!$A:$R,18,0),"")="",CONFIG!$B$14,VLOOKUP(AA6,RULES!$A:$R,18,0))</f>
        <v/>
      </c>
      <c r="AR6" s="29">
        <f>IFERROR(VLOOKUP(AA6,RULES!$A:$S,19,0)*1,0)</f>
        <v/>
      </c>
      <c r="AS6" s="29">
        <f>IFERROR(VLOOKUP(AA6,RULES!$A:$T,20,0)*1,0)</f>
        <v/>
      </c>
      <c r="AT6" s="29">
        <f>IFERROR(VLOOKUP(AA6,RULES!$A:$U,21,0)*1,0)</f>
        <v/>
      </c>
      <c r="AU6" s="29">
        <f>IFERROR(VLOOKUP(AA6,RULES!$A:$V,22,0)*1,0)</f>
        <v/>
      </c>
      <c r="AV6" s="29">
        <f>IFERROR(VLOOKUP(AA6,RULES!$A:$W,23,0)*1,0)</f>
        <v/>
      </c>
      <c r="AW6" s="29">
        <f>IFERROR(IF(VLOOKUP(AA6,RULES!$A:$X,24,0)="",999999,VLOOKUP(AA6,RULES!$A:$X,24,0)*1),999999)</f>
        <v/>
      </c>
      <c r="AX6" s="29">
        <f>IFERROR(VLOOKUP(AA6,RULES!$A:$Y,25,0)*1,0)</f>
        <v/>
      </c>
      <c r="AY6" s="29">
        <f>IFERROR(VLOOKUP(AA6,RULES!$A:$Z,26,0),"NONE")</f>
        <v/>
      </c>
      <c r="AZ6" s="29">
        <f>IFERROR(VLOOKUP(AA6,RULES!$A:$AA,27,0)*1,0)</f>
        <v/>
      </c>
      <c r="BA6" s="29">
        <f>IFERROR(VLOOKUP(AA6,RULES!$A:$AB,28,0)*1,0)</f>
        <v/>
      </c>
    </row>
    <row r="7" ht="17" customHeight="1">
      <c r="A7" s="22" t="inlineStr">
        <is>
          <t>3504</t>
        </is>
      </c>
      <c r="B7" s="48" t="inlineStr">
        <is>
          <t>ACC005</t>
        </is>
      </c>
      <c r="C7" s="48" t="inlineStr">
        <is>
          <t>DEFAULT</t>
        </is>
      </c>
      <c r="D7" s="47" t="n"/>
      <c r="E7" s="22">
        <f>IF(OR(D7="",D7=0),"INACTIVE","ACTIVE")</f>
        <v/>
      </c>
      <c r="F7" s="48" t="inlineStr">
        <is>
          <t>NORMAL</t>
        </is>
      </c>
      <c r="G7" s="25" t="n"/>
      <c r="H7" s="25" t="n"/>
      <c r="I7" s="26">
        <f>IF(OR(E7="INACTIVE",H7=""),0,MAX(0,H7-G7))</f>
        <v/>
      </c>
      <c r="J7" s="23" t="n"/>
      <c r="K7" s="26">
        <f>IF(OR(E7="INACTIVE",H7=""),0,IF(AB7="DISABLED",0,IF(AB7="FLAT",AE7,IF(AB7="MANUAL",IF(J7="",0,J7*AC7),IF(AB7="STEP",IF(I7&lt;=AF7,I7*AG7,IF(I7&lt;=AH7,AF7*AG7+(I7-AF7)*AI7,AF7*AG7+(AH7-AF7)*AI7+(I7-AH7)*AK7)),MAX(I7*AC7,AD7))))))</f>
        <v/>
      </c>
      <c r="L7" s="26">
        <f>IF(OR(E7="INACTIVE",H7=""),0,IF(AL7="NONE",0,IF(AL7="FLAT",AM7,IF(AL7="PER_UNIT",I7*AN7,IF(AL7="MANUAL",IF(M7="",0,M7),0)))))</f>
        <v/>
      </c>
      <c r="M7" s="23" t="n"/>
      <c r="N7" s="48" t="inlineStr">
        <is>
          <t>NORMAL</t>
        </is>
      </c>
      <c r="O7" s="25" t="n"/>
      <c r="P7" s="25" t="n"/>
      <c r="Q7" s="26">
        <f>IF(OR(E7="INACTIVE",P7=""),0,MAX(0,P7-O7))</f>
        <v/>
      </c>
      <c r="R7" s="23" t="n"/>
      <c r="S7" s="26">
        <f>IF(OR(E7="INACTIVE",P7=""),0,IF(AO7="DISABLED",0,IF(AO7="FLAT",AR7,IF(AO7="MANUAL",IF(R7="",0,R7*AP7),IF(AO7="STEP",IF(Q7&lt;=AS7,Q7*AT7,IF(Q7&lt;=AU7,AS7*AT7+(Q7-AS7)*AV7,AS7*AT7+(AU7-AS7)*AV7+(Q7-AU7)*AX7)),MAX(Q7*AP7,AQ7))))))</f>
        <v/>
      </c>
      <c r="T7" s="26">
        <f>IF(OR(E7="INACTIVE",P7=""),0,IF(AY7="NONE",0,IF(AY7="FLAT",AZ7,IF(AY7="PER_UNIT",Q7*BA7,IF(AY7="MANUAL",IF(U7="",0,U7),0)))))</f>
        <v/>
      </c>
      <c r="U7" s="23" t="n"/>
      <c r="V7" s="25" t="n"/>
      <c r="W7" s="25" t="n"/>
      <c r="X7" s="26">
        <f>IF(E7="INACTIVE",0,D7+K7+L7+S7+T7+IF(V7="",0,V7)+IF(W7="",0,W7))</f>
        <v/>
      </c>
      <c r="Y7" s="27" t="n"/>
      <c r="Z7" s="28">
        <f>IF(E7="INACTIVE","_",IF(AND(G7&gt;0,H7&gt;0,H7&lt;G7),"[!]น้ำ reset ","")&amp;IF(AND(O7&gt;0,P7&gt;0,P7&lt;O7),"[!]ไฟ reset ","")&amp;IF(AND(F7="MANUAL",J7=""),"[X]units น้ำ ","")&amp;IF(AND(N7="MANUAL",R7=""),"[X]units ไฟ ","")&amp;IF(D7=0,"[!]ค่าเช่า=0",""))</f>
        <v/>
      </c>
      <c r="AA7" s="29">
        <f>IF(C7&lt;&gt;"",C7,CONFIG!$B$6)</f>
        <v/>
      </c>
      <c r="AB7" s="29">
        <f>IF(F7&lt;&gt;"",F7,IFERROR(VLOOKUP(AA7,RULES!$A:$C,3,0),CONFIG!$B$7))</f>
        <v/>
      </c>
      <c r="AC7" s="29">
        <f>IF(IFERROR(VLOOKUP(AA7,RULES!$A:$D,4,0),"")="",CONFIG!$B$10,VLOOKUP(AA7,RULES!$A:$D,4,0))</f>
        <v/>
      </c>
      <c r="AD7" s="29">
        <f>IF(IFERROR(VLOOKUP(AA7,RULES!$A:$E,5,0),"")="",CONFIG!$B$11,VLOOKUP(AA7,RULES!$A:$E,5,0))</f>
        <v/>
      </c>
      <c r="AE7" s="29">
        <f>IFERROR(VLOOKUP(AA7,RULES!$A:$F,6,0)*1,0)</f>
        <v/>
      </c>
      <c r="AF7" s="29">
        <f>IFERROR(VLOOKUP(AA7,RULES!$A:$G,7,0)*1,0)</f>
        <v/>
      </c>
      <c r="AG7" s="29">
        <f>IFERROR(VLOOKUP(AA7,RULES!$A:$H,8,0)*1,0)</f>
        <v/>
      </c>
      <c r="AH7" s="29">
        <f>IFERROR(VLOOKUP(AA7,RULES!$A:$I,9,0)*1,0)</f>
        <v/>
      </c>
      <c r="AI7" s="29">
        <f>IFERROR(VLOOKUP(AA7,RULES!$A:$J,10,0)*1,0)</f>
        <v/>
      </c>
      <c r="AJ7" s="29">
        <f>IFERROR(IF(VLOOKUP(AA7,RULES!$A:$K,11,0)="",999999,VLOOKUP(AA7,RULES!$A:$K,11,0)*1),999999)</f>
        <v/>
      </c>
      <c r="AK7" s="29">
        <f>IFERROR(VLOOKUP(AA7,RULES!$A:$L,12,0)*1,0)</f>
        <v/>
      </c>
      <c r="AL7" s="29">
        <f>IFERROR(VLOOKUP(AA7,RULES!$A:$M,13,0),"NONE")</f>
        <v/>
      </c>
      <c r="AM7" s="29">
        <f>IFERROR(VLOOKUP(AA7,RULES!$A:$N,14,0)*1,0)</f>
        <v/>
      </c>
      <c r="AN7" s="29">
        <f>IFERROR(VLOOKUP(AA7,RULES!$A:$O,15,0)*1,0)</f>
        <v/>
      </c>
      <c r="AO7" s="29">
        <f>IF(N7&lt;&gt;"",N7,IFERROR(VLOOKUP(AA7,RULES!$A:$P,16,0),CONFIG!$B$8))</f>
        <v/>
      </c>
      <c r="AP7" s="29">
        <f>IF(IFERROR(VLOOKUP(AA7,RULES!$A:$Q,17,0),"")="",CONFIG!$B$13,VLOOKUP(AA7,RULES!$A:$Q,17,0))</f>
        <v/>
      </c>
      <c r="AQ7" s="29">
        <f>IF(IFERROR(VLOOKUP(AA7,RULES!$A:$R,18,0),"")="",CONFIG!$B$14,VLOOKUP(AA7,RULES!$A:$R,18,0))</f>
        <v/>
      </c>
      <c r="AR7" s="29">
        <f>IFERROR(VLOOKUP(AA7,RULES!$A:$S,19,0)*1,0)</f>
        <v/>
      </c>
      <c r="AS7" s="29">
        <f>IFERROR(VLOOKUP(AA7,RULES!$A:$T,20,0)*1,0)</f>
        <v/>
      </c>
      <c r="AT7" s="29">
        <f>IFERROR(VLOOKUP(AA7,RULES!$A:$U,21,0)*1,0)</f>
        <v/>
      </c>
      <c r="AU7" s="29">
        <f>IFERROR(VLOOKUP(AA7,RULES!$A:$V,22,0)*1,0)</f>
        <v/>
      </c>
      <c r="AV7" s="29">
        <f>IFERROR(VLOOKUP(AA7,RULES!$A:$W,23,0)*1,0)</f>
        <v/>
      </c>
      <c r="AW7" s="29">
        <f>IFERROR(IF(VLOOKUP(AA7,RULES!$A:$X,24,0)="",999999,VLOOKUP(AA7,RULES!$A:$X,24,0)*1),999999)</f>
        <v/>
      </c>
      <c r="AX7" s="29">
        <f>IFERROR(VLOOKUP(AA7,RULES!$A:$Y,25,0)*1,0)</f>
        <v/>
      </c>
      <c r="AY7" s="29">
        <f>IFERROR(VLOOKUP(AA7,RULES!$A:$Z,26,0),"NONE")</f>
        <v/>
      </c>
      <c r="AZ7" s="29">
        <f>IFERROR(VLOOKUP(AA7,RULES!$A:$AA,27,0)*1,0)</f>
        <v/>
      </c>
      <c r="BA7" s="29">
        <f>IFERROR(VLOOKUP(AA7,RULES!$A:$AB,28,0)*1,0)</f>
        <v/>
      </c>
    </row>
    <row r="8" ht="17" customHeight="1">
      <c r="A8" s="22" t="inlineStr">
        <is>
          <t>3505</t>
        </is>
      </c>
      <c r="B8" s="48" t="inlineStr">
        <is>
          <t>ACC005</t>
        </is>
      </c>
      <c r="C8" s="48" t="inlineStr">
        <is>
          <t>DEFAULT</t>
        </is>
      </c>
      <c r="D8" s="47" t="n"/>
      <c r="E8" s="22">
        <f>IF(OR(D8="",D8=0),"INACTIVE","ACTIVE")</f>
        <v/>
      </c>
      <c r="F8" s="48" t="inlineStr">
        <is>
          <t>NORMAL</t>
        </is>
      </c>
      <c r="G8" s="25" t="n"/>
      <c r="H8" s="25" t="n"/>
      <c r="I8" s="26">
        <f>IF(OR(E8="INACTIVE",H8=""),0,MAX(0,H8-G8))</f>
        <v/>
      </c>
      <c r="J8" s="23" t="n"/>
      <c r="K8" s="26">
        <f>IF(OR(E8="INACTIVE",H8=""),0,IF(AB8="DISABLED",0,IF(AB8="FLAT",AE8,IF(AB8="MANUAL",IF(J8="",0,J8*AC8),IF(AB8="STEP",IF(I8&lt;=AF8,I8*AG8,IF(I8&lt;=AH8,AF8*AG8+(I8-AF8)*AI8,AF8*AG8+(AH8-AF8)*AI8+(I8-AH8)*AK8)),MAX(I8*AC8,AD8))))))</f>
        <v/>
      </c>
      <c r="L8" s="26">
        <f>IF(OR(E8="INACTIVE",H8=""),0,IF(AL8="NONE",0,IF(AL8="FLAT",AM8,IF(AL8="PER_UNIT",I8*AN8,IF(AL8="MANUAL",IF(M8="",0,M8),0)))))</f>
        <v/>
      </c>
      <c r="M8" s="23" t="n"/>
      <c r="N8" s="48" t="inlineStr">
        <is>
          <t>NORMAL</t>
        </is>
      </c>
      <c r="O8" s="25" t="n"/>
      <c r="P8" s="25" t="n"/>
      <c r="Q8" s="26">
        <f>IF(OR(E8="INACTIVE",P8=""),0,MAX(0,P8-O8))</f>
        <v/>
      </c>
      <c r="R8" s="23" t="n"/>
      <c r="S8" s="26">
        <f>IF(OR(E8="INACTIVE",P8=""),0,IF(AO8="DISABLED",0,IF(AO8="FLAT",AR8,IF(AO8="MANUAL",IF(R8="",0,R8*AP8),IF(AO8="STEP",IF(Q8&lt;=AS8,Q8*AT8,IF(Q8&lt;=AU8,AS8*AT8+(Q8-AS8)*AV8,AS8*AT8+(AU8-AS8)*AV8+(Q8-AU8)*AX8)),MAX(Q8*AP8,AQ8))))))</f>
        <v/>
      </c>
      <c r="T8" s="26">
        <f>IF(OR(E8="INACTIVE",P8=""),0,IF(AY8="NONE",0,IF(AY8="FLAT",AZ8,IF(AY8="PER_UNIT",Q8*BA8,IF(AY8="MANUAL",IF(U8="",0,U8),0)))))</f>
        <v/>
      </c>
      <c r="U8" s="23" t="n"/>
      <c r="V8" s="25" t="n"/>
      <c r="W8" s="25" t="n"/>
      <c r="X8" s="26">
        <f>IF(E8="INACTIVE",0,D8+K8+L8+S8+T8+IF(V8="",0,V8)+IF(W8="",0,W8))</f>
        <v/>
      </c>
      <c r="Y8" s="27" t="n"/>
      <c r="Z8" s="28">
        <f>IF(E8="INACTIVE","_",IF(AND(G8&gt;0,H8&gt;0,H8&lt;G8),"[!]น้ำ reset ","")&amp;IF(AND(O8&gt;0,P8&gt;0,P8&lt;O8),"[!]ไฟ reset ","")&amp;IF(AND(F8="MANUAL",J8=""),"[X]units น้ำ ","")&amp;IF(AND(N8="MANUAL",R8=""),"[X]units ไฟ ","")&amp;IF(D8=0,"[!]ค่าเช่า=0",""))</f>
        <v/>
      </c>
      <c r="AA8" s="29">
        <f>IF(C8&lt;&gt;"",C8,CONFIG!$B$6)</f>
        <v/>
      </c>
      <c r="AB8" s="29">
        <f>IF(F8&lt;&gt;"",F8,IFERROR(VLOOKUP(AA8,RULES!$A:$C,3,0),CONFIG!$B$7))</f>
        <v/>
      </c>
      <c r="AC8" s="29">
        <f>IF(IFERROR(VLOOKUP(AA8,RULES!$A:$D,4,0),"")="",CONFIG!$B$10,VLOOKUP(AA8,RULES!$A:$D,4,0))</f>
        <v/>
      </c>
      <c r="AD8" s="29">
        <f>IF(IFERROR(VLOOKUP(AA8,RULES!$A:$E,5,0),"")="",CONFIG!$B$11,VLOOKUP(AA8,RULES!$A:$E,5,0))</f>
        <v/>
      </c>
      <c r="AE8" s="29">
        <f>IFERROR(VLOOKUP(AA8,RULES!$A:$F,6,0)*1,0)</f>
        <v/>
      </c>
      <c r="AF8" s="29">
        <f>IFERROR(VLOOKUP(AA8,RULES!$A:$G,7,0)*1,0)</f>
        <v/>
      </c>
      <c r="AG8" s="29">
        <f>IFERROR(VLOOKUP(AA8,RULES!$A:$H,8,0)*1,0)</f>
        <v/>
      </c>
      <c r="AH8" s="29">
        <f>IFERROR(VLOOKUP(AA8,RULES!$A:$I,9,0)*1,0)</f>
        <v/>
      </c>
      <c r="AI8" s="29">
        <f>IFERROR(VLOOKUP(AA8,RULES!$A:$J,10,0)*1,0)</f>
        <v/>
      </c>
      <c r="AJ8" s="29">
        <f>IFERROR(IF(VLOOKUP(AA8,RULES!$A:$K,11,0)="",999999,VLOOKUP(AA8,RULES!$A:$K,11,0)*1),999999)</f>
        <v/>
      </c>
      <c r="AK8" s="29">
        <f>IFERROR(VLOOKUP(AA8,RULES!$A:$L,12,0)*1,0)</f>
        <v/>
      </c>
      <c r="AL8" s="29">
        <f>IFERROR(VLOOKUP(AA8,RULES!$A:$M,13,0),"NONE")</f>
        <v/>
      </c>
      <c r="AM8" s="29">
        <f>IFERROR(VLOOKUP(AA8,RULES!$A:$N,14,0)*1,0)</f>
        <v/>
      </c>
      <c r="AN8" s="29">
        <f>IFERROR(VLOOKUP(AA8,RULES!$A:$O,15,0)*1,0)</f>
        <v/>
      </c>
      <c r="AO8" s="29">
        <f>IF(N8&lt;&gt;"",N8,IFERROR(VLOOKUP(AA8,RULES!$A:$P,16,0),CONFIG!$B$8))</f>
        <v/>
      </c>
      <c r="AP8" s="29">
        <f>IF(IFERROR(VLOOKUP(AA8,RULES!$A:$Q,17,0),"")="",CONFIG!$B$13,VLOOKUP(AA8,RULES!$A:$Q,17,0))</f>
        <v/>
      </c>
      <c r="AQ8" s="29">
        <f>IF(IFERROR(VLOOKUP(AA8,RULES!$A:$R,18,0),"")="",CONFIG!$B$14,VLOOKUP(AA8,RULES!$A:$R,18,0))</f>
        <v/>
      </c>
      <c r="AR8" s="29">
        <f>IFERROR(VLOOKUP(AA8,RULES!$A:$S,19,0)*1,0)</f>
        <v/>
      </c>
      <c r="AS8" s="29">
        <f>IFERROR(VLOOKUP(AA8,RULES!$A:$T,20,0)*1,0)</f>
        <v/>
      </c>
      <c r="AT8" s="29">
        <f>IFERROR(VLOOKUP(AA8,RULES!$A:$U,21,0)*1,0)</f>
        <v/>
      </c>
      <c r="AU8" s="29">
        <f>IFERROR(VLOOKUP(AA8,RULES!$A:$V,22,0)*1,0)</f>
        <v/>
      </c>
      <c r="AV8" s="29">
        <f>IFERROR(VLOOKUP(AA8,RULES!$A:$W,23,0)*1,0)</f>
        <v/>
      </c>
      <c r="AW8" s="29">
        <f>IFERROR(IF(VLOOKUP(AA8,RULES!$A:$X,24,0)="",999999,VLOOKUP(AA8,RULES!$A:$X,24,0)*1),999999)</f>
        <v/>
      </c>
      <c r="AX8" s="29">
        <f>IFERROR(VLOOKUP(AA8,RULES!$A:$Y,25,0)*1,0)</f>
        <v/>
      </c>
      <c r="AY8" s="29">
        <f>IFERROR(VLOOKUP(AA8,RULES!$A:$Z,26,0),"NONE")</f>
        <v/>
      </c>
      <c r="AZ8" s="29">
        <f>IFERROR(VLOOKUP(AA8,RULES!$A:$AA,27,0)*1,0)</f>
        <v/>
      </c>
      <c r="BA8" s="29">
        <f>IFERROR(VLOOKUP(AA8,RULES!$A:$AB,28,0)*1,0)</f>
        <v/>
      </c>
    </row>
    <row r="9" ht="17" customHeight="1">
      <c r="A9" s="22" t="inlineStr">
        <is>
          <t>3506</t>
        </is>
      </c>
      <c r="B9" s="48" t="inlineStr">
        <is>
          <t>ACC005</t>
        </is>
      </c>
      <c r="C9" s="48" t="inlineStr">
        <is>
          <t>DEFAULT</t>
        </is>
      </c>
      <c r="D9" s="47" t="n"/>
      <c r="E9" s="22">
        <f>IF(OR(D9="",D9=0),"INACTIVE","ACTIVE")</f>
        <v/>
      </c>
      <c r="F9" s="48" t="inlineStr">
        <is>
          <t>NORMAL</t>
        </is>
      </c>
      <c r="G9" s="25" t="n"/>
      <c r="H9" s="25" t="n"/>
      <c r="I9" s="26">
        <f>IF(OR(E9="INACTIVE",H9=""),0,MAX(0,H9-G9))</f>
        <v/>
      </c>
      <c r="J9" s="23" t="n"/>
      <c r="K9" s="26">
        <f>IF(OR(E9="INACTIVE",H9=""),0,IF(AB9="DISABLED",0,IF(AB9="FLAT",AE9,IF(AB9="MANUAL",IF(J9="",0,J9*AC9),IF(AB9="STEP",IF(I9&lt;=AF9,I9*AG9,IF(I9&lt;=AH9,AF9*AG9+(I9-AF9)*AI9,AF9*AG9+(AH9-AF9)*AI9+(I9-AH9)*AK9)),MAX(I9*AC9,AD9))))))</f>
        <v/>
      </c>
      <c r="L9" s="26">
        <f>IF(OR(E9="INACTIVE",H9=""),0,IF(AL9="NONE",0,IF(AL9="FLAT",AM9,IF(AL9="PER_UNIT",I9*AN9,IF(AL9="MANUAL",IF(M9="",0,M9),0)))))</f>
        <v/>
      </c>
      <c r="M9" s="23" t="n"/>
      <c r="N9" s="48" t="inlineStr">
        <is>
          <t>NORMAL</t>
        </is>
      </c>
      <c r="O9" s="25" t="n"/>
      <c r="P9" s="25" t="n"/>
      <c r="Q9" s="26">
        <f>IF(OR(E9="INACTIVE",P9=""),0,MAX(0,P9-O9))</f>
        <v/>
      </c>
      <c r="R9" s="23" t="n"/>
      <c r="S9" s="26">
        <f>IF(OR(E9="INACTIVE",P9=""),0,IF(AO9="DISABLED",0,IF(AO9="FLAT",AR9,IF(AO9="MANUAL",IF(R9="",0,R9*AP9),IF(AO9="STEP",IF(Q9&lt;=AS9,Q9*AT9,IF(Q9&lt;=AU9,AS9*AT9+(Q9-AS9)*AV9,AS9*AT9+(AU9-AS9)*AV9+(Q9-AU9)*AX9)),MAX(Q9*AP9,AQ9))))))</f>
        <v/>
      </c>
      <c r="T9" s="26">
        <f>IF(OR(E9="INACTIVE",P9=""),0,IF(AY9="NONE",0,IF(AY9="FLAT",AZ9,IF(AY9="PER_UNIT",Q9*BA9,IF(AY9="MANUAL",IF(U9="",0,U9),0)))))</f>
        <v/>
      </c>
      <c r="U9" s="23" t="n"/>
      <c r="V9" s="25" t="n"/>
      <c r="W9" s="25" t="n"/>
      <c r="X9" s="26">
        <f>IF(E9="INACTIVE",0,D9+K9+L9+S9+T9+IF(V9="",0,V9)+IF(W9="",0,W9))</f>
        <v/>
      </c>
      <c r="Y9" s="27" t="n"/>
      <c r="Z9" s="28">
        <f>IF(E9="INACTIVE","_",IF(AND(G9&gt;0,H9&gt;0,H9&lt;G9),"[!]น้ำ reset ","")&amp;IF(AND(O9&gt;0,P9&gt;0,P9&lt;O9),"[!]ไฟ reset ","")&amp;IF(AND(F9="MANUAL",J9=""),"[X]units น้ำ ","")&amp;IF(AND(N9="MANUAL",R9=""),"[X]units ไฟ ","")&amp;IF(D9=0,"[!]ค่าเช่า=0",""))</f>
        <v/>
      </c>
      <c r="AA9" s="29">
        <f>IF(C9&lt;&gt;"",C9,CONFIG!$B$6)</f>
        <v/>
      </c>
      <c r="AB9" s="29">
        <f>IF(F9&lt;&gt;"",F9,IFERROR(VLOOKUP(AA9,RULES!$A:$C,3,0),CONFIG!$B$7))</f>
        <v/>
      </c>
      <c r="AC9" s="29">
        <f>IF(IFERROR(VLOOKUP(AA9,RULES!$A:$D,4,0),"")="",CONFIG!$B$10,VLOOKUP(AA9,RULES!$A:$D,4,0))</f>
        <v/>
      </c>
      <c r="AD9" s="29">
        <f>IF(IFERROR(VLOOKUP(AA9,RULES!$A:$E,5,0),"")="",CONFIG!$B$11,VLOOKUP(AA9,RULES!$A:$E,5,0))</f>
        <v/>
      </c>
      <c r="AE9" s="29">
        <f>IFERROR(VLOOKUP(AA9,RULES!$A:$F,6,0)*1,0)</f>
        <v/>
      </c>
      <c r="AF9" s="29">
        <f>IFERROR(VLOOKUP(AA9,RULES!$A:$G,7,0)*1,0)</f>
        <v/>
      </c>
      <c r="AG9" s="29">
        <f>IFERROR(VLOOKUP(AA9,RULES!$A:$H,8,0)*1,0)</f>
        <v/>
      </c>
      <c r="AH9" s="29">
        <f>IFERROR(VLOOKUP(AA9,RULES!$A:$I,9,0)*1,0)</f>
        <v/>
      </c>
      <c r="AI9" s="29">
        <f>IFERROR(VLOOKUP(AA9,RULES!$A:$J,10,0)*1,0)</f>
        <v/>
      </c>
      <c r="AJ9" s="29">
        <f>IFERROR(IF(VLOOKUP(AA9,RULES!$A:$K,11,0)="",999999,VLOOKUP(AA9,RULES!$A:$K,11,0)*1),999999)</f>
        <v/>
      </c>
      <c r="AK9" s="29">
        <f>IFERROR(VLOOKUP(AA9,RULES!$A:$L,12,0)*1,0)</f>
        <v/>
      </c>
      <c r="AL9" s="29">
        <f>IFERROR(VLOOKUP(AA9,RULES!$A:$M,13,0),"NONE")</f>
        <v/>
      </c>
      <c r="AM9" s="29">
        <f>IFERROR(VLOOKUP(AA9,RULES!$A:$N,14,0)*1,0)</f>
        <v/>
      </c>
      <c r="AN9" s="29">
        <f>IFERROR(VLOOKUP(AA9,RULES!$A:$O,15,0)*1,0)</f>
        <v/>
      </c>
      <c r="AO9" s="29">
        <f>IF(N9&lt;&gt;"",N9,IFERROR(VLOOKUP(AA9,RULES!$A:$P,16,0),CONFIG!$B$8))</f>
        <v/>
      </c>
      <c r="AP9" s="29">
        <f>IF(IFERROR(VLOOKUP(AA9,RULES!$A:$Q,17,0),"")="",CONFIG!$B$13,VLOOKUP(AA9,RULES!$A:$Q,17,0))</f>
        <v/>
      </c>
      <c r="AQ9" s="29">
        <f>IF(IFERROR(VLOOKUP(AA9,RULES!$A:$R,18,0),"")="",CONFIG!$B$14,VLOOKUP(AA9,RULES!$A:$R,18,0))</f>
        <v/>
      </c>
      <c r="AR9" s="29">
        <f>IFERROR(VLOOKUP(AA9,RULES!$A:$S,19,0)*1,0)</f>
        <v/>
      </c>
      <c r="AS9" s="29">
        <f>IFERROR(VLOOKUP(AA9,RULES!$A:$T,20,0)*1,0)</f>
        <v/>
      </c>
      <c r="AT9" s="29">
        <f>IFERROR(VLOOKUP(AA9,RULES!$A:$U,21,0)*1,0)</f>
        <v/>
      </c>
      <c r="AU9" s="29">
        <f>IFERROR(VLOOKUP(AA9,RULES!$A:$V,22,0)*1,0)</f>
        <v/>
      </c>
      <c r="AV9" s="29">
        <f>IFERROR(VLOOKUP(AA9,RULES!$A:$W,23,0)*1,0)</f>
        <v/>
      </c>
      <c r="AW9" s="29">
        <f>IFERROR(IF(VLOOKUP(AA9,RULES!$A:$X,24,0)="",999999,VLOOKUP(AA9,RULES!$A:$X,24,0)*1),999999)</f>
        <v/>
      </c>
      <c r="AX9" s="29">
        <f>IFERROR(VLOOKUP(AA9,RULES!$A:$Y,25,0)*1,0)</f>
        <v/>
      </c>
      <c r="AY9" s="29">
        <f>IFERROR(VLOOKUP(AA9,RULES!$A:$Z,26,0),"NONE")</f>
        <v/>
      </c>
      <c r="AZ9" s="29">
        <f>IFERROR(VLOOKUP(AA9,RULES!$A:$AA,27,0)*1,0)</f>
        <v/>
      </c>
      <c r="BA9" s="29">
        <f>IFERROR(VLOOKUP(AA9,RULES!$A:$AB,28,0)*1,0)</f>
        <v/>
      </c>
    </row>
    <row r="10" ht="17" customHeight="1">
      <c r="A10" s="22" t="inlineStr">
        <is>
          <t>3507</t>
        </is>
      </c>
      <c r="B10" s="48" t="inlineStr">
        <is>
          <t>ACC005</t>
        </is>
      </c>
      <c r="C10" s="48" t="inlineStr">
        <is>
          <t>DEFAULT</t>
        </is>
      </c>
      <c r="D10" s="47" t="n"/>
      <c r="E10" s="22">
        <f>IF(OR(D10="",D10=0),"INACTIVE","ACTIVE")</f>
        <v/>
      </c>
      <c r="F10" s="48" t="inlineStr">
        <is>
          <t>NORMAL</t>
        </is>
      </c>
      <c r="G10" s="25" t="n"/>
      <c r="H10" s="25" t="n"/>
      <c r="I10" s="26">
        <f>IF(OR(E10="INACTIVE",H10=""),0,MAX(0,H10-G10))</f>
        <v/>
      </c>
      <c r="J10" s="23" t="n"/>
      <c r="K10" s="26">
        <f>IF(OR(E10="INACTIVE",H10=""),0,IF(AB10="DISABLED",0,IF(AB10="FLAT",AE10,IF(AB10="MANUAL",IF(J10="",0,J10*AC10),IF(AB10="STEP",IF(I10&lt;=AF10,I10*AG10,IF(I10&lt;=AH10,AF10*AG10+(I10-AF10)*AI10,AF10*AG10+(AH10-AF10)*AI10+(I10-AH10)*AK10)),MAX(I10*AC10,AD10))))))</f>
        <v/>
      </c>
      <c r="L10" s="26">
        <f>IF(OR(E10="INACTIVE",H10=""),0,IF(AL10="NONE",0,IF(AL10="FLAT",AM10,IF(AL10="PER_UNIT",I10*AN10,IF(AL10="MANUAL",IF(M10="",0,M10),0)))))</f>
        <v/>
      </c>
      <c r="M10" s="23" t="n"/>
      <c r="N10" s="48" t="inlineStr">
        <is>
          <t>NORMAL</t>
        </is>
      </c>
      <c r="O10" s="25" t="n"/>
      <c r="P10" s="25" t="n"/>
      <c r="Q10" s="26">
        <f>IF(OR(E10="INACTIVE",P10=""),0,MAX(0,P10-O10))</f>
        <v/>
      </c>
      <c r="R10" s="23" t="n"/>
      <c r="S10" s="26">
        <f>IF(OR(E10="INACTIVE",P10=""),0,IF(AO10="DISABLED",0,IF(AO10="FLAT",AR10,IF(AO10="MANUAL",IF(R10="",0,R10*AP10),IF(AO10="STEP",IF(Q10&lt;=AS10,Q10*AT10,IF(Q10&lt;=AU10,AS10*AT10+(Q10-AS10)*AV10,AS10*AT10+(AU10-AS10)*AV10+(Q10-AU10)*AX10)),MAX(Q10*AP10,AQ10))))))</f>
        <v/>
      </c>
      <c r="T10" s="26">
        <f>IF(OR(E10="INACTIVE",P10=""),0,IF(AY10="NONE",0,IF(AY10="FLAT",AZ10,IF(AY10="PER_UNIT",Q10*BA10,IF(AY10="MANUAL",IF(U10="",0,U10),0)))))</f>
        <v/>
      </c>
      <c r="U10" s="23" t="n"/>
      <c r="V10" s="25" t="n"/>
      <c r="W10" s="25" t="n"/>
      <c r="X10" s="26">
        <f>IF(E10="INACTIVE",0,D10+K10+L10+S10+T10+IF(V10="",0,V10)+IF(W10="",0,W10))</f>
        <v/>
      </c>
      <c r="Y10" s="27" t="n"/>
      <c r="Z10" s="28">
        <f>IF(E10="INACTIVE","_",IF(AND(G10&gt;0,H10&gt;0,H10&lt;G10),"[!]น้ำ reset ","")&amp;IF(AND(O10&gt;0,P10&gt;0,P10&lt;O10),"[!]ไฟ reset ","")&amp;IF(AND(F10="MANUAL",J10=""),"[X]units น้ำ ","")&amp;IF(AND(N10="MANUAL",R10=""),"[X]units ไฟ ","")&amp;IF(D10=0,"[!]ค่าเช่า=0",""))</f>
        <v/>
      </c>
      <c r="AA10" s="29">
        <f>IF(C10&lt;&gt;"",C10,CONFIG!$B$6)</f>
        <v/>
      </c>
      <c r="AB10" s="29">
        <f>IF(F10&lt;&gt;"",F10,IFERROR(VLOOKUP(AA10,RULES!$A:$C,3,0),CONFIG!$B$7))</f>
        <v/>
      </c>
      <c r="AC10" s="29">
        <f>IF(IFERROR(VLOOKUP(AA10,RULES!$A:$D,4,0),"")="",CONFIG!$B$10,VLOOKUP(AA10,RULES!$A:$D,4,0))</f>
        <v/>
      </c>
      <c r="AD10" s="29">
        <f>IF(IFERROR(VLOOKUP(AA10,RULES!$A:$E,5,0),"")="",CONFIG!$B$11,VLOOKUP(AA10,RULES!$A:$E,5,0))</f>
        <v/>
      </c>
      <c r="AE10" s="29">
        <f>IFERROR(VLOOKUP(AA10,RULES!$A:$F,6,0)*1,0)</f>
        <v/>
      </c>
      <c r="AF10" s="29">
        <f>IFERROR(VLOOKUP(AA10,RULES!$A:$G,7,0)*1,0)</f>
        <v/>
      </c>
      <c r="AG10" s="29">
        <f>IFERROR(VLOOKUP(AA10,RULES!$A:$H,8,0)*1,0)</f>
        <v/>
      </c>
      <c r="AH10" s="29">
        <f>IFERROR(VLOOKUP(AA10,RULES!$A:$I,9,0)*1,0)</f>
        <v/>
      </c>
      <c r="AI10" s="29">
        <f>IFERROR(VLOOKUP(AA10,RULES!$A:$J,10,0)*1,0)</f>
        <v/>
      </c>
      <c r="AJ10" s="29">
        <f>IFERROR(IF(VLOOKUP(AA10,RULES!$A:$K,11,0)="",999999,VLOOKUP(AA10,RULES!$A:$K,11,0)*1),999999)</f>
        <v/>
      </c>
      <c r="AK10" s="29">
        <f>IFERROR(VLOOKUP(AA10,RULES!$A:$L,12,0)*1,0)</f>
        <v/>
      </c>
      <c r="AL10" s="29">
        <f>IFERROR(VLOOKUP(AA10,RULES!$A:$M,13,0),"NONE")</f>
        <v/>
      </c>
      <c r="AM10" s="29">
        <f>IFERROR(VLOOKUP(AA10,RULES!$A:$N,14,0)*1,0)</f>
        <v/>
      </c>
      <c r="AN10" s="29">
        <f>IFERROR(VLOOKUP(AA10,RULES!$A:$O,15,0)*1,0)</f>
        <v/>
      </c>
      <c r="AO10" s="29">
        <f>IF(N10&lt;&gt;"",N10,IFERROR(VLOOKUP(AA10,RULES!$A:$P,16,0),CONFIG!$B$8))</f>
        <v/>
      </c>
      <c r="AP10" s="29">
        <f>IF(IFERROR(VLOOKUP(AA10,RULES!$A:$Q,17,0),"")="",CONFIG!$B$13,VLOOKUP(AA10,RULES!$A:$Q,17,0))</f>
        <v/>
      </c>
      <c r="AQ10" s="29">
        <f>IF(IFERROR(VLOOKUP(AA10,RULES!$A:$R,18,0),"")="",CONFIG!$B$14,VLOOKUP(AA10,RULES!$A:$R,18,0))</f>
        <v/>
      </c>
      <c r="AR10" s="29">
        <f>IFERROR(VLOOKUP(AA10,RULES!$A:$S,19,0)*1,0)</f>
        <v/>
      </c>
      <c r="AS10" s="29">
        <f>IFERROR(VLOOKUP(AA10,RULES!$A:$T,20,0)*1,0)</f>
        <v/>
      </c>
      <c r="AT10" s="29">
        <f>IFERROR(VLOOKUP(AA10,RULES!$A:$U,21,0)*1,0)</f>
        <v/>
      </c>
      <c r="AU10" s="29">
        <f>IFERROR(VLOOKUP(AA10,RULES!$A:$V,22,0)*1,0)</f>
        <v/>
      </c>
      <c r="AV10" s="29">
        <f>IFERROR(VLOOKUP(AA10,RULES!$A:$W,23,0)*1,0)</f>
        <v/>
      </c>
      <c r="AW10" s="29">
        <f>IFERROR(IF(VLOOKUP(AA10,RULES!$A:$X,24,0)="",999999,VLOOKUP(AA10,RULES!$A:$X,24,0)*1),999999)</f>
        <v/>
      </c>
      <c r="AX10" s="29">
        <f>IFERROR(VLOOKUP(AA10,RULES!$A:$Y,25,0)*1,0)</f>
        <v/>
      </c>
      <c r="AY10" s="29">
        <f>IFERROR(VLOOKUP(AA10,RULES!$A:$Z,26,0),"NONE")</f>
        <v/>
      </c>
      <c r="AZ10" s="29">
        <f>IFERROR(VLOOKUP(AA10,RULES!$A:$AA,27,0)*1,0)</f>
        <v/>
      </c>
      <c r="BA10" s="29">
        <f>IFERROR(VLOOKUP(AA10,RULES!$A:$AB,28,0)*1,0)</f>
        <v/>
      </c>
    </row>
    <row r="11" ht="17" customHeight="1">
      <c r="A11" s="22" t="inlineStr">
        <is>
          <t>3508</t>
        </is>
      </c>
      <c r="B11" s="48" t="inlineStr">
        <is>
          <t>ACC005</t>
        </is>
      </c>
      <c r="C11" s="48" t="inlineStr">
        <is>
          <t>DEFAULT</t>
        </is>
      </c>
      <c r="D11" s="47" t="n"/>
      <c r="E11" s="22">
        <f>IF(OR(D11="",D11=0),"INACTIVE","ACTIVE")</f>
        <v/>
      </c>
      <c r="F11" s="48" t="inlineStr">
        <is>
          <t>NORMAL</t>
        </is>
      </c>
      <c r="G11" s="25" t="n"/>
      <c r="H11" s="25" t="n"/>
      <c r="I11" s="26">
        <f>IF(OR(E11="INACTIVE",H11=""),0,MAX(0,H11-G11))</f>
        <v/>
      </c>
      <c r="J11" s="23" t="n"/>
      <c r="K11" s="26">
        <f>IF(OR(E11="INACTIVE",H11=""),0,IF(AB11="DISABLED",0,IF(AB11="FLAT",AE11,IF(AB11="MANUAL",IF(J11="",0,J11*AC11),IF(AB11="STEP",IF(I11&lt;=AF11,I11*AG11,IF(I11&lt;=AH11,AF11*AG11+(I11-AF11)*AI11,AF11*AG11+(AH11-AF11)*AI11+(I11-AH11)*AK11)),MAX(I11*AC11,AD11))))))</f>
        <v/>
      </c>
      <c r="L11" s="26">
        <f>IF(OR(E11="INACTIVE",H11=""),0,IF(AL11="NONE",0,IF(AL11="FLAT",AM11,IF(AL11="PER_UNIT",I11*AN11,IF(AL11="MANUAL",IF(M11="",0,M11),0)))))</f>
        <v/>
      </c>
      <c r="M11" s="23" t="n"/>
      <c r="N11" s="48" t="inlineStr">
        <is>
          <t>NORMAL</t>
        </is>
      </c>
      <c r="O11" s="25" t="n"/>
      <c r="P11" s="25" t="n"/>
      <c r="Q11" s="26">
        <f>IF(OR(E11="INACTIVE",P11=""),0,MAX(0,P11-O11))</f>
        <v/>
      </c>
      <c r="R11" s="23" t="n"/>
      <c r="S11" s="26">
        <f>IF(OR(E11="INACTIVE",P11=""),0,IF(AO11="DISABLED",0,IF(AO11="FLAT",AR11,IF(AO11="MANUAL",IF(R11="",0,R11*AP11),IF(AO11="STEP",IF(Q11&lt;=AS11,Q11*AT11,IF(Q11&lt;=AU11,AS11*AT11+(Q11-AS11)*AV11,AS11*AT11+(AU11-AS11)*AV11+(Q11-AU11)*AX11)),MAX(Q11*AP11,AQ11))))))</f>
        <v/>
      </c>
      <c r="T11" s="26">
        <f>IF(OR(E11="INACTIVE",P11=""),0,IF(AY11="NONE",0,IF(AY11="FLAT",AZ11,IF(AY11="PER_UNIT",Q11*BA11,IF(AY11="MANUAL",IF(U11="",0,U11),0)))))</f>
        <v/>
      </c>
      <c r="U11" s="23" t="n"/>
      <c r="V11" s="25" t="n"/>
      <c r="W11" s="25" t="n"/>
      <c r="X11" s="26">
        <f>IF(E11="INACTIVE",0,D11+K11+L11+S11+T11+IF(V11="",0,V11)+IF(W11="",0,W11))</f>
        <v/>
      </c>
      <c r="Y11" s="27" t="n"/>
      <c r="Z11" s="28">
        <f>IF(E11="INACTIVE","_",IF(AND(G11&gt;0,H11&gt;0,H11&lt;G11),"[!]น้ำ reset ","")&amp;IF(AND(O11&gt;0,P11&gt;0,P11&lt;O11),"[!]ไฟ reset ","")&amp;IF(AND(F11="MANUAL",J11=""),"[X]units น้ำ ","")&amp;IF(AND(N11="MANUAL",R11=""),"[X]units ไฟ ","")&amp;IF(D11=0,"[!]ค่าเช่า=0",""))</f>
        <v/>
      </c>
      <c r="AA11" s="29">
        <f>IF(C11&lt;&gt;"",C11,CONFIG!$B$6)</f>
        <v/>
      </c>
      <c r="AB11" s="29">
        <f>IF(F11&lt;&gt;"",F11,IFERROR(VLOOKUP(AA11,RULES!$A:$C,3,0),CONFIG!$B$7))</f>
        <v/>
      </c>
      <c r="AC11" s="29">
        <f>IF(IFERROR(VLOOKUP(AA11,RULES!$A:$D,4,0),"")="",CONFIG!$B$10,VLOOKUP(AA11,RULES!$A:$D,4,0))</f>
        <v/>
      </c>
      <c r="AD11" s="29">
        <f>IF(IFERROR(VLOOKUP(AA11,RULES!$A:$E,5,0),"")="",CONFIG!$B$11,VLOOKUP(AA11,RULES!$A:$E,5,0))</f>
        <v/>
      </c>
      <c r="AE11" s="29">
        <f>IFERROR(VLOOKUP(AA11,RULES!$A:$F,6,0)*1,0)</f>
        <v/>
      </c>
      <c r="AF11" s="29">
        <f>IFERROR(VLOOKUP(AA11,RULES!$A:$G,7,0)*1,0)</f>
        <v/>
      </c>
      <c r="AG11" s="29">
        <f>IFERROR(VLOOKUP(AA11,RULES!$A:$H,8,0)*1,0)</f>
        <v/>
      </c>
      <c r="AH11" s="29">
        <f>IFERROR(VLOOKUP(AA11,RULES!$A:$I,9,0)*1,0)</f>
        <v/>
      </c>
      <c r="AI11" s="29">
        <f>IFERROR(VLOOKUP(AA11,RULES!$A:$J,10,0)*1,0)</f>
        <v/>
      </c>
      <c r="AJ11" s="29">
        <f>IFERROR(IF(VLOOKUP(AA11,RULES!$A:$K,11,0)="",999999,VLOOKUP(AA11,RULES!$A:$K,11,0)*1),999999)</f>
        <v/>
      </c>
      <c r="AK11" s="29">
        <f>IFERROR(VLOOKUP(AA11,RULES!$A:$L,12,0)*1,0)</f>
        <v/>
      </c>
      <c r="AL11" s="29">
        <f>IFERROR(VLOOKUP(AA11,RULES!$A:$M,13,0),"NONE")</f>
        <v/>
      </c>
      <c r="AM11" s="29">
        <f>IFERROR(VLOOKUP(AA11,RULES!$A:$N,14,0)*1,0)</f>
        <v/>
      </c>
      <c r="AN11" s="29">
        <f>IFERROR(VLOOKUP(AA11,RULES!$A:$O,15,0)*1,0)</f>
        <v/>
      </c>
      <c r="AO11" s="29">
        <f>IF(N11&lt;&gt;"",N11,IFERROR(VLOOKUP(AA11,RULES!$A:$P,16,0),CONFIG!$B$8))</f>
        <v/>
      </c>
      <c r="AP11" s="29">
        <f>IF(IFERROR(VLOOKUP(AA11,RULES!$A:$Q,17,0),"")="",CONFIG!$B$13,VLOOKUP(AA11,RULES!$A:$Q,17,0))</f>
        <v/>
      </c>
      <c r="AQ11" s="29">
        <f>IF(IFERROR(VLOOKUP(AA11,RULES!$A:$R,18,0),"")="",CONFIG!$B$14,VLOOKUP(AA11,RULES!$A:$R,18,0))</f>
        <v/>
      </c>
      <c r="AR11" s="29">
        <f>IFERROR(VLOOKUP(AA11,RULES!$A:$S,19,0)*1,0)</f>
        <v/>
      </c>
      <c r="AS11" s="29">
        <f>IFERROR(VLOOKUP(AA11,RULES!$A:$T,20,0)*1,0)</f>
        <v/>
      </c>
      <c r="AT11" s="29">
        <f>IFERROR(VLOOKUP(AA11,RULES!$A:$U,21,0)*1,0)</f>
        <v/>
      </c>
      <c r="AU11" s="29">
        <f>IFERROR(VLOOKUP(AA11,RULES!$A:$V,22,0)*1,0)</f>
        <v/>
      </c>
      <c r="AV11" s="29">
        <f>IFERROR(VLOOKUP(AA11,RULES!$A:$W,23,0)*1,0)</f>
        <v/>
      </c>
      <c r="AW11" s="29">
        <f>IFERROR(IF(VLOOKUP(AA11,RULES!$A:$X,24,0)="",999999,VLOOKUP(AA11,RULES!$A:$X,24,0)*1),999999)</f>
        <v/>
      </c>
      <c r="AX11" s="29">
        <f>IFERROR(VLOOKUP(AA11,RULES!$A:$Y,25,0)*1,0)</f>
        <v/>
      </c>
      <c r="AY11" s="29">
        <f>IFERROR(VLOOKUP(AA11,RULES!$A:$Z,26,0),"NONE")</f>
        <v/>
      </c>
      <c r="AZ11" s="29">
        <f>IFERROR(VLOOKUP(AA11,RULES!$A:$AA,27,0)*1,0)</f>
        <v/>
      </c>
      <c r="BA11" s="29">
        <f>IFERROR(VLOOKUP(AA11,RULES!$A:$AB,28,0)*1,0)</f>
        <v/>
      </c>
    </row>
    <row r="12" ht="17" customHeight="1">
      <c r="A12" s="22" t="inlineStr">
        <is>
          <t>3509</t>
        </is>
      </c>
      <c r="B12" s="48" t="inlineStr">
        <is>
          <t>ACC005</t>
        </is>
      </c>
      <c r="C12" s="48" t="inlineStr">
        <is>
          <t>DEFAULT</t>
        </is>
      </c>
      <c r="D12" s="47" t="n"/>
      <c r="E12" s="22">
        <f>IF(OR(D12="",D12=0),"INACTIVE","ACTIVE")</f>
        <v/>
      </c>
      <c r="F12" s="48" t="inlineStr">
        <is>
          <t>NORMAL</t>
        </is>
      </c>
      <c r="G12" s="25" t="n"/>
      <c r="H12" s="25" t="n"/>
      <c r="I12" s="26">
        <f>IF(OR(E12="INACTIVE",H12=""),0,MAX(0,H12-G12))</f>
        <v/>
      </c>
      <c r="J12" s="23" t="n"/>
      <c r="K12" s="26">
        <f>IF(OR(E12="INACTIVE",H12=""),0,IF(AB12="DISABLED",0,IF(AB12="FLAT",AE12,IF(AB12="MANUAL",IF(J12="",0,J12*AC12),IF(AB12="STEP",IF(I12&lt;=AF12,I12*AG12,IF(I12&lt;=AH12,AF12*AG12+(I12-AF12)*AI12,AF12*AG12+(AH12-AF12)*AI12+(I12-AH12)*AK12)),MAX(I12*AC12,AD12))))))</f>
        <v/>
      </c>
      <c r="L12" s="26">
        <f>IF(OR(E12="INACTIVE",H12=""),0,IF(AL12="NONE",0,IF(AL12="FLAT",AM12,IF(AL12="PER_UNIT",I12*AN12,IF(AL12="MANUAL",IF(M12="",0,M12),0)))))</f>
        <v/>
      </c>
      <c r="M12" s="23" t="n"/>
      <c r="N12" s="48" t="inlineStr">
        <is>
          <t>NORMAL</t>
        </is>
      </c>
      <c r="O12" s="25" t="n"/>
      <c r="P12" s="25" t="n"/>
      <c r="Q12" s="26">
        <f>IF(OR(E12="INACTIVE",P12=""),0,MAX(0,P12-O12))</f>
        <v/>
      </c>
      <c r="R12" s="23" t="n"/>
      <c r="S12" s="26">
        <f>IF(OR(E12="INACTIVE",P12=""),0,IF(AO12="DISABLED",0,IF(AO12="FLAT",AR12,IF(AO12="MANUAL",IF(R12="",0,R12*AP12),IF(AO12="STEP",IF(Q12&lt;=AS12,Q12*AT12,IF(Q12&lt;=AU12,AS12*AT12+(Q12-AS12)*AV12,AS12*AT12+(AU12-AS12)*AV12+(Q12-AU12)*AX12)),MAX(Q12*AP12,AQ12))))))</f>
        <v/>
      </c>
      <c r="T12" s="26">
        <f>IF(OR(E12="INACTIVE",P12=""),0,IF(AY12="NONE",0,IF(AY12="FLAT",AZ12,IF(AY12="PER_UNIT",Q12*BA12,IF(AY12="MANUAL",IF(U12="",0,U12),0)))))</f>
        <v/>
      </c>
      <c r="U12" s="23" t="n"/>
      <c r="V12" s="25" t="n"/>
      <c r="W12" s="25" t="n"/>
      <c r="X12" s="26">
        <f>IF(E12="INACTIVE",0,D12+K12+L12+S12+T12+IF(V12="",0,V12)+IF(W12="",0,W12))</f>
        <v/>
      </c>
      <c r="Y12" s="27" t="n"/>
      <c r="Z12" s="28">
        <f>IF(E12="INACTIVE","_",IF(AND(G12&gt;0,H12&gt;0,H12&lt;G12),"[!]น้ำ reset ","")&amp;IF(AND(O12&gt;0,P12&gt;0,P12&lt;O12),"[!]ไฟ reset ","")&amp;IF(AND(F12="MANUAL",J12=""),"[X]units น้ำ ","")&amp;IF(AND(N12="MANUAL",R12=""),"[X]units ไฟ ","")&amp;IF(D12=0,"[!]ค่าเช่า=0",""))</f>
        <v/>
      </c>
      <c r="AA12" s="29">
        <f>IF(C12&lt;&gt;"",C12,CONFIG!$B$6)</f>
        <v/>
      </c>
      <c r="AB12" s="29">
        <f>IF(F12&lt;&gt;"",F12,IFERROR(VLOOKUP(AA12,RULES!$A:$C,3,0),CONFIG!$B$7))</f>
        <v/>
      </c>
      <c r="AC12" s="29">
        <f>IF(IFERROR(VLOOKUP(AA12,RULES!$A:$D,4,0),"")="",CONFIG!$B$10,VLOOKUP(AA12,RULES!$A:$D,4,0))</f>
        <v/>
      </c>
      <c r="AD12" s="29">
        <f>IF(IFERROR(VLOOKUP(AA12,RULES!$A:$E,5,0),"")="",CONFIG!$B$11,VLOOKUP(AA12,RULES!$A:$E,5,0))</f>
        <v/>
      </c>
      <c r="AE12" s="29">
        <f>IFERROR(VLOOKUP(AA12,RULES!$A:$F,6,0)*1,0)</f>
        <v/>
      </c>
      <c r="AF12" s="29">
        <f>IFERROR(VLOOKUP(AA12,RULES!$A:$G,7,0)*1,0)</f>
        <v/>
      </c>
      <c r="AG12" s="29">
        <f>IFERROR(VLOOKUP(AA12,RULES!$A:$H,8,0)*1,0)</f>
        <v/>
      </c>
      <c r="AH12" s="29">
        <f>IFERROR(VLOOKUP(AA12,RULES!$A:$I,9,0)*1,0)</f>
        <v/>
      </c>
      <c r="AI12" s="29">
        <f>IFERROR(VLOOKUP(AA12,RULES!$A:$J,10,0)*1,0)</f>
        <v/>
      </c>
      <c r="AJ12" s="29">
        <f>IFERROR(IF(VLOOKUP(AA12,RULES!$A:$K,11,0)="",999999,VLOOKUP(AA12,RULES!$A:$K,11,0)*1),999999)</f>
        <v/>
      </c>
      <c r="AK12" s="29">
        <f>IFERROR(VLOOKUP(AA12,RULES!$A:$L,12,0)*1,0)</f>
        <v/>
      </c>
      <c r="AL12" s="29">
        <f>IFERROR(VLOOKUP(AA12,RULES!$A:$M,13,0),"NONE")</f>
        <v/>
      </c>
      <c r="AM12" s="29">
        <f>IFERROR(VLOOKUP(AA12,RULES!$A:$N,14,0)*1,0)</f>
        <v/>
      </c>
      <c r="AN12" s="29">
        <f>IFERROR(VLOOKUP(AA12,RULES!$A:$O,15,0)*1,0)</f>
        <v/>
      </c>
      <c r="AO12" s="29">
        <f>IF(N12&lt;&gt;"",N12,IFERROR(VLOOKUP(AA12,RULES!$A:$P,16,0),CONFIG!$B$8))</f>
        <v/>
      </c>
      <c r="AP12" s="29">
        <f>IF(IFERROR(VLOOKUP(AA12,RULES!$A:$Q,17,0),"")="",CONFIG!$B$13,VLOOKUP(AA12,RULES!$A:$Q,17,0))</f>
        <v/>
      </c>
      <c r="AQ12" s="29">
        <f>IF(IFERROR(VLOOKUP(AA12,RULES!$A:$R,18,0),"")="",CONFIG!$B$14,VLOOKUP(AA12,RULES!$A:$R,18,0))</f>
        <v/>
      </c>
      <c r="AR12" s="29">
        <f>IFERROR(VLOOKUP(AA12,RULES!$A:$S,19,0)*1,0)</f>
        <v/>
      </c>
      <c r="AS12" s="29">
        <f>IFERROR(VLOOKUP(AA12,RULES!$A:$T,20,0)*1,0)</f>
        <v/>
      </c>
      <c r="AT12" s="29">
        <f>IFERROR(VLOOKUP(AA12,RULES!$A:$U,21,0)*1,0)</f>
        <v/>
      </c>
      <c r="AU12" s="29">
        <f>IFERROR(VLOOKUP(AA12,RULES!$A:$V,22,0)*1,0)</f>
        <v/>
      </c>
      <c r="AV12" s="29">
        <f>IFERROR(VLOOKUP(AA12,RULES!$A:$W,23,0)*1,0)</f>
        <v/>
      </c>
      <c r="AW12" s="29">
        <f>IFERROR(IF(VLOOKUP(AA12,RULES!$A:$X,24,0)="",999999,VLOOKUP(AA12,RULES!$A:$X,24,0)*1),999999)</f>
        <v/>
      </c>
      <c r="AX12" s="29">
        <f>IFERROR(VLOOKUP(AA12,RULES!$A:$Y,25,0)*1,0)</f>
        <v/>
      </c>
      <c r="AY12" s="29">
        <f>IFERROR(VLOOKUP(AA12,RULES!$A:$Z,26,0),"NONE")</f>
        <v/>
      </c>
      <c r="AZ12" s="29">
        <f>IFERROR(VLOOKUP(AA12,RULES!$A:$AA,27,0)*1,0)</f>
        <v/>
      </c>
      <c r="BA12" s="29">
        <f>IFERROR(VLOOKUP(AA12,RULES!$A:$AB,28,0)*1,0)</f>
        <v/>
      </c>
    </row>
    <row r="13" ht="17" customHeight="1">
      <c r="A13" s="22" t="inlineStr">
        <is>
          <t>3510</t>
        </is>
      </c>
      <c r="B13" s="48" t="inlineStr">
        <is>
          <t>ACC005</t>
        </is>
      </c>
      <c r="C13" s="48" t="inlineStr">
        <is>
          <t>DEFAULT</t>
        </is>
      </c>
      <c r="D13" s="47" t="n"/>
      <c r="E13" s="22">
        <f>IF(OR(D13="",D13=0),"INACTIVE","ACTIVE")</f>
        <v/>
      </c>
      <c r="F13" s="48" t="inlineStr">
        <is>
          <t>NORMAL</t>
        </is>
      </c>
      <c r="G13" s="25" t="n"/>
      <c r="H13" s="25" t="n"/>
      <c r="I13" s="26">
        <f>IF(OR(E13="INACTIVE",H13=""),0,MAX(0,H13-G13))</f>
        <v/>
      </c>
      <c r="J13" s="23" t="n"/>
      <c r="K13" s="26">
        <f>IF(OR(E13="INACTIVE",H13=""),0,IF(AB13="DISABLED",0,IF(AB13="FLAT",AE13,IF(AB13="MANUAL",IF(J13="",0,J13*AC13),IF(AB13="STEP",IF(I13&lt;=AF13,I13*AG13,IF(I13&lt;=AH13,AF13*AG13+(I13-AF13)*AI13,AF13*AG13+(AH13-AF13)*AI13+(I13-AH13)*AK13)),MAX(I13*AC13,AD13))))))</f>
        <v/>
      </c>
      <c r="L13" s="26">
        <f>IF(OR(E13="INACTIVE",H13=""),0,IF(AL13="NONE",0,IF(AL13="FLAT",AM13,IF(AL13="PER_UNIT",I13*AN13,IF(AL13="MANUAL",IF(M13="",0,M13),0)))))</f>
        <v/>
      </c>
      <c r="M13" s="23" t="n"/>
      <c r="N13" s="48" t="inlineStr">
        <is>
          <t>NORMAL</t>
        </is>
      </c>
      <c r="O13" s="25" t="n"/>
      <c r="P13" s="25" t="n"/>
      <c r="Q13" s="26">
        <f>IF(OR(E13="INACTIVE",P13=""),0,MAX(0,P13-O13))</f>
        <v/>
      </c>
      <c r="R13" s="23" t="n"/>
      <c r="S13" s="26">
        <f>IF(OR(E13="INACTIVE",P13=""),0,IF(AO13="DISABLED",0,IF(AO13="FLAT",AR13,IF(AO13="MANUAL",IF(R13="",0,R13*AP13),IF(AO13="STEP",IF(Q13&lt;=AS13,Q13*AT13,IF(Q13&lt;=AU13,AS13*AT13+(Q13-AS13)*AV13,AS13*AT13+(AU13-AS13)*AV13+(Q13-AU13)*AX13)),MAX(Q13*AP13,AQ13))))))</f>
        <v/>
      </c>
      <c r="T13" s="26">
        <f>IF(OR(E13="INACTIVE",P13=""),0,IF(AY13="NONE",0,IF(AY13="FLAT",AZ13,IF(AY13="PER_UNIT",Q13*BA13,IF(AY13="MANUAL",IF(U13="",0,U13),0)))))</f>
        <v/>
      </c>
      <c r="U13" s="23" t="n"/>
      <c r="V13" s="25" t="n"/>
      <c r="W13" s="25" t="n"/>
      <c r="X13" s="26">
        <f>IF(E13="INACTIVE",0,D13+K13+L13+S13+T13+IF(V13="",0,V13)+IF(W13="",0,W13))</f>
        <v/>
      </c>
      <c r="Y13" s="27" t="n"/>
      <c r="Z13" s="28">
        <f>IF(E13="INACTIVE","_",IF(AND(G13&gt;0,H13&gt;0,H13&lt;G13),"[!]น้ำ reset ","")&amp;IF(AND(O13&gt;0,P13&gt;0,P13&lt;O13),"[!]ไฟ reset ","")&amp;IF(AND(F13="MANUAL",J13=""),"[X]units น้ำ ","")&amp;IF(AND(N13="MANUAL",R13=""),"[X]units ไฟ ","")&amp;IF(D13=0,"[!]ค่าเช่า=0",""))</f>
        <v/>
      </c>
      <c r="AA13" s="29">
        <f>IF(C13&lt;&gt;"",C13,CONFIG!$B$6)</f>
        <v/>
      </c>
      <c r="AB13" s="29">
        <f>IF(F13&lt;&gt;"",F13,IFERROR(VLOOKUP(AA13,RULES!$A:$C,3,0),CONFIG!$B$7))</f>
        <v/>
      </c>
      <c r="AC13" s="29">
        <f>IF(IFERROR(VLOOKUP(AA13,RULES!$A:$D,4,0),"")="",CONFIG!$B$10,VLOOKUP(AA13,RULES!$A:$D,4,0))</f>
        <v/>
      </c>
      <c r="AD13" s="29">
        <f>IF(IFERROR(VLOOKUP(AA13,RULES!$A:$E,5,0),"")="",CONFIG!$B$11,VLOOKUP(AA13,RULES!$A:$E,5,0))</f>
        <v/>
      </c>
      <c r="AE13" s="29">
        <f>IFERROR(VLOOKUP(AA13,RULES!$A:$F,6,0)*1,0)</f>
        <v/>
      </c>
      <c r="AF13" s="29">
        <f>IFERROR(VLOOKUP(AA13,RULES!$A:$G,7,0)*1,0)</f>
        <v/>
      </c>
      <c r="AG13" s="29">
        <f>IFERROR(VLOOKUP(AA13,RULES!$A:$H,8,0)*1,0)</f>
        <v/>
      </c>
      <c r="AH13" s="29">
        <f>IFERROR(VLOOKUP(AA13,RULES!$A:$I,9,0)*1,0)</f>
        <v/>
      </c>
      <c r="AI13" s="29">
        <f>IFERROR(VLOOKUP(AA13,RULES!$A:$J,10,0)*1,0)</f>
        <v/>
      </c>
      <c r="AJ13" s="29">
        <f>IFERROR(IF(VLOOKUP(AA13,RULES!$A:$K,11,0)="",999999,VLOOKUP(AA13,RULES!$A:$K,11,0)*1),999999)</f>
        <v/>
      </c>
      <c r="AK13" s="29">
        <f>IFERROR(VLOOKUP(AA13,RULES!$A:$L,12,0)*1,0)</f>
        <v/>
      </c>
      <c r="AL13" s="29">
        <f>IFERROR(VLOOKUP(AA13,RULES!$A:$M,13,0),"NONE")</f>
        <v/>
      </c>
      <c r="AM13" s="29">
        <f>IFERROR(VLOOKUP(AA13,RULES!$A:$N,14,0)*1,0)</f>
        <v/>
      </c>
      <c r="AN13" s="29">
        <f>IFERROR(VLOOKUP(AA13,RULES!$A:$O,15,0)*1,0)</f>
        <v/>
      </c>
      <c r="AO13" s="29">
        <f>IF(N13&lt;&gt;"",N13,IFERROR(VLOOKUP(AA13,RULES!$A:$P,16,0),CONFIG!$B$8))</f>
        <v/>
      </c>
      <c r="AP13" s="29">
        <f>IF(IFERROR(VLOOKUP(AA13,RULES!$A:$Q,17,0),"")="",CONFIG!$B$13,VLOOKUP(AA13,RULES!$A:$Q,17,0))</f>
        <v/>
      </c>
      <c r="AQ13" s="29">
        <f>IF(IFERROR(VLOOKUP(AA13,RULES!$A:$R,18,0),"")="",CONFIG!$B$14,VLOOKUP(AA13,RULES!$A:$R,18,0))</f>
        <v/>
      </c>
      <c r="AR13" s="29">
        <f>IFERROR(VLOOKUP(AA13,RULES!$A:$S,19,0)*1,0)</f>
        <v/>
      </c>
      <c r="AS13" s="29">
        <f>IFERROR(VLOOKUP(AA13,RULES!$A:$T,20,0)*1,0)</f>
        <v/>
      </c>
      <c r="AT13" s="29">
        <f>IFERROR(VLOOKUP(AA13,RULES!$A:$U,21,0)*1,0)</f>
        <v/>
      </c>
      <c r="AU13" s="29">
        <f>IFERROR(VLOOKUP(AA13,RULES!$A:$V,22,0)*1,0)</f>
        <v/>
      </c>
      <c r="AV13" s="29">
        <f>IFERROR(VLOOKUP(AA13,RULES!$A:$W,23,0)*1,0)</f>
        <v/>
      </c>
      <c r="AW13" s="29">
        <f>IFERROR(IF(VLOOKUP(AA13,RULES!$A:$X,24,0)="",999999,VLOOKUP(AA13,RULES!$A:$X,24,0)*1),999999)</f>
        <v/>
      </c>
      <c r="AX13" s="29">
        <f>IFERROR(VLOOKUP(AA13,RULES!$A:$Y,25,0)*1,0)</f>
        <v/>
      </c>
      <c r="AY13" s="29">
        <f>IFERROR(VLOOKUP(AA13,RULES!$A:$Z,26,0),"NONE")</f>
        <v/>
      </c>
      <c r="AZ13" s="29">
        <f>IFERROR(VLOOKUP(AA13,RULES!$A:$AA,27,0)*1,0)</f>
        <v/>
      </c>
      <c r="BA13" s="29">
        <f>IFERROR(VLOOKUP(AA13,RULES!$A:$AB,28,0)*1,0)</f>
        <v/>
      </c>
    </row>
    <row r="14" ht="17" customHeight="1">
      <c r="A14" s="22" t="inlineStr">
        <is>
          <t>3511</t>
        </is>
      </c>
      <c r="B14" s="48" t="inlineStr">
        <is>
          <t>ACC005</t>
        </is>
      </c>
      <c r="C14" s="48" t="inlineStr">
        <is>
          <t>DEFAULT</t>
        </is>
      </c>
      <c r="D14" s="47" t="n"/>
      <c r="E14" s="22">
        <f>IF(OR(D14="",D14=0),"INACTIVE","ACTIVE")</f>
        <v/>
      </c>
      <c r="F14" s="48" t="inlineStr">
        <is>
          <t>NORMAL</t>
        </is>
      </c>
      <c r="G14" s="25" t="n"/>
      <c r="H14" s="25" t="n"/>
      <c r="I14" s="26">
        <f>IF(OR(E14="INACTIVE",H14=""),0,MAX(0,H14-G14))</f>
        <v/>
      </c>
      <c r="J14" s="23" t="n"/>
      <c r="K14" s="26">
        <f>IF(OR(E14="INACTIVE",H14=""),0,IF(AB14="DISABLED",0,IF(AB14="FLAT",AE14,IF(AB14="MANUAL",IF(J14="",0,J14*AC14),IF(AB14="STEP",IF(I14&lt;=AF14,I14*AG14,IF(I14&lt;=AH14,AF14*AG14+(I14-AF14)*AI14,AF14*AG14+(AH14-AF14)*AI14+(I14-AH14)*AK14)),MAX(I14*AC14,AD14))))))</f>
        <v/>
      </c>
      <c r="L14" s="26">
        <f>IF(OR(E14="INACTIVE",H14=""),0,IF(AL14="NONE",0,IF(AL14="FLAT",AM14,IF(AL14="PER_UNIT",I14*AN14,IF(AL14="MANUAL",IF(M14="",0,M14),0)))))</f>
        <v/>
      </c>
      <c r="M14" s="23" t="n"/>
      <c r="N14" s="48" t="inlineStr">
        <is>
          <t>NORMAL</t>
        </is>
      </c>
      <c r="O14" s="25" t="n"/>
      <c r="P14" s="25" t="n"/>
      <c r="Q14" s="26">
        <f>IF(OR(E14="INACTIVE",P14=""),0,MAX(0,P14-O14))</f>
        <v/>
      </c>
      <c r="R14" s="23" t="n"/>
      <c r="S14" s="26">
        <f>IF(OR(E14="INACTIVE",P14=""),0,IF(AO14="DISABLED",0,IF(AO14="FLAT",AR14,IF(AO14="MANUAL",IF(R14="",0,R14*AP14),IF(AO14="STEP",IF(Q14&lt;=AS14,Q14*AT14,IF(Q14&lt;=AU14,AS14*AT14+(Q14-AS14)*AV14,AS14*AT14+(AU14-AS14)*AV14+(Q14-AU14)*AX14)),MAX(Q14*AP14,AQ14))))))</f>
        <v/>
      </c>
      <c r="T14" s="26">
        <f>IF(OR(E14="INACTIVE",P14=""),0,IF(AY14="NONE",0,IF(AY14="FLAT",AZ14,IF(AY14="PER_UNIT",Q14*BA14,IF(AY14="MANUAL",IF(U14="",0,U14),0)))))</f>
        <v/>
      </c>
      <c r="U14" s="23" t="n"/>
      <c r="V14" s="25" t="n"/>
      <c r="W14" s="25" t="n"/>
      <c r="X14" s="26">
        <f>IF(E14="INACTIVE",0,D14+K14+L14+S14+T14+IF(V14="",0,V14)+IF(W14="",0,W14))</f>
        <v/>
      </c>
      <c r="Y14" s="27" t="n"/>
      <c r="Z14" s="28">
        <f>IF(E14="INACTIVE","_",IF(AND(G14&gt;0,H14&gt;0,H14&lt;G14),"[!]น้ำ reset ","")&amp;IF(AND(O14&gt;0,P14&gt;0,P14&lt;O14),"[!]ไฟ reset ","")&amp;IF(AND(F14="MANUAL",J14=""),"[X]units น้ำ ","")&amp;IF(AND(N14="MANUAL",R14=""),"[X]units ไฟ ","")&amp;IF(D14=0,"[!]ค่าเช่า=0",""))</f>
        <v/>
      </c>
      <c r="AA14" s="29">
        <f>IF(C14&lt;&gt;"",C14,CONFIG!$B$6)</f>
        <v/>
      </c>
      <c r="AB14" s="29">
        <f>IF(F14&lt;&gt;"",F14,IFERROR(VLOOKUP(AA14,RULES!$A:$C,3,0),CONFIG!$B$7))</f>
        <v/>
      </c>
      <c r="AC14" s="29">
        <f>IF(IFERROR(VLOOKUP(AA14,RULES!$A:$D,4,0),"")="",CONFIG!$B$10,VLOOKUP(AA14,RULES!$A:$D,4,0))</f>
        <v/>
      </c>
      <c r="AD14" s="29">
        <f>IF(IFERROR(VLOOKUP(AA14,RULES!$A:$E,5,0),"")="",CONFIG!$B$11,VLOOKUP(AA14,RULES!$A:$E,5,0))</f>
        <v/>
      </c>
      <c r="AE14" s="29">
        <f>IFERROR(VLOOKUP(AA14,RULES!$A:$F,6,0)*1,0)</f>
        <v/>
      </c>
      <c r="AF14" s="29">
        <f>IFERROR(VLOOKUP(AA14,RULES!$A:$G,7,0)*1,0)</f>
        <v/>
      </c>
      <c r="AG14" s="29">
        <f>IFERROR(VLOOKUP(AA14,RULES!$A:$H,8,0)*1,0)</f>
        <v/>
      </c>
      <c r="AH14" s="29">
        <f>IFERROR(VLOOKUP(AA14,RULES!$A:$I,9,0)*1,0)</f>
        <v/>
      </c>
      <c r="AI14" s="29">
        <f>IFERROR(VLOOKUP(AA14,RULES!$A:$J,10,0)*1,0)</f>
        <v/>
      </c>
      <c r="AJ14" s="29">
        <f>IFERROR(IF(VLOOKUP(AA14,RULES!$A:$K,11,0)="",999999,VLOOKUP(AA14,RULES!$A:$K,11,0)*1),999999)</f>
        <v/>
      </c>
      <c r="AK14" s="29">
        <f>IFERROR(VLOOKUP(AA14,RULES!$A:$L,12,0)*1,0)</f>
        <v/>
      </c>
      <c r="AL14" s="29">
        <f>IFERROR(VLOOKUP(AA14,RULES!$A:$M,13,0),"NONE")</f>
        <v/>
      </c>
      <c r="AM14" s="29">
        <f>IFERROR(VLOOKUP(AA14,RULES!$A:$N,14,0)*1,0)</f>
        <v/>
      </c>
      <c r="AN14" s="29">
        <f>IFERROR(VLOOKUP(AA14,RULES!$A:$O,15,0)*1,0)</f>
        <v/>
      </c>
      <c r="AO14" s="29">
        <f>IF(N14&lt;&gt;"",N14,IFERROR(VLOOKUP(AA14,RULES!$A:$P,16,0),CONFIG!$B$8))</f>
        <v/>
      </c>
      <c r="AP14" s="29">
        <f>IF(IFERROR(VLOOKUP(AA14,RULES!$A:$Q,17,0),"")="",CONFIG!$B$13,VLOOKUP(AA14,RULES!$A:$Q,17,0))</f>
        <v/>
      </c>
      <c r="AQ14" s="29">
        <f>IF(IFERROR(VLOOKUP(AA14,RULES!$A:$R,18,0),"")="",CONFIG!$B$14,VLOOKUP(AA14,RULES!$A:$R,18,0))</f>
        <v/>
      </c>
      <c r="AR14" s="29">
        <f>IFERROR(VLOOKUP(AA14,RULES!$A:$S,19,0)*1,0)</f>
        <v/>
      </c>
      <c r="AS14" s="29">
        <f>IFERROR(VLOOKUP(AA14,RULES!$A:$T,20,0)*1,0)</f>
        <v/>
      </c>
      <c r="AT14" s="29">
        <f>IFERROR(VLOOKUP(AA14,RULES!$A:$U,21,0)*1,0)</f>
        <v/>
      </c>
      <c r="AU14" s="29">
        <f>IFERROR(VLOOKUP(AA14,RULES!$A:$V,22,0)*1,0)</f>
        <v/>
      </c>
      <c r="AV14" s="29">
        <f>IFERROR(VLOOKUP(AA14,RULES!$A:$W,23,0)*1,0)</f>
        <v/>
      </c>
      <c r="AW14" s="29">
        <f>IFERROR(IF(VLOOKUP(AA14,RULES!$A:$X,24,0)="",999999,VLOOKUP(AA14,RULES!$A:$X,24,0)*1),999999)</f>
        <v/>
      </c>
      <c r="AX14" s="29">
        <f>IFERROR(VLOOKUP(AA14,RULES!$A:$Y,25,0)*1,0)</f>
        <v/>
      </c>
      <c r="AY14" s="29">
        <f>IFERROR(VLOOKUP(AA14,RULES!$A:$Z,26,0),"NONE")</f>
        <v/>
      </c>
      <c r="AZ14" s="29">
        <f>IFERROR(VLOOKUP(AA14,RULES!$A:$AA,27,0)*1,0)</f>
        <v/>
      </c>
      <c r="BA14" s="29">
        <f>IFERROR(VLOOKUP(AA14,RULES!$A:$AB,28,0)*1,0)</f>
        <v/>
      </c>
    </row>
    <row r="15" ht="17" customHeight="1">
      <c r="A15" s="22" t="inlineStr">
        <is>
          <t>3512</t>
        </is>
      </c>
      <c r="B15" s="48" t="inlineStr">
        <is>
          <t>ACC005</t>
        </is>
      </c>
      <c r="C15" s="48" t="inlineStr">
        <is>
          <t>DEFAULT</t>
        </is>
      </c>
      <c r="D15" s="47" t="n"/>
      <c r="E15" s="22">
        <f>IF(OR(D15="",D15=0),"INACTIVE","ACTIVE")</f>
        <v/>
      </c>
      <c r="F15" s="48" t="inlineStr">
        <is>
          <t>NORMAL</t>
        </is>
      </c>
      <c r="G15" s="25" t="n"/>
      <c r="H15" s="25" t="n"/>
      <c r="I15" s="26">
        <f>IF(OR(E15="INACTIVE",H15=""),0,MAX(0,H15-G15))</f>
        <v/>
      </c>
      <c r="J15" s="23" t="n"/>
      <c r="K15" s="26">
        <f>IF(OR(E15="INACTIVE",H15=""),0,IF(AB15="DISABLED",0,IF(AB15="FLAT",AE15,IF(AB15="MANUAL",IF(J15="",0,J15*AC15),IF(AB15="STEP",IF(I15&lt;=AF15,I15*AG15,IF(I15&lt;=AH15,AF15*AG15+(I15-AF15)*AI15,AF15*AG15+(AH15-AF15)*AI15+(I15-AH15)*AK15)),MAX(I15*AC15,AD15))))))</f>
        <v/>
      </c>
      <c r="L15" s="26">
        <f>IF(OR(E15="INACTIVE",H15=""),0,IF(AL15="NONE",0,IF(AL15="FLAT",AM15,IF(AL15="PER_UNIT",I15*AN15,IF(AL15="MANUAL",IF(M15="",0,M15),0)))))</f>
        <v/>
      </c>
      <c r="M15" s="23" t="n"/>
      <c r="N15" s="48" t="inlineStr">
        <is>
          <t>NORMAL</t>
        </is>
      </c>
      <c r="O15" s="25" t="n"/>
      <c r="P15" s="25" t="n"/>
      <c r="Q15" s="26">
        <f>IF(OR(E15="INACTIVE",P15=""),0,MAX(0,P15-O15))</f>
        <v/>
      </c>
      <c r="R15" s="23" t="n"/>
      <c r="S15" s="26">
        <f>IF(OR(E15="INACTIVE",P15=""),0,IF(AO15="DISABLED",0,IF(AO15="FLAT",AR15,IF(AO15="MANUAL",IF(R15="",0,R15*AP15),IF(AO15="STEP",IF(Q15&lt;=AS15,Q15*AT15,IF(Q15&lt;=AU15,AS15*AT15+(Q15-AS15)*AV15,AS15*AT15+(AU15-AS15)*AV15+(Q15-AU15)*AX15)),MAX(Q15*AP15,AQ15))))))</f>
        <v/>
      </c>
      <c r="T15" s="26">
        <f>IF(OR(E15="INACTIVE",P15=""),0,IF(AY15="NONE",0,IF(AY15="FLAT",AZ15,IF(AY15="PER_UNIT",Q15*BA15,IF(AY15="MANUAL",IF(U15="",0,U15),0)))))</f>
        <v/>
      </c>
      <c r="U15" s="23" t="n"/>
      <c r="V15" s="25" t="n"/>
      <c r="W15" s="25" t="n"/>
      <c r="X15" s="26">
        <f>IF(E15="INACTIVE",0,D15+K15+L15+S15+T15+IF(V15="",0,V15)+IF(W15="",0,W15))</f>
        <v/>
      </c>
      <c r="Y15" s="27" t="n"/>
      <c r="Z15" s="28">
        <f>IF(E15="INACTIVE","_",IF(AND(G15&gt;0,H15&gt;0,H15&lt;G15),"[!]น้ำ reset ","")&amp;IF(AND(O15&gt;0,P15&gt;0,P15&lt;O15),"[!]ไฟ reset ","")&amp;IF(AND(F15="MANUAL",J15=""),"[X]units น้ำ ","")&amp;IF(AND(N15="MANUAL",R15=""),"[X]units ไฟ ","")&amp;IF(D15=0,"[!]ค่าเช่า=0",""))</f>
        <v/>
      </c>
      <c r="AA15" s="29">
        <f>IF(C15&lt;&gt;"",C15,CONFIG!$B$6)</f>
        <v/>
      </c>
      <c r="AB15" s="29">
        <f>IF(F15&lt;&gt;"",F15,IFERROR(VLOOKUP(AA15,RULES!$A:$C,3,0),CONFIG!$B$7))</f>
        <v/>
      </c>
      <c r="AC15" s="29">
        <f>IF(IFERROR(VLOOKUP(AA15,RULES!$A:$D,4,0),"")="",CONFIG!$B$10,VLOOKUP(AA15,RULES!$A:$D,4,0))</f>
        <v/>
      </c>
      <c r="AD15" s="29">
        <f>IF(IFERROR(VLOOKUP(AA15,RULES!$A:$E,5,0),"")="",CONFIG!$B$11,VLOOKUP(AA15,RULES!$A:$E,5,0))</f>
        <v/>
      </c>
      <c r="AE15" s="29">
        <f>IFERROR(VLOOKUP(AA15,RULES!$A:$F,6,0)*1,0)</f>
        <v/>
      </c>
      <c r="AF15" s="29">
        <f>IFERROR(VLOOKUP(AA15,RULES!$A:$G,7,0)*1,0)</f>
        <v/>
      </c>
      <c r="AG15" s="29">
        <f>IFERROR(VLOOKUP(AA15,RULES!$A:$H,8,0)*1,0)</f>
        <v/>
      </c>
      <c r="AH15" s="29">
        <f>IFERROR(VLOOKUP(AA15,RULES!$A:$I,9,0)*1,0)</f>
        <v/>
      </c>
      <c r="AI15" s="29">
        <f>IFERROR(VLOOKUP(AA15,RULES!$A:$J,10,0)*1,0)</f>
        <v/>
      </c>
      <c r="AJ15" s="29">
        <f>IFERROR(IF(VLOOKUP(AA15,RULES!$A:$K,11,0)="",999999,VLOOKUP(AA15,RULES!$A:$K,11,0)*1),999999)</f>
        <v/>
      </c>
      <c r="AK15" s="29">
        <f>IFERROR(VLOOKUP(AA15,RULES!$A:$L,12,0)*1,0)</f>
        <v/>
      </c>
      <c r="AL15" s="29">
        <f>IFERROR(VLOOKUP(AA15,RULES!$A:$M,13,0),"NONE")</f>
        <v/>
      </c>
      <c r="AM15" s="29">
        <f>IFERROR(VLOOKUP(AA15,RULES!$A:$N,14,0)*1,0)</f>
        <v/>
      </c>
      <c r="AN15" s="29">
        <f>IFERROR(VLOOKUP(AA15,RULES!$A:$O,15,0)*1,0)</f>
        <v/>
      </c>
      <c r="AO15" s="29">
        <f>IF(N15&lt;&gt;"",N15,IFERROR(VLOOKUP(AA15,RULES!$A:$P,16,0),CONFIG!$B$8))</f>
        <v/>
      </c>
      <c r="AP15" s="29">
        <f>IF(IFERROR(VLOOKUP(AA15,RULES!$A:$Q,17,0),"")="",CONFIG!$B$13,VLOOKUP(AA15,RULES!$A:$Q,17,0))</f>
        <v/>
      </c>
      <c r="AQ15" s="29">
        <f>IF(IFERROR(VLOOKUP(AA15,RULES!$A:$R,18,0),"")="",CONFIG!$B$14,VLOOKUP(AA15,RULES!$A:$R,18,0))</f>
        <v/>
      </c>
      <c r="AR15" s="29">
        <f>IFERROR(VLOOKUP(AA15,RULES!$A:$S,19,0)*1,0)</f>
        <v/>
      </c>
      <c r="AS15" s="29">
        <f>IFERROR(VLOOKUP(AA15,RULES!$A:$T,20,0)*1,0)</f>
        <v/>
      </c>
      <c r="AT15" s="29">
        <f>IFERROR(VLOOKUP(AA15,RULES!$A:$U,21,0)*1,0)</f>
        <v/>
      </c>
      <c r="AU15" s="29">
        <f>IFERROR(VLOOKUP(AA15,RULES!$A:$V,22,0)*1,0)</f>
        <v/>
      </c>
      <c r="AV15" s="29">
        <f>IFERROR(VLOOKUP(AA15,RULES!$A:$W,23,0)*1,0)</f>
        <v/>
      </c>
      <c r="AW15" s="29">
        <f>IFERROR(IF(VLOOKUP(AA15,RULES!$A:$X,24,0)="",999999,VLOOKUP(AA15,RULES!$A:$X,24,0)*1),999999)</f>
        <v/>
      </c>
      <c r="AX15" s="29">
        <f>IFERROR(VLOOKUP(AA15,RULES!$A:$Y,25,0)*1,0)</f>
        <v/>
      </c>
      <c r="AY15" s="29">
        <f>IFERROR(VLOOKUP(AA15,RULES!$A:$Z,26,0),"NONE")</f>
        <v/>
      </c>
      <c r="AZ15" s="29">
        <f>IFERROR(VLOOKUP(AA15,RULES!$A:$AA,27,0)*1,0)</f>
        <v/>
      </c>
      <c r="BA15" s="29">
        <f>IFERROR(VLOOKUP(AA15,RULES!$A:$AB,28,0)*1,0)</f>
        <v/>
      </c>
    </row>
    <row r="16" ht="17" customHeight="1">
      <c r="A16" s="22" t="inlineStr">
        <is>
          <t>3513</t>
        </is>
      </c>
      <c r="B16" s="48" t="inlineStr">
        <is>
          <t>ACC005</t>
        </is>
      </c>
      <c r="C16" s="48" t="inlineStr">
        <is>
          <t>DEFAULT</t>
        </is>
      </c>
      <c r="D16" s="47" t="n"/>
      <c r="E16" s="22">
        <f>IF(OR(D16="",D16=0),"INACTIVE","ACTIVE")</f>
        <v/>
      </c>
      <c r="F16" s="48" t="inlineStr">
        <is>
          <t>NORMAL</t>
        </is>
      </c>
      <c r="G16" s="25" t="n"/>
      <c r="H16" s="25" t="n"/>
      <c r="I16" s="26">
        <f>IF(OR(E16="INACTIVE",H16=""),0,MAX(0,H16-G16))</f>
        <v/>
      </c>
      <c r="J16" s="23" t="n"/>
      <c r="K16" s="26">
        <f>IF(OR(E16="INACTIVE",H16=""),0,IF(AB16="DISABLED",0,IF(AB16="FLAT",AE16,IF(AB16="MANUAL",IF(J16="",0,J16*AC16),IF(AB16="STEP",IF(I16&lt;=AF16,I16*AG16,IF(I16&lt;=AH16,AF16*AG16+(I16-AF16)*AI16,AF16*AG16+(AH16-AF16)*AI16+(I16-AH16)*AK16)),MAX(I16*AC16,AD16))))))</f>
        <v/>
      </c>
      <c r="L16" s="26">
        <f>IF(OR(E16="INACTIVE",H16=""),0,IF(AL16="NONE",0,IF(AL16="FLAT",AM16,IF(AL16="PER_UNIT",I16*AN16,IF(AL16="MANUAL",IF(M16="",0,M16),0)))))</f>
        <v/>
      </c>
      <c r="M16" s="23" t="n"/>
      <c r="N16" s="48" t="inlineStr">
        <is>
          <t>NORMAL</t>
        </is>
      </c>
      <c r="O16" s="25" t="n"/>
      <c r="P16" s="25" t="n"/>
      <c r="Q16" s="26">
        <f>IF(OR(E16="INACTIVE",P16=""),0,MAX(0,P16-O16))</f>
        <v/>
      </c>
      <c r="R16" s="23" t="n"/>
      <c r="S16" s="26">
        <f>IF(OR(E16="INACTIVE",P16=""),0,IF(AO16="DISABLED",0,IF(AO16="FLAT",AR16,IF(AO16="MANUAL",IF(R16="",0,R16*AP16),IF(AO16="STEP",IF(Q16&lt;=AS16,Q16*AT16,IF(Q16&lt;=AU16,AS16*AT16+(Q16-AS16)*AV16,AS16*AT16+(AU16-AS16)*AV16+(Q16-AU16)*AX16)),MAX(Q16*AP16,AQ16))))))</f>
        <v/>
      </c>
      <c r="T16" s="26">
        <f>IF(OR(E16="INACTIVE",P16=""),0,IF(AY16="NONE",0,IF(AY16="FLAT",AZ16,IF(AY16="PER_UNIT",Q16*BA16,IF(AY16="MANUAL",IF(U16="",0,U16),0)))))</f>
        <v/>
      </c>
      <c r="U16" s="23" t="n"/>
      <c r="V16" s="25" t="n"/>
      <c r="W16" s="25" t="n"/>
      <c r="X16" s="26">
        <f>IF(E16="INACTIVE",0,D16+K16+L16+S16+T16+IF(V16="",0,V16)+IF(W16="",0,W16))</f>
        <v/>
      </c>
      <c r="Y16" s="27" t="n"/>
      <c r="Z16" s="28">
        <f>IF(E16="INACTIVE","_",IF(AND(G16&gt;0,H16&gt;0,H16&lt;G16),"[!]น้ำ reset ","")&amp;IF(AND(O16&gt;0,P16&gt;0,P16&lt;O16),"[!]ไฟ reset ","")&amp;IF(AND(F16="MANUAL",J16=""),"[X]units น้ำ ","")&amp;IF(AND(N16="MANUAL",R16=""),"[X]units ไฟ ","")&amp;IF(D16=0,"[!]ค่าเช่า=0",""))</f>
        <v/>
      </c>
      <c r="AA16" s="29">
        <f>IF(C16&lt;&gt;"",C16,CONFIG!$B$6)</f>
        <v/>
      </c>
      <c r="AB16" s="29">
        <f>IF(F16&lt;&gt;"",F16,IFERROR(VLOOKUP(AA16,RULES!$A:$C,3,0),CONFIG!$B$7))</f>
        <v/>
      </c>
      <c r="AC16" s="29">
        <f>IF(IFERROR(VLOOKUP(AA16,RULES!$A:$D,4,0),"")="",CONFIG!$B$10,VLOOKUP(AA16,RULES!$A:$D,4,0))</f>
        <v/>
      </c>
      <c r="AD16" s="29">
        <f>IF(IFERROR(VLOOKUP(AA16,RULES!$A:$E,5,0),"")="",CONFIG!$B$11,VLOOKUP(AA16,RULES!$A:$E,5,0))</f>
        <v/>
      </c>
      <c r="AE16" s="29">
        <f>IFERROR(VLOOKUP(AA16,RULES!$A:$F,6,0)*1,0)</f>
        <v/>
      </c>
      <c r="AF16" s="29">
        <f>IFERROR(VLOOKUP(AA16,RULES!$A:$G,7,0)*1,0)</f>
        <v/>
      </c>
      <c r="AG16" s="29">
        <f>IFERROR(VLOOKUP(AA16,RULES!$A:$H,8,0)*1,0)</f>
        <v/>
      </c>
      <c r="AH16" s="29">
        <f>IFERROR(VLOOKUP(AA16,RULES!$A:$I,9,0)*1,0)</f>
        <v/>
      </c>
      <c r="AI16" s="29">
        <f>IFERROR(VLOOKUP(AA16,RULES!$A:$J,10,0)*1,0)</f>
        <v/>
      </c>
      <c r="AJ16" s="29">
        <f>IFERROR(IF(VLOOKUP(AA16,RULES!$A:$K,11,0)="",999999,VLOOKUP(AA16,RULES!$A:$K,11,0)*1),999999)</f>
        <v/>
      </c>
      <c r="AK16" s="29">
        <f>IFERROR(VLOOKUP(AA16,RULES!$A:$L,12,0)*1,0)</f>
        <v/>
      </c>
      <c r="AL16" s="29">
        <f>IFERROR(VLOOKUP(AA16,RULES!$A:$M,13,0),"NONE")</f>
        <v/>
      </c>
      <c r="AM16" s="29">
        <f>IFERROR(VLOOKUP(AA16,RULES!$A:$N,14,0)*1,0)</f>
        <v/>
      </c>
      <c r="AN16" s="29">
        <f>IFERROR(VLOOKUP(AA16,RULES!$A:$O,15,0)*1,0)</f>
        <v/>
      </c>
      <c r="AO16" s="29">
        <f>IF(N16&lt;&gt;"",N16,IFERROR(VLOOKUP(AA16,RULES!$A:$P,16,0),CONFIG!$B$8))</f>
        <v/>
      </c>
      <c r="AP16" s="29">
        <f>IF(IFERROR(VLOOKUP(AA16,RULES!$A:$Q,17,0),"")="",CONFIG!$B$13,VLOOKUP(AA16,RULES!$A:$Q,17,0))</f>
        <v/>
      </c>
      <c r="AQ16" s="29">
        <f>IF(IFERROR(VLOOKUP(AA16,RULES!$A:$R,18,0),"")="",CONFIG!$B$14,VLOOKUP(AA16,RULES!$A:$R,18,0))</f>
        <v/>
      </c>
      <c r="AR16" s="29">
        <f>IFERROR(VLOOKUP(AA16,RULES!$A:$S,19,0)*1,0)</f>
        <v/>
      </c>
      <c r="AS16" s="29">
        <f>IFERROR(VLOOKUP(AA16,RULES!$A:$T,20,0)*1,0)</f>
        <v/>
      </c>
      <c r="AT16" s="29">
        <f>IFERROR(VLOOKUP(AA16,RULES!$A:$U,21,0)*1,0)</f>
        <v/>
      </c>
      <c r="AU16" s="29">
        <f>IFERROR(VLOOKUP(AA16,RULES!$A:$V,22,0)*1,0)</f>
        <v/>
      </c>
      <c r="AV16" s="29">
        <f>IFERROR(VLOOKUP(AA16,RULES!$A:$W,23,0)*1,0)</f>
        <v/>
      </c>
      <c r="AW16" s="29">
        <f>IFERROR(IF(VLOOKUP(AA16,RULES!$A:$X,24,0)="",999999,VLOOKUP(AA16,RULES!$A:$X,24,0)*1),999999)</f>
        <v/>
      </c>
      <c r="AX16" s="29">
        <f>IFERROR(VLOOKUP(AA16,RULES!$A:$Y,25,0)*1,0)</f>
        <v/>
      </c>
      <c r="AY16" s="29">
        <f>IFERROR(VLOOKUP(AA16,RULES!$A:$Z,26,0),"NONE")</f>
        <v/>
      </c>
      <c r="AZ16" s="29">
        <f>IFERROR(VLOOKUP(AA16,RULES!$A:$AA,27,0)*1,0)</f>
        <v/>
      </c>
      <c r="BA16" s="29">
        <f>IFERROR(VLOOKUP(AA16,RULES!$A:$AB,28,0)*1,0)</f>
        <v/>
      </c>
    </row>
    <row r="17" ht="17" customHeight="1">
      <c r="A17" s="22" t="inlineStr">
        <is>
          <t>3514</t>
        </is>
      </c>
      <c r="B17" s="48" t="inlineStr">
        <is>
          <t>ACC005</t>
        </is>
      </c>
      <c r="C17" s="48" t="inlineStr">
        <is>
          <t>DEFAULT</t>
        </is>
      </c>
      <c r="D17" s="47" t="n"/>
      <c r="E17" s="22">
        <f>IF(OR(D17="",D17=0),"INACTIVE","ACTIVE")</f>
        <v/>
      </c>
      <c r="F17" s="48" t="inlineStr">
        <is>
          <t>NORMAL</t>
        </is>
      </c>
      <c r="G17" s="25" t="n"/>
      <c r="H17" s="25" t="n"/>
      <c r="I17" s="26">
        <f>IF(OR(E17="INACTIVE",H17=""),0,MAX(0,H17-G17))</f>
        <v/>
      </c>
      <c r="J17" s="23" t="n"/>
      <c r="K17" s="26">
        <f>IF(OR(E17="INACTIVE",H17=""),0,IF(AB17="DISABLED",0,IF(AB17="FLAT",AE17,IF(AB17="MANUAL",IF(J17="",0,J17*AC17),IF(AB17="STEP",IF(I17&lt;=AF17,I17*AG17,IF(I17&lt;=AH17,AF17*AG17+(I17-AF17)*AI17,AF17*AG17+(AH17-AF17)*AI17+(I17-AH17)*AK17)),MAX(I17*AC17,AD17))))))</f>
        <v/>
      </c>
      <c r="L17" s="26">
        <f>IF(OR(E17="INACTIVE",H17=""),0,IF(AL17="NONE",0,IF(AL17="FLAT",AM17,IF(AL17="PER_UNIT",I17*AN17,IF(AL17="MANUAL",IF(M17="",0,M17),0)))))</f>
        <v/>
      </c>
      <c r="M17" s="23" t="n"/>
      <c r="N17" s="48" t="inlineStr">
        <is>
          <t>NORMAL</t>
        </is>
      </c>
      <c r="O17" s="25" t="n"/>
      <c r="P17" s="25" t="n"/>
      <c r="Q17" s="26">
        <f>IF(OR(E17="INACTIVE",P17=""),0,MAX(0,P17-O17))</f>
        <v/>
      </c>
      <c r="R17" s="23" t="n"/>
      <c r="S17" s="26">
        <f>IF(OR(E17="INACTIVE",P17=""),0,IF(AO17="DISABLED",0,IF(AO17="FLAT",AR17,IF(AO17="MANUAL",IF(R17="",0,R17*AP17),IF(AO17="STEP",IF(Q17&lt;=AS17,Q17*AT17,IF(Q17&lt;=AU17,AS17*AT17+(Q17-AS17)*AV17,AS17*AT17+(AU17-AS17)*AV17+(Q17-AU17)*AX17)),MAX(Q17*AP17,AQ17))))))</f>
        <v/>
      </c>
      <c r="T17" s="26">
        <f>IF(OR(E17="INACTIVE",P17=""),0,IF(AY17="NONE",0,IF(AY17="FLAT",AZ17,IF(AY17="PER_UNIT",Q17*BA17,IF(AY17="MANUAL",IF(U17="",0,U17),0)))))</f>
        <v/>
      </c>
      <c r="U17" s="23" t="n"/>
      <c r="V17" s="25" t="n"/>
      <c r="W17" s="25" t="n"/>
      <c r="X17" s="26">
        <f>IF(E17="INACTIVE",0,D17+K17+L17+S17+T17+IF(V17="",0,V17)+IF(W17="",0,W17))</f>
        <v/>
      </c>
      <c r="Y17" s="27" t="n"/>
      <c r="Z17" s="28">
        <f>IF(E17="INACTIVE","_",IF(AND(G17&gt;0,H17&gt;0,H17&lt;G17),"[!]น้ำ reset ","")&amp;IF(AND(O17&gt;0,P17&gt;0,P17&lt;O17),"[!]ไฟ reset ","")&amp;IF(AND(F17="MANUAL",J17=""),"[X]units น้ำ ","")&amp;IF(AND(N17="MANUAL",R17=""),"[X]units ไฟ ","")&amp;IF(D17=0,"[!]ค่าเช่า=0",""))</f>
        <v/>
      </c>
      <c r="AA17" s="29">
        <f>IF(C17&lt;&gt;"",C17,CONFIG!$B$6)</f>
        <v/>
      </c>
      <c r="AB17" s="29">
        <f>IF(F17&lt;&gt;"",F17,IFERROR(VLOOKUP(AA17,RULES!$A:$C,3,0),CONFIG!$B$7))</f>
        <v/>
      </c>
      <c r="AC17" s="29">
        <f>IF(IFERROR(VLOOKUP(AA17,RULES!$A:$D,4,0),"")="",CONFIG!$B$10,VLOOKUP(AA17,RULES!$A:$D,4,0))</f>
        <v/>
      </c>
      <c r="AD17" s="29">
        <f>IF(IFERROR(VLOOKUP(AA17,RULES!$A:$E,5,0),"")="",CONFIG!$B$11,VLOOKUP(AA17,RULES!$A:$E,5,0))</f>
        <v/>
      </c>
      <c r="AE17" s="29">
        <f>IFERROR(VLOOKUP(AA17,RULES!$A:$F,6,0)*1,0)</f>
        <v/>
      </c>
      <c r="AF17" s="29">
        <f>IFERROR(VLOOKUP(AA17,RULES!$A:$G,7,0)*1,0)</f>
        <v/>
      </c>
      <c r="AG17" s="29">
        <f>IFERROR(VLOOKUP(AA17,RULES!$A:$H,8,0)*1,0)</f>
        <v/>
      </c>
      <c r="AH17" s="29">
        <f>IFERROR(VLOOKUP(AA17,RULES!$A:$I,9,0)*1,0)</f>
        <v/>
      </c>
      <c r="AI17" s="29">
        <f>IFERROR(VLOOKUP(AA17,RULES!$A:$J,10,0)*1,0)</f>
        <v/>
      </c>
      <c r="AJ17" s="29">
        <f>IFERROR(IF(VLOOKUP(AA17,RULES!$A:$K,11,0)="",999999,VLOOKUP(AA17,RULES!$A:$K,11,0)*1),999999)</f>
        <v/>
      </c>
      <c r="AK17" s="29">
        <f>IFERROR(VLOOKUP(AA17,RULES!$A:$L,12,0)*1,0)</f>
        <v/>
      </c>
      <c r="AL17" s="29">
        <f>IFERROR(VLOOKUP(AA17,RULES!$A:$M,13,0),"NONE")</f>
        <v/>
      </c>
      <c r="AM17" s="29">
        <f>IFERROR(VLOOKUP(AA17,RULES!$A:$N,14,0)*1,0)</f>
        <v/>
      </c>
      <c r="AN17" s="29">
        <f>IFERROR(VLOOKUP(AA17,RULES!$A:$O,15,0)*1,0)</f>
        <v/>
      </c>
      <c r="AO17" s="29">
        <f>IF(N17&lt;&gt;"",N17,IFERROR(VLOOKUP(AA17,RULES!$A:$P,16,0),CONFIG!$B$8))</f>
        <v/>
      </c>
      <c r="AP17" s="29">
        <f>IF(IFERROR(VLOOKUP(AA17,RULES!$A:$Q,17,0),"")="",CONFIG!$B$13,VLOOKUP(AA17,RULES!$A:$Q,17,0))</f>
        <v/>
      </c>
      <c r="AQ17" s="29">
        <f>IF(IFERROR(VLOOKUP(AA17,RULES!$A:$R,18,0),"")="",CONFIG!$B$14,VLOOKUP(AA17,RULES!$A:$R,18,0))</f>
        <v/>
      </c>
      <c r="AR17" s="29">
        <f>IFERROR(VLOOKUP(AA17,RULES!$A:$S,19,0)*1,0)</f>
        <v/>
      </c>
      <c r="AS17" s="29">
        <f>IFERROR(VLOOKUP(AA17,RULES!$A:$T,20,0)*1,0)</f>
        <v/>
      </c>
      <c r="AT17" s="29">
        <f>IFERROR(VLOOKUP(AA17,RULES!$A:$U,21,0)*1,0)</f>
        <v/>
      </c>
      <c r="AU17" s="29">
        <f>IFERROR(VLOOKUP(AA17,RULES!$A:$V,22,0)*1,0)</f>
        <v/>
      </c>
      <c r="AV17" s="29">
        <f>IFERROR(VLOOKUP(AA17,RULES!$A:$W,23,0)*1,0)</f>
        <v/>
      </c>
      <c r="AW17" s="29">
        <f>IFERROR(IF(VLOOKUP(AA17,RULES!$A:$X,24,0)="",999999,VLOOKUP(AA17,RULES!$A:$X,24,0)*1),999999)</f>
        <v/>
      </c>
      <c r="AX17" s="29">
        <f>IFERROR(VLOOKUP(AA17,RULES!$A:$Y,25,0)*1,0)</f>
        <v/>
      </c>
      <c r="AY17" s="29">
        <f>IFERROR(VLOOKUP(AA17,RULES!$A:$Z,26,0),"NONE")</f>
        <v/>
      </c>
      <c r="AZ17" s="29">
        <f>IFERROR(VLOOKUP(AA17,RULES!$A:$AA,27,0)*1,0)</f>
        <v/>
      </c>
      <c r="BA17" s="29">
        <f>IFERROR(VLOOKUP(AA17,RULES!$A:$AB,28,0)*1,0)</f>
        <v/>
      </c>
    </row>
    <row r="18" ht="17" customHeight="1">
      <c r="A18" s="22" t="inlineStr">
        <is>
          <t>3515</t>
        </is>
      </c>
      <c r="B18" s="48" t="inlineStr">
        <is>
          <t>ACC005</t>
        </is>
      </c>
      <c r="C18" s="48" t="inlineStr">
        <is>
          <t>DEFAULT</t>
        </is>
      </c>
      <c r="D18" s="47" t="n"/>
      <c r="E18" s="22">
        <f>IF(OR(D18="",D18=0),"INACTIVE","ACTIVE")</f>
        <v/>
      </c>
      <c r="F18" s="48" t="inlineStr">
        <is>
          <t>NORMAL</t>
        </is>
      </c>
      <c r="G18" s="25" t="n"/>
      <c r="H18" s="25" t="n"/>
      <c r="I18" s="26">
        <f>IF(OR(E18="INACTIVE",H18=""),0,MAX(0,H18-G18))</f>
        <v/>
      </c>
      <c r="J18" s="23" t="n"/>
      <c r="K18" s="26">
        <f>IF(OR(E18="INACTIVE",H18=""),0,IF(AB18="DISABLED",0,IF(AB18="FLAT",AE18,IF(AB18="MANUAL",IF(J18="",0,J18*AC18),IF(AB18="STEP",IF(I18&lt;=AF18,I18*AG18,IF(I18&lt;=AH18,AF18*AG18+(I18-AF18)*AI18,AF18*AG18+(AH18-AF18)*AI18+(I18-AH18)*AK18)),MAX(I18*AC18,AD18))))))</f>
        <v/>
      </c>
      <c r="L18" s="26">
        <f>IF(OR(E18="INACTIVE",H18=""),0,IF(AL18="NONE",0,IF(AL18="FLAT",AM18,IF(AL18="PER_UNIT",I18*AN18,IF(AL18="MANUAL",IF(M18="",0,M18),0)))))</f>
        <v/>
      </c>
      <c r="M18" s="23" t="n"/>
      <c r="N18" s="48" t="inlineStr">
        <is>
          <t>NORMAL</t>
        </is>
      </c>
      <c r="O18" s="25" t="n"/>
      <c r="P18" s="25" t="n"/>
      <c r="Q18" s="26">
        <f>IF(OR(E18="INACTIVE",P18=""),0,MAX(0,P18-O18))</f>
        <v/>
      </c>
      <c r="R18" s="23" t="n"/>
      <c r="S18" s="26">
        <f>IF(OR(E18="INACTIVE",P18=""),0,IF(AO18="DISABLED",0,IF(AO18="FLAT",AR18,IF(AO18="MANUAL",IF(R18="",0,R18*AP18),IF(AO18="STEP",IF(Q18&lt;=AS18,Q18*AT18,IF(Q18&lt;=AU18,AS18*AT18+(Q18-AS18)*AV18,AS18*AT18+(AU18-AS18)*AV18+(Q18-AU18)*AX18)),MAX(Q18*AP18,AQ18))))))</f>
        <v/>
      </c>
      <c r="T18" s="26">
        <f>IF(OR(E18="INACTIVE",P18=""),0,IF(AY18="NONE",0,IF(AY18="FLAT",AZ18,IF(AY18="PER_UNIT",Q18*BA18,IF(AY18="MANUAL",IF(U18="",0,U18),0)))))</f>
        <v/>
      </c>
      <c r="U18" s="23" t="n"/>
      <c r="V18" s="25" t="n"/>
      <c r="W18" s="25" t="n"/>
      <c r="X18" s="26">
        <f>IF(E18="INACTIVE",0,D18+K18+L18+S18+T18+IF(V18="",0,V18)+IF(W18="",0,W18))</f>
        <v/>
      </c>
      <c r="Y18" s="27" t="n"/>
      <c r="Z18" s="28">
        <f>IF(E18="INACTIVE","_",IF(AND(G18&gt;0,H18&gt;0,H18&lt;G18),"[!]น้ำ reset ","")&amp;IF(AND(O18&gt;0,P18&gt;0,P18&lt;O18),"[!]ไฟ reset ","")&amp;IF(AND(F18="MANUAL",J18=""),"[X]units น้ำ ","")&amp;IF(AND(N18="MANUAL",R18=""),"[X]units ไฟ ","")&amp;IF(D18=0,"[!]ค่าเช่า=0",""))</f>
        <v/>
      </c>
      <c r="AA18" s="29">
        <f>IF(C18&lt;&gt;"",C18,CONFIG!$B$6)</f>
        <v/>
      </c>
      <c r="AB18" s="29">
        <f>IF(F18&lt;&gt;"",F18,IFERROR(VLOOKUP(AA18,RULES!$A:$C,3,0),CONFIG!$B$7))</f>
        <v/>
      </c>
      <c r="AC18" s="29">
        <f>IF(IFERROR(VLOOKUP(AA18,RULES!$A:$D,4,0),"")="",CONFIG!$B$10,VLOOKUP(AA18,RULES!$A:$D,4,0))</f>
        <v/>
      </c>
      <c r="AD18" s="29">
        <f>IF(IFERROR(VLOOKUP(AA18,RULES!$A:$E,5,0),"")="",CONFIG!$B$11,VLOOKUP(AA18,RULES!$A:$E,5,0))</f>
        <v/>
      </c>
      <c r="AE18" s="29">
        <f>IFERROR(VLOOKUP(AA18,RULES!$A:$F,6,0)*1,0)</f>
        <v/>
      </c>
      <c r="AF18" s="29">
        <f>IFERROR(VLOOKUP(AA18,RULES!$A:$G,7,0)*1,0)</f>
        <v/>
      </c>
      <c r="AG18" s="29">
        <f>IFERROR(VLOOKUP(AA18,RULES!$A:$H,8,0)*1,0)</f>
        <v/>
      </c>
      <c r="AH18" s="29">
        <f>IFERROR(VLOOKUP(AA18,RULES!$A:$I,9,0)*1,0)</f>
        <v/>
      </c>
      <c r="AI18" s="29">
        <f>IFERROR(VLOOKUP(AA18,RULES!$A:$J,10,0)*1,0)</f>
        <v/>
      </c>
      <c r="AJ18" s="29">
        <f>IFERROR(IF(VLOOKUP(AA18,RULES!$A:$K,11,0)="",999999,VLOOKUP(AA18,RULES!$A:$K,11,0)*1),999999)</f>
        <v/>
      </c>
      <c r="AK18" s="29">
        <f>IFERROR(VLOOKUP(AA18,RULES!$A:$L,12,0)*1,0)</f>
        <v/>
      </c>
      <c r="AL18" s="29">
        <f>IFERROR(VLOOKUP(AA18,RULES!$A:$M,13,0),"NONE")</f>
        <v/>
      </c>
      <c r="AM18" s="29">
        <f>IFERROR(VLOOKUP(AA18,RULES!$A:$N,14,0)*1,0)</f>
        <v/>
      </c>
      <c r="AN18" s="29">
        <f>IFERROR(VLOOKUP(AA18,RULES!$A:$O,15,0)*1,0)</f>
        <v/>
      </c>
      <c r="AO18" s="29">
        <f>IF(N18&lt;&gt;"",N18,IFERROR(VLOOKUP(AA18,RULES!$A:$P,16,0),CONFIG!$B$8))</f>
        <v/>
      </c>
      <c r="AP18" s="29">
        <f>IF(IFERROR(VLOOKUP(AA18,RULES!$A:$Q,17,0),"")="",CONFIG!$B$13,VLOOKUP(AA18,RULES!$A:$Q,17,0))</f>
        <v/>
      </c>
      <c r="AQ18" s="29">
        <f>IF(IFERROR(VLOOKUP(AA18,RULES!$A:$R,18,0),"")="",CONFIG!$B$14,VLOOKUP(AA18,RULES!$A:$R,18,0))</f>
        <v/>
      </c>
      <c r="AR18" s="29">
        <f>IFERROR(VLOOKUP(AA18,RULES!$A:$S,19,0)*1,0)</f>
        <v/>
      </c>
      <c r="AS18" s="29">
        <f>IFERROR(VLOOKUP(AA18,RULES!$A:$T,20,0)*1,0)</f>
        <v/>
      </c>
      <c r="AT18" s="29">
        <f>IFERROR(VLOOKUP(AA18,RULES!$A:$U,21,0)*1,0)</f>
        <v/>
      </c>
      <c r="AU18" s="29">
        <f>IFERROR(VLOOKUP(AA18,RULES!$A:$V,22,0)*1,0)</f>
        <v/>
      </c>
      <c r="AV18" s="29">
        <f>IFERROR(VLOOKUP(AA18,RULES!$A:$W,23,0)*1,0)</f>
        <v/>
      </c>
      <c r="AW18" s="29">
        <f>IFERROR(IF(VLOOKUP(AA18,RULES!$A:$X,24,0)="",999999,VLOOKUP(AA18,RULES!$A:$X,24,0)*1),999999)</f>
        <v/>
      </c>
      <c r="AX18" s="29">
        <f>IFERROR(VLOOKUP(AA18,RULES!$A:$Y,25,0)*1,0)</f>
        <v/>
      </c>
      <c r="AY18" s="29">
        <f>IFERROR(VLOOKUP(AA18,RULES!$A:$Z,26,0),"NONE")</f>
        <v/>
      </c>
      <c r="AZ18" s="29">
        <f>IFERROR(VLOOKUP(AA18,RULES!$A:$AA,27,0)*1,0)</f>
        <v/>
      </c>
      <c r="BA18" s="29">
        <f>IFERROR(VLOOKUP(AA18,RULES!$A:$AB,28,0)*1,0)</f>
        <v/>
      </c>
    </row>
    <row r="19" ht="17" customHeight="1">
      <c r="A19" s="22" t="inlineStr">
        <is>
          <t>3516</t>
        </is>
      </c>
      <c r="B19" s="48" t="inlineStr">
        <is>
          <t>ACC005</t>
        </is>
      </c>
      <c r="C19" s="48" t="inlineStr">
        <is>
          <t>DEFAULT</t>
        </is>
      </c>
      <c r="D19" s="47" t="n"/>
      <c r="E19" s="22">
        <f>IF(OR(D19="",D19=0),"INACTIVE","ACTIVE")</f>
        <v/>
      </c>
      <c r="F19" s="48" t="inlineStr">
        <is>
          <t>NORMAL</t>
        </is>
      </c>
      <c r="G19" s="25" t="n"/>
      <c r="H19" s="25" t="n"/>
      <c r="I19" s="26">
        <f>IF(OR(E19="INACTIVE",H19=""),0,MAX(0,H19-G19))</f>
        <v/>
      </c>
      <c r="J19" s="23" t="n"/>
      <c r="K19" s="26">
        <f>IF(OR(E19="INACTIVE",H19=""),0,IF(AB19="DISABLED",0,IF(AB19="FLAT",AE19,IF(AB19="MANUAL",IF(J19="",0,J19*AC19),IF(AB19="STEP",IF(I19&lt;=AF19,I19*AG19,IF(I19&lt;=AH19,AF19*AG19+(I19-AF19)*AI19,AF19*AG19+(AH19-AF19)*AI19+(I19-AH19)*AK19)),MAX(I19*AC19,AD19))))))</f>
        <v/>
      </c>
      <c r="L19" s="26">
        <f>IF(OR(E19="INACTIVE",H19=""),0,IF(AL19="NONE",0,IF(AL19="FLAT",AM19,IF(AL19="PER_UNIT",I19*AN19,IF(AL19="MANUAL",IF(M19="",0,M19),0)))))</f>
        <v/>
      </c>
      <c r="M19" s="23" t="n"/>
      <c r="N19" s="48" t="inlineStr">
        <is>
          <t>NORMAL</t>
        </is>
      </c>
      <c r="O19" s="25" t="n"/>
      <c r="P19" s="25" t="n"/>
      <c r="Q19" s="26">
        <f>IF(OR(E19="INACTIVE",P19=""),0,MAX(0,P19-O19))</f>
        <v/>
      </c>
      <c r="R19" s="23" t="n"/>
      <c r="S19" s="26">
        <f>IF(OR(E19="INACTIVE",P19=""),0,IF(AO19="DISABLED",0,IF(AO19="FLAT",AR19,IF(AO19="MANUAL",IF(R19="",0,R19*AP19),IF(AO19="STEP",IF(Q19&lt;=AS19,Q19*AT19,IF(Q19&lt;=AU19,AS19*AT19+(Q19-AS19)*AV19,AS19*AT19+(AU19-AS19)*AV19+(Q19-AU19)*AX19)),MAX(Q19*AP19,AQ19))))))</f>
        <v/>
      </c>
      <c r="T19" s="26">
        <f>IF(OR(E19="INACTIVE",P19=""),0,IF(AY19="NONE",0,IF(AY19="FLAT",AZ19,IF(AY19="PER_UNIT",Q19*BA19,IF(AY19="MANUAL",IF(U19="",0,U19),0)))))</f>
        <v/>
      </c>
      <c r="U19" s="23" t="n"/>
      <c r="V19" s="25" t="n"/>
      <c r="W19" s="25" t="n"/>
      <c r="X19" s="26">
        <f>IF(E19="INACTIVE",0,D19+K19+L19+S19+T19+IF(V19="",0,V19)+IF(W19="",0,W19))</f>
        <v/>
      </c>
      <c r="Y19" s="27" t="n"/>
      <c r="Z19" s="28">
        <f>IF(E19="INACTIVE","_",IF(AND(G19&gt;0,H19&gt;0,H19&lt;G19),"[!]น้ำ reset ","")&amp;IF(AND(O19&gt;0,P19&gt;0,P19&lt;O19),"[!]ไฟ reset ","")&amp;IF(AND(F19="MANUAL",J19=""),"[X]units น้ำ ","")&amp;IF(AND(N19="MANUAL",R19=""),"[X]units ไฟ ","")&amp;IF(D19=0,"[!]ค่าเช่า=0",""))</f>
        <v/>
      </c>
      <c r="AA19" s="29">
        <f>IF(C19&lt;&gt;"",C19,CONFIG!$B$6)</f>
        <v/>
      </c>
      <c r="AB19" s="29">
        <f>IF(F19&lt;&gt;"",F19,IFERROR(VLOOKUP(AA19,RULES!$A:$C,3,0),CONFIG!$B$7))</f>
        <v/>
      </c>
      <c r="AC19" s="29">
        <f>IF(IFERROR(VLOOKUP(AA19,RULES!$A:$D,4,0),"")="",CONFIG!$B$10,VLOOKUP(AA19,RULES!$A:$D,4,0))</f>
        <v/>
      </c>
      <c r="AD19" s="29">
        <f>IF(IFERROR(VLOOKUP(AA19,RULES!$A:$E,5,0),"")="",CONFIG!$B$11,VLOOKUP(AA19,RULES!$A:$E,5,0))</f>
        <v/>
      </c>
      <c r="AE19" s="29">
        <f>IFERROR(VLOOKUP(AA19,RULES!$A:$F,6,0)*1,0)</f>
        <v/>
      </c>
      <c r="AF19" s="29">
        <f>IFERROR(VLOOKUP(AA19,RULES!$A:$G,7,0)*1,0)</f>
        <v/>
      </c>
      <c r="AG19" s="29">
        <f>IFERROR(VLOOKUP(AA19,RULES!$A:$H,8,0)*1,0)</f>
        <v/>
      </c>
      <c r="AH19" s="29">
        <f>IFERROR(VLOOKUP(AA19,RULES!$A:$I,9,0)*1,0)</f>
        <v/>
      </c>
      <c r="AI19" s="29">
        <f>IFERROR(VLOOKUP(AA19,RULES!$A:$J,10,0)*1,0)</f>
        <v/>
      </c>
      <c r="AJ19" s="29">
        <f>IFERROR(IF(VLOOKUP(AA19,RULES!$A:$K,11,0)="",999999,VLOOKUP(AA19,RULES!$A:$K,11,0)*1),999999)</f>
        <v/>
      </c>
      <c r="AK19" s="29">
        <f>IFERROR(VLOOKUP(AA19,RULES!$A:$L,12,0)*1,0)</f>
        <v/>
      </c>
      <c r="AL19" s="29">
        <f>IFERROR(VLOOKUP(AA19,RULES!$A:$M,13,0),"NONE")</f>
        <v/>
      </c>
      <c r="AM19" s="29">
        <f>IFERROR(VLOOKUP(AA19,RULES!$A:$N,14,0)*1,0)</f>
        <v/>
      </c>
      <c r="AN19" s="29">
        <f>IFERROR(VLOOKUP(AA19,RULES!$A:$O,15,0)*1,0)</f>
        <v/>
      </c>
      <c r="AO19" s="29">
        <f>IF(N19&lt;&gt;"",N19,IFERROR(VLOOKUP(AA19,RULES!$A:$P,16,0),CONFIG!$B$8))</f>
        <v/>
      </c>
      <c r="AP19" s="29">
        <f>IF(IFERROR(VLOOKUP(AA19,RULES!$A:$Q,17,0),"")="",CONFIG!$B$13,VLOOKUP(AA19,RULES!$A:$Q,17,0))</f>
        <v/>
      </c>
      <c r="AQ19" s="29">
        <f>IF(IFERROR(VLOOKUP(AA19,RULES!$A:$R,18,0),"")="",CONFIG!$B$14,VLOOKUP(AA19,RULES!$A:$R,18,0))</f>
        <v/>
      </c>
      <c r="AR19" s="29">
        <f>IFERROR(VLOOKUP(AA19,RULES!$A:$S,19,0)*1,0)</f>
        <v/>
      </c>
      <c r="AS19" s="29">
        <f>IFERROR(VLOOKUP(AA19,RULES!$A:$T,20,0)*1,0)</f>
        <v/>
      </c>
      <c r="AT19" s="29">
        <f>IFERROR(VLOOKUP(AA19,RULES!$A:$U,21,0)*1,0)</f>
        <v/>
      </c>
      <c r="AU19" s="29">
        <f>IFERROR(VLOOKUP(AA19,RULES!$A:$V,22,0)*1,0)</f>
        <v/>
      </c>
      <c r="AV19" s="29">
        <f>IFERROR(VLOOKUP(AA19,RULES!$A:$W,23,0)*1,0)</f>
        <v/>
      </c>
      <c r="AW19" s="29">
        <f>IFERROR(IF(VLOOKUP(AA19,RULES!$A:$X,24,0)="",999999,VLOOKUP(AA19,RULES!$A:$X,24,0)*1),999999)</f>
        <v/>
      </c>
      <c r="AX19" s="29">
        <f>IFERROR(VLOOKUP(AA19,RULES!$A:$Y,25,0)*1,0)</f>
        <v/>
      </c>
      <c r="AY19" s="29">
        <f>IFERROR(VLOOKUP(AA19,RULES!$A:$Z,26,0),"NONE")</f>
        <v/>
      </c>
      <c r="AZ19" s="29">
        <f>IFERROR(VLOOKUP(AA19,RULES!$A:$AA,27,0)*1,0)</f>
        <v/>
      </c>
      <c r="BA19" s="29">
        <f>IFERROR(VLOOKUP(AA19,RULES!$A:$AB,28,0)*1,0)</f>
        <v/>
      </c>
    </row>
    <row r="20" ht="17" customHeight="1">
      <c r="A20" s="22" t="inlineStr">
        <is>
          <t>3517</t>
        </is>
      </c>
      <c r="B20" s="48" t="inlineStr">
        <is>
          <t>ACC005</t>
        </is>
      </c>
      <c r="C20" s="48" t="inlineStr">
        <is>
          <t>DEFAULT</t>
        </is>
      </c>
      <c r="D20" s="47" t="n"/>
      <c r="E20" s="22">
        <f>IF(OR(D20="",D20=0),"INACTIVE","ACTIVE")</f>
        <v/>
      </c>
      <c r="F20" s="48" t="inlineStr">
        <is>
          <t>NORMAL</t>
        </is>
      </c>
      <c r="G20" s="25" t="n"/>
      <c r="H20" s="25" t="n"/>
      <c r="I20" s="26">
        <f>IF(OR(E20="INACTIVE",H20=""),0,MAX(0,H20-G20))</f>
        <v/>
      </c>
      <c r="J20" s="23" t="n"/>
      <c r="K20" s="26">
        <f>IF(OR(E20="INACTIVE",H20=""),0,IF(AB20="DISABLED",0,IF(AB20="FLAT",AE20,IF(AB20="MANUAL",IF(J20="",0,J20*AC20),IF(AB20="STEP",IF(I20&lt;=AF20,I20*AG20,IF(I20&lt;=AH20,AF20*AG20+(I20-AF20)*AI20,AF20*AG20+(AH20-AF20)*AI20+(I20-AH20)*AK20)),MAX(I20*AC20,AD20))))))</f>
        <v/>
      </c>
      <c r="L20" s="26">
        <f>IF(OR(E20="INACTIVE",H20=""),0,IF(AL20="NONE",0,IF(AL20="FLAT",AM20,IF(AL20="PER_UNIT",I20*AN20,IF(AL20="MANUAL",IF(M20="",0,M20),0)))))</f>
        <v/>
      </c>
      <c r="M20" s="23" t="n"/>
      <c r="N20" s="48" t="inlineStr">
        <is>
          <t>NORMAL</t>
        </is>
      </c>
      <c r="O20" s="25" t="n"/>
      <c r="P20" s="25" t="n"/>
      <c r="Q20" s="26">
        <f>IF(OR(E20="INACTIVE",P20=""),0,MAX(0,P20-O20))</f>
        <v/>
      </c>
      <c r="R20" s="23" t="n"/>
      <c r="S20" s="26">
        <f>IF(OR(E20="INACTIVE",P20=""),0,IF(AO20="DISABLED",0,IF(AO20="FLAT",AR20,IF(AO20="MANUAL",IF(R20="",0,R20*AP20),IF(AO20="STEP",IF(Q20&lt;=AS20,Q20*AT20,IF(Q20&lt;=AU20,AS20*AT20+(Q20-AS20)*AV20,AS20*AT20+(AU20-AS20)*AV20+(Q20-AU20)*AX20)),MAX(Q20*AP20,AQ20))))))</f>
        <v/>
      </c>
      <c r="T20" s="26">
        <f>IF(OR(E20="INACTIVE",P20=""),0,IF(AY20="NONE",0,IF(AY20="FLAT",AZ20,IF(AY20="PER_UNIT",Q20*BA20,IF(AY20="MANUAL",IF(U20="",0,U20),0)))))</f>
        <v/>
      </c>
      <c r="U20" s="23" t="n"/>
      <c r="V20" s="25" t="n"/>
      <c r="W20" s="25" t="n"/>
      <c r="X20" s="26">
        <f>IF(E20="INACTIVE",0,D20+K20+L20+S20+T20+IF(V20="",0,V20)+IF(W20="",0,W20))</f>
        <v/>
      </c>
      <c r="Y20" s="27" t="n"/>
      <c r="Z20" s="28">
        <f>IF(E20="INACTIVE","_",IF(AND(G20&gt;0,H20&gt;0,H20&lt;G20),"[!]น้ำ reset ","")&amp;IF(AND(O20&gt;0,P20&gt;0,P20&lt;O20),"[!]ไฟ reset ","")&amp;IF(AND(F20="MANUAL",J20=""),"[X]units น้ำ ","")&amp;IF(AND(N20="MANUAL",R20=""),"[X]units ไฟ ","")&amp;IF(D20=0,"[!]ค่าเช่า=0",""))</f>
        <v/>
      </c>
      <c r="AA20" s="29">
        <f>IF(C20&lt;&gt;"",C20,CONFIG!$B$6)</f>
        <v/>
      </c>
      <c r="AB20" s="29">
        <f>IF(F20&lt;&gt;"",F20,IFERROR(VLOOKUP(AA20,RULES!$A:$C,3,0),CONFIG!$B$7))</f>
        <v/>
      </c>
      <c r="AC20" s="29">
        <f>IF(IFERROR(VLOOKUP(AA20,RULES!$A:$D,4,0),"")="",CONFIG!$B$10,VLOOKUP(AA20,RULES!$A:$D,4,0))</f>
        <v/>
      </c>
      <c r="AD20" s="29">
        <f>IF(IFERROR(VLOOKUP(AA20,RULES!$A:$E,5,0),"")="",CONFIG!$B$11,VLOOKUP(AA20,RULES!$A:$E,5,0))</f>
        <v/>
      </c>
      <c r="AE20" s="29">
        <f>IFERROR(VLOOKUP(AA20,RULES!$A:$F,6,0)*1,0)</f>
        <v/>
      </c>
      <c r="AF20" s="29">
        <f>IFERROR(VLOOKUP(AA20,RULES!$A:$G,7,0)*1,0)</f>
        <v/>
      </c>
      <c r="AG20" s="29">
        <f>IFERROR(VLOOKUP(AA20,RULES!$A:$H,8,0)*1,0)</f>
        <v/>
      </c>
      <c r="AH20" s="29">
        <f>IFERROR(VLOOKUP(AA20,RULES!$A:$I,9,0)*1,0)</f>
        <v/>
      </c>
      <c r="AI20" s="29">
        <f>IFERROR(VLOOKUP(AA20,RULES!$A:$J,10,0)*1,0)</f>
        <v/>
      </c>
      <c r="AJ20" s="29">
        <f>IFERROR(IF(VLOOKUP(AA20,RULES!$A:$K,11,0)="",999999,VLOOKUP(AA20,RULES!$A:$K,11,0)*1),999999)</f>
        <v/>
      </c>
      <c r="AK20" s="29">
        <f>IFERROR(VLOOKUP(AA20,RULES!$A:$L,12,0)*1,0)</f>
        <v/>
      </c>
      <c r="AL20" s="29">
        <f>IFERROR(VLOOKUP(AA20,RULES!$A:$M,13,0),"NONE")</f>
        <v/>
      </c>
      <c r="AM20" s="29">
        <f>IFERROR(VLOOKUP(AA20,RULES!$A:$N,14,0)*1,0)</f>
        <v/>
      </c>
      <c r="AN20" s="29">
        <f>IFERROR(VLOOKUP(AA20,RULES!$A:$O,15,0)*1,0)</f>
        <v/>
      </c>
      <c r="AO20" s="29">
        <f>IF(N20&lt;&gt;"",N20,IFERROR(VLOOKUP(AA20,RULES!$A:$P,16,0),CONFIG!$B$8))</f>
        <v/>
      </c>
      <c r="AP20" s="29">
        <f>IF(IFERROR(VLOOKUP(AA20,RULES!$A:$Q,17,0),"")="",CONFIG!$B$13,VLOOKUP(AA20,RULES!$A:$Q,17,0))</f>
        <v/>
      </c>
      <c r="AQ20" s="29">
        <f>IF(IFERROR(VLOOKUP(AA20,RULES!$A:$R,18,0),"")="",CONFIG!$B$14,VLOOKUP(AA20,RULES!$A:$R,18,0))</f>
        <v/>
      </c>
      <c r="AR20" s="29">
        <f>IFERROR(VLOOKUP(AA20,RULES!$A:$S,19,0)*1,0)</f>
        <v/>
      </c>
      <c r="AS20" s="29">
        <f>IFERROR(VLOOKUP(AA20,RULES!$A:$T,20,0)*1,0)</f>
        <v/>
      </c>
      <c r="AT20" s="29">
        <f>IFERROR(VLOOKUP(AA20,RULES!$A:$U,21,0)*1,0)</f>
        <v/>
      </c>
      <c r="AU20" s="29">
        <f>IFERROR(VLOOKUP(AA20,RULES!$A:$V,22,0)*1,0)</f>
        <v/>
      </c>
      <c r="AV20" s="29">
        <f>IFERROR(VLOOKUP(AA20,RULES!$A:$W,23,0)*1,0)</f>
        <v/>
      </c>
      <c r="AW20" s="29">
        <f>IFERROR(IF(VLOOKUP(AA20,RULES!$A:$X,24,0)="",999999,VLOOKUP(AA20,RULES!$A:$X,24,0)*1),999999)</f>
        <v/>
      </c>
      <c r="AX20" s="29">
        <f>IFERROR(VLOOKUP(AA20,RULES!$A:$Y,25,0)*1,0)</f>
        <v/>
      </c>
      <c r="AY20" s="29">
        <f>IFERROR(VLOOKUP(AA20,RULES!$A:$Z,26,0),"NONE")</f>
        <v/>
      </c>
      <c r="AZ20" s="29">
        <f>IFERROR(VLOOKUP(AA20,RULES!$A:$AA,27,0)*1,0)</f>
        <v/>
      </c>
      <c r="BA20" s="29">
        <f>IFERROR(VLOOKUP(AA20,RULES!$A:$AB,28,0)*1,0)</f>
        <v/>
      </c>
    </row>
    <row r="21" ht="17" customHeight="1">
      <c r="A21" s="22" t="inlineStr">
        <is>
          <t>3518</t>
        </is>
      </c>
      <c r="B21" s="48" t="inlineStr">
        <is>
          <t>ACC005</t>
        </is>
      </c>
      <c r="C21" s="48" t="inlineStr">
        <is>
          <t>DEFAULT</t>
        </is>
      </c>
      <c r="D21" s="47" t="n"/>
      <c r="E21" s="22">
        <f>IF(OR(D21="",D21=0),"INACTIVE","ACTIVE")</f>
        <v/>
      </c>
      <c r="F21" s="48" t="inlineStr">
        <is>
          <t>NORMAL</t>
        </is>
      </c>
      <c r="G21" s="25" t="n"/>
      <c r="H21" s="25" t="n"/>
      <c r="I21" s="26">
        <f>IF(OR(E21="INACTIVE",H21=""),0,MAX(0,H21-G21))</f>
        <v/>
      </c>
      <c r="J21" s="23" t="n"/>
      <c r="K21" s="26">
        <f>IF(OR(E21="INACTIVE",H21=""),0,IF(AB21="DISABLED",0,IF(AB21="FLAT",AE21,IF(AB21="MANUAL",IF(J21="",0,J21*AC21),IF(AB21="STEP",IF(I21&lt;=AF21,I21*AG21,IF(I21&lt;=AH21,AF21*AG21+(I21-AF21)*AI21,AF21*AG21+(AH21-AF21)*AI21+(I21-AH21)*AK21)),MAX(I21*AC21,AD21))))))</f>
        <v/>
      </c>
      <c r="L21" s="26">
        <f>IF(OR(E21="INACTIVE",H21=""),0,IF(AL21="NONE",0,IF(AL21="FLAT",AM21,IF(AL21="PER_UNIT",I21*AN21,IF(AL21="MANUAL",IF(M21="",0,M21),0)))))</f>
        <v/>
      </c>
      <c r="M21" s="23" t="n"/>
      <c r="N21" s="48" t="inlineStr">
        <is>
          <t>NORMAL</t>
        </is>
      </c>
      <c r="O21" s="25" t="n"/>
      <c r="P21" s="25" t="n"/>
      <c r="Q21" s="26">
        <f>IF(OR(E21="INACTIVE",P21=""),0,MAX(0,P21-O21))</f>
        <v/>
      </c>
      <c r="R21" s="23" t="n"/>
      <c r="S21" s="26">
        <f>IF(OR(E21="INACTIVE",P21=""),0,IF(AO21="DISABLED",0,IF(AO21="FLAT",AR21,IF(AO21="MANUAL",IF(R21="",0,R21*AP21),IF(AO21="STEP",IF(Q21&lt;=AS21,Q21*AT21,IF(Q21&lt;=AU21,AS21*AT21+(Q21-AS21)*AV21,AS21*AT21+(AU21-AS21)*AV21+(Q21-AU21)*AX21)),MAX(Q21*AP21,AQ21))))))</f>
        <v/>
      </c>
      <c r="T21" s="26">
        <f>IF(OR(E21="INACTIVE",P21=""),0,IF(AY21="NONE",0,IF(AY21="FLAT",AZ21,IF(AY21="PER_UNIT",Q21*BA21,IF(AY21="MANUAL",IF(U21="",0,U21),0)))))</f>
        <v/>
      </c>
      <c r="U21" s="23" t="n"/>
      <c r="V21" s="25" t="n"/>
      <c r="W21" s="25" t="n"/>
      <c r="X21" s="26">
        <f>IF(E21="INACTIVE",0,D21+K21+L21+S21+T21+IF(V21="",0,V21)+IF(W21="",0,W21))</f>
        <v/>
      </c>
      <c r="Y21" s="27" t="n"/>
      <c r="Z21" s="28">
        <f>IF(E21="INACTIVE","_",IF(AND(G21&gt;0,H21&gt;0,H21&lt;G21),"[!]น้ำ reset ","")&amp;IF(AND(O21&gt;0,P21&gt;0,P21&lt;O21),"[!]ไฟ reset ","")&amp;IF(AND(F21="MANUAL",J21=""),"[X]units น้ำ ","")&amp;IF(AND(N21="MANUAL",R21=""),"[X]units ไฟ ","")&amp;IF(D21=0,"[!]ค่าเช่า=0",""))</f>
        <v/>
      </c>
      <c r="AA21" s="29">
        <f>IF(C21&lt;&gt;"",C21,CONFIG!$B$6)</f>
        <v/>
      </c>
      <c r="AB21" s="29">
        <f>IF(F21&lt;&gt;"",F21,IFERROR(VLOOKUP(AA21,RULES!$A:$C,3,0),CONFIG!$B$7))</f>
        <v/>
      </c>
      <c r="AC21" s="29">
        <f>IF(IFERROR(VLOOKUP(AA21,RULES!$A:$D,4,0),"")="",CONFIG!$B$10,VLOOKUP(AA21,RULES!$A:$D,4,0))</f>
        <v/>
      </c>
      <c r="AD21" s="29">
        <f>IF(IFERROR(VLOOKUP(AA21,RULES!$A:$E,5,0),"")="",CONFIG!$B$11,VLOOKUP(AA21,RULES!$A:$E,5,0))</f>
        <v/>
      </c>
      <c r="AE21" s="29">
        <f>IFERROR(VLOOKUP(AA21,RULES!$A:$F,6,0)*1,0)</f>
        <v/>
      </c>
      <c r="AF21" s="29">
        <f>IFERROR(VLOOKUP(AA21,RULES!$A:$G,7,0)*1,0)</f>
        <v/>
      </c>
      <c r="AG21" s="29">
        <f>IFERROR(VLOOKUP(AA21,RULES!$A:$H,8,0)*1,0)</f>
        <v/>
      </c>
      <c r="AH21" s="29">
        <f>IFERROR(VLOOKUP(AA21,RULES!$A:$I,9,0)*1,0)</f>
        <v/>
      </c>
      <c r="AI21" s="29">
        <f>IFERROR(VLOOKUP(AA21,RULES!$A:$J,10,0)*1,0)</f>
        <v/>
      </c>
      <c r="AJ21" s="29">
        <f>IFERROR(IF(VLOOKUP(AA21,RULES!$A:$K,11,0)="",999999,VLOOKUP(AA21,RULES!$A:$K,11,0)*1),999999)</f>
        <v/>
      </c>
      <c r="AK21" s="29">
        <f>IFERROR(VLOOKUP(AA21,RULES!$A:$L,12,0)*1,0)</f>
        <v/>
      </c>
      <c r="AL21" s="29">
        <f>IFERROR(VLOOKUP(AA21,RULES!$A:$M,13,0),"NONE")</f>
        <v/>
      </c>
      <c r="AM21" s="29">
        <f>IFERROR(VLOOKUP(AA21,RULES!$A:$N,14,0)*1,0)</f>
        <v/>
      </c>
      <c r="AN21" s="29">
        <f>IFERROR(VLOOKUP(AA21,RULES!$A:$O,15,0)*1,0)</f>
        <v/>
      </c>
      <c r="AO21" s="29">
        <f>IF(N21&lt;&gt;"",N21,IFERROR(VLOOKUP(AA21,RULES!$A:$P,16,0),CONFIG!$B$8))</f>
        <v/>
      </c>
      <c r="AP21" s="29">
        <f>IF(IFERROR(VLOOKUP(AA21,RULES!$A:$Q,17,0),"")="",CONFIG!$B$13,VLOOKUP(AA21,RULES!$A:$Q,17,0))</f>
        <v/>
      </c>
      <c r="AQ21" s="29">
        <f>IF(IFERROR(VLOOKUP(AA21,RULES!$A:$R,18,0),"")="",CONFIG!$B$14,VLOOKUP(AA21,RULES!$A:$R,18,0))</f>
        <v/>
      </c>
      <c r="AR21" s="29">
        <f>IFERROR(VLOOKUP(AA21,RULES!$A:$S,19,0)*1,0)</f>
        <v/>
      </c>
      <c r="AS21" s="29">
        <f>IFERROR(VLOOKUP(AA21,RULES!$A:$T,20,0)*1,0)</f>
        <v/>
      </c>
      <c r="AT21" s="29">
        <f>IFERROR(VLOOKUP(AA21,RULES!$A:$U,21,0)*1,0)</f>
        <v/>
      </c>
      <c r="AU21" s="29">
        <f>IFERROR(VLOOKUP(AA21,RULES!$A:$V,22,0)*1,0)</f>
        <v/>
      </c>
      <c r="AV21" s="29">
        <f>IFERROR(VLOOKUP(AA21,RULES!$A:$W,23,0)*1,0)</f>
        <v/>
      </c>
      <c r="AW21" s="29">
        <f>IFERROR(IF(VLOOKUP(AA21,RULES!$A:$X,24,0)="",999999,VLOOKUP(AA21,RULES!$A:$X,24,0)*1),999999)</f>
        <v/>
      </c>
      <c r="AX21" s="29">
        <f>IFERROR(VLOOKUP(AA21,RULES!$A:$Y,25,0)*1,0)</f>
        <v/>
      </c>
      <c r="AY21" s="29">
        <f>IFERROR(VLOOKUP(AA21,RULES!$A:$Z,26,0),"NONE")</f>
        <v/>
      </c>
      <c r="AZ21" s="29">
        <f>IFERROR(VLOOKUP(AA21,RULES!$A:$AA,27,0)*1,0)</f>
        <v/>
      </c>
      <c r="BA21" s="29">
        <f>IFERROR(VLOOKUP(AA21,RULES!$A:$AB,28,0)*1,0)</f>
        <v/>
      </c>
    </row>
    <row r="22" ht="17" customHeight="1">
      <c r="A22" s="22" t="inlineStr">
        <is>
          <t>3519</t>
        </is>
      </c>
      <c r="B22" s="48" t="inlineStr">
        <is>
          <t>ACC005</t>
        </is>
      </c>
      <c r="C22" s="48" t="inlineStr">
        <is>
          <t>DEFAULT</t>
        </is>
      </c>
      <c r="D22" s="47" t="n"/>
      <c r="E22" s="22">
        <f>IF(OR(D22="",D22=0),"INACTIVE","ACTIVE")</f>
        <v/>
      </c>
      <c r="F22" s="48" t="inlineStr">
        <is>
          <t>NORMAL</t>
        </is>
      </c>
      <c r="G22" s="25" t="n"/>
      <c r="H22" s="25" t="n"/>
      <c r="I22" s="26">
        <f>IF(OR(E22="INACTIVE",H22=""),0,MAX(0,H22-G22))</f>
        <v/>
      </c>
      <c r="J22" s="23" t="n"/>
      <c r="K22" s="26">
        <f>IF(OR(E22="INACTIVE",H22=""),0,IF(AB22="DISABLED",0,IF(AB22="FLAT",AE22,IF(AB22="MANUAL",IF(J22="",0,J22*AC22),IF(AB22="STEP",IF(I22&lt;=AF22,I22*AG22,IF(I22&lt;=AH22,AF22*AG22+(I22-AF22)*AI22,AF22*AG22+(AH22-AF22)*AI22+(I22-AH22)*AK22)),MAX(I22*AC22,AD22))))))</f>
        <v/>
      </c>
      <c r="L22" s="26">
        <f>IF(OR(E22="INACTIVE",H22=""),0,IF(AL22="NONE",0,IF(AL22="FLAT",AM22,IF(AL22="PER_UNIT",I22*AN22,IF(AL22="MANUAL",IF(M22="",0,M22),0)))))</f>
        <v/>
      </c>
      <c r="M22" s="23" t="n"/>
      <c r="N22" s="48" t="inlineStr">
        <is>
          <t>NORMAL</t>
        </is>
      </c>
      <c r="O22" s="25" t="n"/>
      <c r="P22" s="25" t="n"/>
      <c r="Q22" s="26">
        <f>IF(OR(E22="INACTIVE",P22=""),0,MAX(0,P22-O22))</f>
        <v/>
      </c>
      <c r="R22" s="23" t="n"/>
      <c r="S22" s="26">
        <f>IF(OR(E22="INACTIVE",P22=""),0,IF(AO22="DISABLED",0,IF(AO22="FLAT",AR22,IF(AO22="MANUAL",IF(R22="",0,R22*AP22),IF(AO22="STEP",IF(Q22&lt;=AS22,Q22*AT22,IF(Q22&lt;=AU22,AS22*AT22+(Q22-AS22)*AV22,AS22*AT22+(AU22-AS22)*AV22+(Q22-AU22)*AX22)),MAX(Q22*AP22,AQ22))))))</f>
        <v/>
      </c>
      <c r="T22" s="26">
        <f>IF(OR(E22="INACTIVE",P22=""),0,IF(AY22="NONE",0,IF(AY22="FLAT",AZ22,IF(AY22="PER_UNIT",Q22*BA22,IF(AY22="MANUAL",IF(U22="",0,U22),0)))))</f>
        <v/>
      </c>
      <c r="U22" s="23" t="n"/>
      <c r="V22" s="25" t="n"/>
      <c r="W22" s="25" t="n"/>
      <c r="X22" s="26">
        <f>IF(E22="INACTIVE",0,D22+K22+L22+S22+T22+IF(V22="",0,V22)+IF(W22="",0,W22))</f>
        <v/>
      </c>
      <c r="Y22" s="27" t="n"/>
      <c r="Z22" s="28">
        <f>IF(E22="INACTIVE","_",IF(AND(G22&gt;0,H22&gt;0,H22&lt;G22),"[!]น้ำ reset ","")&amp;IF(AND(O22&gt;0,P22&gt;0,P22&lt;O22),"[!]ไฟ reset ","")&amp;IF(AND(F22="MANUAL",J22=""),"[X]units น้ำ ","")&amp;IF(AND(N22="MANUAL",R22=""),"[X]units ไฟ ","")&amp;IF(D22=0,"[!]ค่าเช่า=0",""))</f>
        <v/>
      </c>
      <c r="AA22" s="29">
        <f>IF(C22&lt;&gt;"",C22,CONFIG!$B$6)</f>
        <v/>
      </c>
      <c r="AB22" s="29">
        <f>IF(F22&lt;&gt;"",F22,IFERROR(VLOOKUP(AA22,RULES!$A:$C,3,0),CONFIG!$B$7))</f>
        <v/>
      </c>
      <c r="AC22" s="29">
        <f>IF(IFERROR(VLOOKUP(AA22,RULES!$A:$D,4,0),"")="",CONFIG!$B$10,VLOOKUP(AA22,RULES!$A:$D,4,0))</f>
        <v/>
      </c>
      <c r="AD22" s="29">
        <f>IF(IFERROR(VLOOKUP(AA22,RULES!$A:$E,5,0),"")="",CONFIG!$B$11,VLOOKUP(AA22,RULES!$A:$E,5,0))</f>
        <v/>
      </c>
      <c r="AE22" s="29">
        <f>IFERROR(VLOOKUP(AA22,RULES!$A:$F,6,0)*1,0)</f>
        <v/>
      </c>
      <c r="AF22" s="29">
        <f>IFERROR(VLOOKUP(AA22,RULES!$A:$G,7,0)*1,0)</f>
        <v/>
      </c>
      <c r="AG22" s="29">
        <f>IFERROR(VLOOKUP(AA22,RULES!$A:$H,8,0)*1,0)</f>
        <v/>
      </c>
      <c r="AH22" s="29">
        <f>IFERROR(VLOOKUP(AA22,RULES!$A:$I,9,0)*1,0)</f>
        <v/>
      </c>
      <c r="AI22" s="29">
        <f>IFERROR(VLOOKUP(AA22,RULES!$A:$J,10,0)*1,0)</f>
        <v/>
      </c>
      <c r="AJ22" s="29">
        <f>IFERROR(IF(VLOOKUP(AA22,RULES!$A:$K,11,0)="",999999,VLOOKUP(AA22,RULES!$A:$K,11,0)*1),999999)</f>
        <v/>
      </c>
      <c r="AK22" s="29">
        <f>IFERROR(VLOOKUP(AA22,RULES!$A:$L,12,0)*1,0)</f>
        <v/>
      </c>
      <c r="AL22" s="29">
        <f>IFERROR(VLOOKUP(AA22,RULES!$A:$M,13,0),"NONE")</f>
        <v/>
      </c>
      <c r="AM22" s="29">
        <f>IFERROR(VLOOKUP(AA22,RULES!$A:$N,14,0)*1,0)</f>
        <v/>
      </c>
      <c r="AN22" s="29">
        <f>IFERROR(VLOOKUP(AA22,RULES!$A:$O,15,0)*1,0)</f>
        <v/>
      </c>
      <c r="AO22" s="29">
        <f>IF(N22&lt;&gt;"",N22,IFERROR(VLOOKUP(AA22,RULES!$A:$P,16,0),CONFIG!$B$8))</f>
        <v/>
      </c>
      <c r="AP22" s="29">
        <f>IF(IFERROR(VLOOKUP(AA22,RULES!$A:$Q,17,0),"")="",CONFIG!$B$13,VLOOKUP(AA22,RULES!$A:$Q,17,0))</f>
        <v/>
      </c>
      <c r="AQ22" s="29">
        <f>IF(IFERROR(VLOOKUP(AA22,RULES!$A:$R,18,0),"")="",CONFIG!$B$14,VLOOKUP(AA22,RULES!$A:$R,18,0))</f>
        <v/>
      </c>
      <c r="AR22" s="29">
        <f>IFERROR(VLOOKUP(AA22,RULES!$A:$S,19,0)*1,0)</f>
        <v/>
      </c>
      <c r="AS22" s="29">
        <f>IFERROR(VLOOKUP(AA22,RULES!$A:$T,20,0)*1,0)</f>
        <v/>
      </c>
      <c r="AT22" s="29">
        <f>IFERROR(VLOOKUP(AA22,RULES!$A:$U,21,0)*1,0)</f>
        <v/>
      </c>
      <c r="AU22" s="29">
        <f>IFERROR(VLOOKUP(AA22,RULES!$A:$V,22,0)*1,0)</f>
        <v/>
      </c>
      <c r="AV22" s="29">
        <f>IFERROR(VLOOKUP(AA22,RULES!$A:$W,23,0)*1,0)</f>
        <v/>
      </c>
      <c r="AW22" s="29">
        <f>IFERROR(IF(VLOOKUP(AA22,RULES!$A:$X,24,0)="",999999,VLOOKUP(AA22,RULES!$A:$X,24,0)*1),999999)</f>
        <v/>
      </c>
      <c r="AX22" s="29">
        <f>IFERROR(VLOOKUP(AA22,RULES!$A:$Y,25,0)*1,0)</f>
        <v/>
      </c>
      <c r="AY22" s="29">
        <f>IFERROR(VLOOKUP(AA22,RULES!$A:$Z,26,0),"NONE")</f>
        <v/>
      </c>
      <c r="AZ22" s="29">
        <f>IFERROR(VLOOKUP(AA22,RULES!$A:$AA,27,0)*1,0)</f>
        <v/>
      </c>
      <c r="BA22" s="29">
        <f>IFERROR(VLOOKUP(AA22,RULES!$A:$AB,28,0)*1,0)</f>
        <v/>
      </c>
    </row>
    <row r="23" ht="17" customHeight="1">
      <c r="A23" s="22" t="inlineStr">
        <is>
          <t>3520</t>
        </is>
      </c>
      <c r="B23" s="48" t="inlineStr">
        <is>
          <t>ACC005</t>
        </is>
      </c>
      <c r="C23" s="48" t="inlineStr">
        <is>
          <t>DEFAULT</t>
        </is>
      </c>
      <c r="D23" s="47" t="n"/>
      <c r="E23" s="22">
        <f>IF(OR(D23="",D23=0),"INACTIVE","ACTIVE")</f>
        <v/>
      </c>
      <c r="F23" s="48" t="inlineStr">
        <is>
          <t>NORMAL</t>
        </is>
      </c>
      <c r="G23" s="25" t="n"/>
      <c r="H23" s="25" t="n"/>
      <c r="I23" s="26">
        <f>IF(OR(E23="INACTIVE",H23=""),0,MAX(0,H23-G23))</f>
        <v/>
      </c>
      <c r="J23" s="23" t="n"/>
      <c r="K23" s="26">
        <f>IF(OR(E23="INACTIVE",H23=""),0,IF(AB23="DISABLED",0,IF(AB23="FLAT",AE23,IF(AB23="MANUAL",IF(J23="",0,J23*AC23),IF(AB23="STEP",IF(I23&lt;=AF23,I23*AG23,IF(I23&lt;=AH23,AF23*AG23+(I23-AF23)*AI23,AF23*AG23+(AH23-AF23)*AI23+(I23-AH23)*AK23)),MAX(I23*AC23,AD23))))))</f>
        <v/>
      </c>
      <c r="L23" s="26">
        <f>IF(OR(E23="INACTIVE",H23=""),0,IF(AL23="NONE",0,IF(AL23="FLAT",AM23,IF(AL23="PER_UNIT",I23*AN23,IF(AL23="MANUAL",IF(M23="",0,M23),0)))))</f>
        <v/>
      </c>
      <c r="M23" s="23" t="n"/>
      <c r="N23" s="48" t="inlineStr">
        <is>
          <t>NORMAL</t>
        </is>
      </c>
      <c r="O23" s="25" t="n"/>
      <c r="P23" s="25" t="n"/>
      <c r="Q23" s="26">
        <f>IF(OR(E23="INACTIVE",P23=""),0,MAX(0,P23-O23))</f>
        <v/>
      </c>
      <c r="R23" s="23" t="n"/>
      <c r="S23" s="26">
        <f>IF(OR(E23="INACTIVE",P23=""),0,IF(AO23="DISABLED",0,IF(AO23="FLAT",AR23,IF(AO23="MANUAL",IF(R23="",0,R23*AP23),IF(AO23="STEP",IF(Q23&lt;=AS23,Q23*AT23,IF(Q23&lt;=AU23,AS23*AT23+(Q23-AS23)*AV23,AS23*AT23+(AU23-AS23)*AV23+(Q23-AU23)*AX23)),MAX(Q23*AP23,AQ23))))))</f>
        <v/>
      </c>
      <c r="T23" s="26">
        <f>IF(OR(E23="INACTIVE",P23=""),0,IF(AY23="NONE",0,IF(AY23="FLAT",AZ23,IF(AY23="PER_UNIT",Q23*BA23,IF(AY23="MANUAL",IF(U23="",0,U23),0)))))</f>
        <v/>
      </c>
      <c r="U23" s="23" t="n"/>
      <c r="V23" s="25" t="n"/>
      <c r="W23" s="25" t="n"/>
      <c r="X23" s="26">
        <f>IF(E23="INACTIVE",0,D23+K23+L23+S23+T23+IF(V23="",0,V23)+IF(W23="",0,W23))</f>
        <v/>
      </c>
      <c r="Y23" s="27" t="n"/>
      <c r="Z23" s="28">
        <f>IF(E23="INACTIVE","_",IF(AND(G23&gt;0,H23&gt;0,H23&lt;G23),"[!]น้ำ reset ","")&amp;IF(AND(O23&gt;0,P23&gt;0,P23&lt;O23),"[!]ไฟ reset ","")&amp;IF(AND(F23="MANUAL",J23=""),"[X]units น้ำ ","")&amp;IF(AND(N23="MANUAL",R23=""),"[X]units ไฟ ","")&amp;IF(D23=0,"[!]ค่าเช่า=0",""))</f>
        <v/>
      </c>
      <c r="AA23" s="29">
        <f>IF(C23&lt;&gt;"",C23,CONFIG!$B$6)</f>
        <v/>
      </c>
      <c r="AB23" s="29">
        <f>IF(F23&lt;&gt;"",F23,IFERROR(VLOOKUP(AA23,RULES!$A:$C,3,0),CONFIG!$B$7))</f>
        <v/>
      </c>
      <c r="AC23" s="29">
        <f>IF(IFERROR(VLOOKUP(AA23,RULES!$A:$D,4,0),"")="",CONFIG!$B$10,VLOOKUP(AA23,RULES!$A:$D,4,0))</f>
        <v/>
      </c>
      <c r="AD23" s="29">
        <f>IF(IFERROR(VLOOKUP(AA23,RULES!$A:$E,5,0),"")="",CONFIG!$B$11,VLOOKUP(AA23,RULES!$A:$E,5,0))</f>
        <v/>
      </c>
      <c r="AE23" s="29">
        <f>IFERROR(VLOOKUP(AA23,RULES!$A:$F,6,0)*1,0)</f>
        <v/>
      </c>
      <c r="AF23" s="29">
        <f>IFERROR(VLOOKUP(AA23,RULES!$A:$G,7,0)*1,0)</f>
        <v/>
      </c>
      <c r="AG23" s="29">
        <f>IFERROR(VLOOKUP(AA23,RULES!$A:$H,8,0)*1,0)</f>
        <v/>
      </c>
      <c r="AH23" s="29">
        <f>IFERROR(VLOOKUP(AA23,RULES!$A:$I,9,0)*1,0)</f>
        <v/>
      </c>
      <c r="AI23" s="29">
        <f>IFERROR(VLOOKUP(AA23,RULES!$A:$J,10,0)*1,0)</f>
        <v/>
      </c>
      <c r="AJ23" s="29">
        <f>IFERROR(IF(VLOOKUP(AA23,RULES!$A:$K,11,0)="",999999,VLOOKUP(AA23,RULES!$A:$K,11,0)*1),999999)</f>
        <v/>
      </c>
      <c r="AK23" s="29">
        <f>IFERROR(VLOOKUP(AA23,RULES!$A:$L,12,0)*1,0)</f>
        <v/>
      </c>
      <c r="AL23" s="29">
        <f>IFERROR(VLOOKUP(AA23,RULES!$A:$M,13,0),"NONE")</f>
        <v/>
      </c>
      <c r="AM23" s="29">
        <f>IFERROR(VLOOKUP(AA23,RULES!$A:$N,14,0)*1,0)</f>
        <v/>
      </c>
      <c r="AN23" s="29">
        <f>IFERROR(VLOOKUP(AA23,RULES!$A:$O,15,0)*1,0)</f>
        <v/>
      </c>
      <c r="AO23" s="29">
        <f>IF(N23&lt;&gt;"",N23,IFERROR(VLOOKUP(AA23,RULES!$A:$P,16,0),CONFIG!$B$8))</f>
        <v/>
      </c>
      <c r="AP23" s="29">
        <f>IF(IFERROR(VLOOKUP(AA23,RULES!$A:$Q,17,0),"")="",CONFIG!$B$13,VLOOKUP(AA23,RULES!$A:$Q,17,0))</f>
        <v/>
      </c>
      <c r="AQ23" s="29">
        <f>IF(IFERROR(VLOOKUP(AA23,RULES!$A:$R,18,0),"")="",CONFIG!$B$14,VLOOKUP(AA23,RULES!$A:$R,18,0))</f>
        <v/>
      </c>
      <c r="AR23" s="29">
        <f>IFERROR(VLOOKUP(AA23,RULES!$A:$S,19,0)*1,0)</f>
        <v/>
      </c>
      <c r="AS23" s="29">
        <f>IFERROR(VLOOKUP(AA23,RULES!$A:$T,20,0)*1,0)</f>
        <v/>
      </c>
      <c r="AT23" s="29">
        <f>IFERROR(VLOOKUP(AA23,RULES!$A:$U,21,0)*1,0)</f>
        <v/>
      </c>
      <c r="AU23" s="29">
        <f>IFERROR(VLOOKUP(AA23,RULES!$A:$V,22,0)*1,0)</f>
        <v/>
      </c>
      <c r="AV23" s="29">
        <f>IFERROR(VLOOKUP(AA23,RULES!$A:$W,23,0)*1,0)</f>
        <v/>
      </c>
      <c r="AW23" s="29">
        <f>IFERROR(IF(VLOOKUP(AA23,RULES!$A:$X,24,0)="",999999,VLOOKUP(AA23,RULES!$A:$X,24,0)*1),999999)</f>
        <v/>
      </c>
      <c r="AX23" s="29">
        <f>IFERROR(VLOOKUP(AA23,RULES!$A:$Y,25,0)*1,0)</f>
        <v/>
      </c>
      <c r="AY23" s="29">
        <f>IFERROR(VLOOKUP(AA23,RULES!$A:$Z,26,0),"NONE")</f>
        <v/>
      </c>
      <c r="AZ23" s="29">
        <f>IFERROR(VLOOKUP(AA23,RULES!$A:$AA,27,0)*1,0)</f>
        <v/>
      </c>
      <c r="BA23" s="29">
        <f>IFERROR(VLOOKUP(AA23,RULES!$A:$AB,28,0)*1,0)</f>
        <v/>
      </c>
    </row>
    <row r="24" ht="17" customHeight="1">
      <c r="A24" s="22" t="inlineStr">
        <is>
          <t>3521</t>
        </is>
      </c>
      <c r="B24" s="48" t="inlineStr">
        <is>
          <t>ACC005</t>
        </is>
      </c>
      <c r="C24" s="48" t="inlineStr">
        <is>
          <t>DEFAULT</t>
        </is>
      </c>
      <c r="D24" s="47" t="n"/>
      <c r="E24" s="22">
        <f>IF(OR(D24="",D24=0),"INACTIVE","ACTIVE")</f>
        <v/>
      </c>
      <c r="F24" s="48" t="inlineStr">
        <is>
          <t>NORMAL</t>
        </is>
      </c>
      <c r="G24" s="25" t="n"/>
      <c r="H24" s="25" t="n"/>
      <c r="I24" s="26">
        <f>IF(OR(E24="INACTIVE",H24=""),0,MAX(0,H24-G24))</f>
        <v/>
      </c>
      <c r="J24" s="23" t="n"/>
      <c r="K24" s="26">
        <f>IF(OR(E24="INACTIVE",H24=""),0,IF(AB24="DISABLED",0,IF(AB24="FLAT",AE24,IF(AB24="MANUAL",IF(J24="",0,J24*AC24),IF(AB24="STEP",IF(I24&lt;=AF24,I24*AG24,IF(I24&lt;=AH24,AF24*AG24+(I24-AF24)*AI24,AF24*AG24+(AH24-AF24)*AI24+(I24-AH24)*AK24)),MAX(I24*AC24,AD24))))))</f>
        <v/>
      </c>
      <c r="L24" s="26">
        <f>IF(OR(E24="INACTIVE",H24=""),0,IF(AL24="NONE",0,IF(AL24="FLAT",AM24,IF(AL24="PER_UNIT",I24*AN24,IF(AL24="MANUAL",IF(M24="",0,M24),0)))))</f>
        <v/>
      </c>
      <c r="M24" s="23" t="n"/>
      <c r="N24" s="48" t="inlineStr">
        <is>
          <t>NORMAL</t>
        </is>
      </c>
      <c r="O24" s="25" t="n"/>
      <c r="P24" s="25" t="n"/>
      <c r="Q24" s="26">
        <f>IF(OR(E24="INACTIVE",P24=""),0,MAX(0,P24-O24))</f>
        <v/>
      </c>
      <c r="R24" s="23" t="n"/>
      <c r="S24" s="26">
        <f>IF(OR(E24="INACTIVE",P24=""),0,IF(AO24="DISABLED",0,IF(AO24="FLAT",AR24,IF(AO24="MANUAL",IF(R24="",0,R24*AP24),IF(AO24="STEP",IF(Q24&lt;=AS24,Q24*AT24,IF(Q24&lt;=AU24,AS24*AT24+(Q24-AS24)*AV24,AS24*AT24+(AU24-AS24)*AV24+(Q24-AU24)*AX24)),MAX(Q24*AP24,AQ24))))))</f>
        <v/>
      </c>
      <c r="T24" s="26">
        <f>IF(OR(E24="INACTIVE",P24=""),0,IF(AY24="NONE",0,IF(AY24="FLAT",AZ24,IF(AY24="PER_UNIT",Q24*BA24,IF(AY24="MANUAL",IF(U24="",0,U24),0)))))</f>
        <v/>
      </c>
      <c r="U24" s="23" t="n"/>
      <c r="V24" s="25" t="n"/>
      <c r="W24" s="25" t="n"/>
      <c r="X24" s="26">
        <f>IF(E24="INACTIVE",0,D24+K24+L24+S24+T24+IF(V24="",0,V24)+IF(W24="",0,W24))</f>
        <v/>
      </c>
      <c r="Y24" s="27" t="n"/>
      <c r="Z24" s="28">
        <f>IF(E24="INACTIVE","_",IF(AND(G24&gt;0,H24&gt;0,H24&lt;G24),"[!]น้ำ reset ","")&amp;IF(AND(O24&gt;0,P24&gt;0,P24&lt;O24),"[!]ไฟ reset ","")&amp;IF(AND(F24="MANUAL",J24=""),"[X]units น้ำ ","")&amp;IF(AND(N24="MANUAL",R24=""),"[X]units ไฟ ","")&amp;IF(D24=0,"[!]ค่าเช่า=0",""))</f>
        <v/>
      </c>
      <c r="AA24" s="29">
        <f>IF(C24&lt;&gt;"",C24,CONFIG!$B$6)</f>
        <v/>
      </c>
      <c r="AB24" s="29">
        <f>IF(F24&lt;&gt;"",F24,IFERROR(VLOOKUP(AA24,RULES!$A:$C,3,0),CONFIG!$B$7))</f>
        <v/>
      </c>
      <c r="AC24" s="29">
        <f>IF(IFERROR(VLOOKUP(AA24,RULES!$A:$D,4,0),"")="",CONFIG!$B$10,VLOOKUP(AA24,RULES!$A:$D,4,0))</f>
        <v/>
      </c>
      <c r="AD24" s="29">
        <f>IF(IFERROR(VLOOKUP(AA24,RULES!$A:$E,5,0),"")="",CONFIG!$B$11,VLOOKUP(AA24,RULES!$A:$E,5,0))</f>
        <v/>
      </c>
      <c r="AE24" s="29">
        <f>IFERROR(VLOOKUP(AA24,RULES!$A:$F,6,0)*1,0)</f>
        <v/>
      </c>
      <c r="AF24" s="29">
        <f>IFERROR(VLOOKUP(AA24,RULES!$A:$G,7,0)*1,0)</f>
        <v/>
      </c>
      <c r="AG24" s="29">
        <f>IFERROR(VLOOKUP(AA24,RULES!$A:$H,8,0)*1,0)</f>
        <v/>
      </c>
      <c r="AH24" s="29">
        <f>IFERROR(VLOOKUP(AA24,RULES!$A:$I,9,0)*1,0)</f>
        <v/>
      </c>
      <c r="AI24" s="29">
        <f>IFERROR(VLOOKUP(AA24,RULES!$A:$J,10,0)*1,0)</f>
        <v/>
      </c>
      <c r="AJ24" s="29">
        <f>IFERROR(IF(VLOOKUP(AA24,RULES!$A:$K,11,0)="",999999,VLOOKUP(AA24,RULES!$A:$K,11,0)*1),999999)</f>
        <v/>
      </c>
      <c r="AK24" s="29">
        <f>IFERROR(VLOOKUP(AA24,RULES!$A:$L,12,0)*1,0)</f>
        <v/>
      </c>
      <c r="AL24" s="29">
        <f>IFERROR(VLOOKUP(AA24,RULES!$A:$M,13,0),"NONE")</f>
        <v/>
      </c>
      <c r="AM24" s="29">
        <f>IFERROR(VLOOKUP(AA24,RULES!$A:$N,14,0)*1,0)</f>
        <v/>
      </c>
      <c r="AN24" s="29">
        <f>IFERROR(VLOOKUP(AA24,RULES!$A:$O,15,0)*1,0)</f>
        <v/>
      </c>
      <c r="AO24" s="29">
        <f>IF(N24&lt;&gt;"",N24,IFERROR(VLOOKUP(AA24,RULES!$A:$P,16,0),CONFIG!$B$8))</f>
        <v/>
      </c>
      <c r="AP24" s="29">
        <f>IF(IFERROR(VLOOKUP(AA24,RULES!$A:$Q,17,0),"")="",CONFIG!$B$13,VLOOKUP(AA24,RULES!$A:$Q,17,0))</f>
        <v/>
      </c>
      <c r="AQ24" s="29">
        <f>IF(IFERROR(VLOOKUP(AA24,RULES!$A:$R,18,0),"")="",CONFIG!$B$14,VLOOKUP(AA24,RULES!$A:$R,18,0))</f>
        <v/>
      </c>
      <c r="AR24" s="29">
        <f>IFERROR(VLOOKUP(AA24,RULES!$A:$S,19,0)*1,0)</f>
        <v/>
      </c>
      <c r="AS24" s="29">
        <f>IFERROR(VLOOKUP(AA24,RULES!$A:$T,20,0)*1,0)</f>
        <v/>
      </c>
      <c r="AT24" s="29">
        <f>IFERROR(VLOOKUP(AA24,RULES!$A:$U,21,0)*1,0)</f>
        <v/>
      </c>
      <c r="AU24" s="29">
        <f>IFERROR(VLOOKUP(AA24,RULES!$A:$V,22,0)*1,0)</f>
        <v/>
      </c>
      <c r="AV24" s="29">
        <f>IFERROR(VLOOKUP(AA24,RULES!$A:$W,23,0)*1,0)</f>
        <v/>
      </c>
      <c r="AW24" s="29">
        <f>IFERROR(IF(VLOOKUP(AA24,RULES!$A:$X,24,0)="",999999,VLOOKUP(AA24,RULES!$A:$X,24,0)*1),999999)</f>
        <v/>
      </c>
      <c r="AX24" s="29">
        <f>IFERROR(VLOOKUP(AA24,RULES!$A:$Y,25,0)*1,0)</f>
        <v/>
      </c>
      <c r="AY24" s="29">
        <f>IFERROR(VLOOKUP(AA24,RULES!$A:$Z,26,0),"NONE")</f>
        <v/>
      </c>
      <c r="AZ24" s="29">
        <f>IFERROR(VLOOKUP(AA24,RULES!$A:$AA,27,0)*1,0)</f>
        <v/>
      </c>
      <c r="BA24" s="29">
        <f>IFERROR(VLOOKUP(AA24,RULES!$A:$AB,28,0)*1,0)</f>
        <v/>
      </c>
    </row>
    <row r="25" ht="17" customHeight="1">
      <c r="A25" s="22" t="inlineStr">
        <is>
          <t>3522</t>
        </is>
      </c>
      <c r="B25" s="48" t="inlineStr">
        <is>
          <t>ACC005</t>
        </is>
      </c>
      <c r="C25" s="48" t="inlineStr">
        <is>
          <t>DEFAULT</t>
        </is>
      </c>
      <c r="D25" s="47" t="n"/>
      <c r="E25" s="22">
        <f>IF(OR(D25="",D25=0),"INACTIVE","ACTIVE")</f>
        <v/>
      </c>
      <c r="F25" s="48" t="inlineStr">
        <is>
          <t>NORMAL</t>
        </is>
      </c>
      <c r="G25" s="25" t="n"/>
      <c r="H25" s="25" t="n"/>
      <c r="I25" s="26">
        <f>IF(OR(E25="INACTIVE",H25=""),0,MAX(0,H25-G25))</f>
        <v/>
      </c>
      <c r="J25" s="23" t="n"/>
      <c r="K25" s="26">
        <f>IF(OR(E25="INACTIVE",H25=""),0,IF(AB25="DISABLED",0,IF(AB25="FLAT",AE25,IF(AB25="MANUAL",IF(J25="",0,J25*AC25),IF(AB25="STEP",IF(I25&lt;=AF25,I25*AG25,IF(I25&lt;=AH25,AF25*AG25+(I25-AF25)*AI25,AF25*AG25+(AH25-AF25)*AI25+(I25-AH25)*AK25)),MAX(I25*AC25,AD25))))))</f>
        <v/>
      </c>
      <c r="L25" s="26">
        <f>IF(OR(E25="INACTIVE",H25=""),0,IF(AL25="NONE",0,IF(AL25="FLAT",AM25,IF(AL25="PER_UNIT",I25*AN25,IF(AL25="MANUAL",IF(M25="",0,M25),0)))))</f>
        <v/>
      </c>
      <c r="M25" s="23" t="n"/>
      <c r="N25" s="48" t="inlineStr">
        <is>
          <t>NORMAL</t>
        </is>
      </c>
      <c r="O25" s="25" t="n"/>
      <c r="P25" s="25" t="n"/>
      <c r="Q25" s="26">
        <f>IF(OR(E25="INACTIVE",P25=""),0,MAX(0,P25-O25))</f>
        <v/>
      </c>
      <c r="R25" s="23" t="n"/>
      <c r="S25" s="26">
        <f>IF(OR(E25="INACTIVE",P25=""),0,IF(AO25="DISABLED",0,IF(AO25="FLAT",AR25,IF(AO25="MANUAL",IF(R25="",0,R25*AP25),IF(AO25="STEP",IF(Q25&lt;=AS25,Q25*AT25,IF(Q25&lt;=AU25,AS25*AT25+(Q25-AS25)*AV25,AS25*AT25+(AU25-AS25)*AV25+(Q25-AU25)*AX25)),MAX(Q25*AP25,AQ25))))))</f>
        <v/>
      </c>
      <c r="T25" s="26">
        <f>IF(OR(E25="INACTIVE",P25=""),0,IF(AY25="NONE",0,IF(AY25="FLAT",AZ25,IF(AY25="PER_UNIT",Q25*BA25,IF(AY25="MANUAL",IF(U25="",0,U25),0)))))</f>
        <v/>
      </c>
      <c r="U25" s="23" t="n"/>
      <c r="V25" s="25" t="n"/>
      <c r="W25" s="25" t="n"/>
      <c r="X25" s="26">
        <f>IF(E25="INACTIVE",0,D25+K25+L25+S25+T25+IF(V25="",0,V25)+IF(W25="",0,W25))</f>
        <v/>
      </c>
      <c r="Y25" s="27" t="n"/>
      <c r="Z25" s="28">
        <f>IF(E25="INACTIVE","_",IF(AND(G25&gt;0,H25&gt;0,H25&lt;G25),"[!]น้ำ reset ","")&amp;IF(AND(O25&gt;0,P25&gt;0,P25&lt;O25),"[!]ไฟ reset ","")&amp;IF(AND(F25="MANUAL",J25=""),"[X]units น้ำ ","")&amp;IF(AND(N25="MANUAL",R25=""),"[X]units ไฟ ","")&amp;IF(D25=0,"[!]ค่าเช่า=0",""))</f>
        <v/>
      </c>
      <c r="AA25" s="29">
        <f>IF(C25&lt;&gt;"",C25,CONFIG!$B$6)</f>
        <v/>
      </c>
      <c r="AB25" s="29">
        <f>IF(F25&lt;&gt;"",F25,IFERROR(VLOOKUP(AA25,RULES!$A:$C,3,0),CONFIG!$B$7))</f>
        <v/>
      </c>
      <c r="AC25" s="29">
        <f>IF(IFERROR(VLOOKUP(AA25,RULES!$A:$D,4,0),"")="",CONFIG!$B$10,VLOOKUP(AA25,RULES!$A:$D,4,0))</f>
        <v/>
      </c>
      <c r="AD25" s="29">
        <f>IF(IFERROR(VLOOKUP(AA25,RULES!$A:$E,5,0),"")="",CONFIG!$B$11,VLOOKUP(AA25,RULES!$A:$E,5,0))</f>
        <v/>
      </c>
      <c r="AE25" s="29">
        <f>IFERROR(VLOOKUP(AA25,RULES!$A:$F,6,0)*1,0)</f>
        <v/>
      </c>
      <c r="AF25" s="29">
        <f>IFERROR(VLOOKUP(AA25,RULES!$A:$G,7,0)*1,0)</f>
        <v/>
      </c>
      <c r="AG25" s="29">
        <f>IFERROR(VLOOKUP(AA25,RULES!$A:$H,8,0)*1,0)</f>
        <v/>
      </c>
      <c r="AH25" s="29">
        <f>IFERROR(VLOOKUP(AA25,RULES!$A:$I,9,0)*1,0)</f>
        <v/>
      </c>
      <c r="AI25" s="29">
        <f>IFERROR(VLOOKUP(AA25,RULES!$A:$J,10,0)*1,0)</f>
        <v/>
      </c>
      <c r="AJ25" s="29">
        <f>IFERROR(IF(VLOOKUP(AA25,RULES!$A:$K,11,0)="",999999,VLOOKUP(AA25,RULES!$A:$K,11,0)*1),999999)</f>
        <v/>
      </c>
      <c r="AK25" s="29">
        <f>IFERROR(VLOOKUP(AA25,RULES!$A:$L,12,0)*1,0)</f>
        <v/>
      </c>
      <c r="AL25" s="29">
        <f>IFERROR(VLOOKUP(AA25,RULES!$A:$M,13,0),"NONE")</f>
        <v/>
      </c>
      <c r="AM25" s="29">
        <f>IFERROR(VLOOKUP(AA25,RULES!$A:$N,14,0)*1,0)</f>
        <v/>
      </c>
      <c r="AN25" s="29">
        <f>IFERROR(VLOOKUP(AA25,RULES!$A:$O,15,0)*1,0)</f>
        <v/>
      </c>
      <c r="AO25" s="29">
        <f>IF(N25&lt;&gt;"",N25,IFERROR(VLOOKUP(AA25,RULES!$A:$P,16,0),CONFIG!$B$8))</f>
        <v/>
      </c>
      <c r="AP25" s="29">
        <f>IF(IFERROR(VLOOKUP(AA25,RULES!$A:$Q,17,0),"")="",CONFIG!$B$13,VLOOKUP(AA25,RULES!$A:$Q,17,0))</f>
        <v/>
      </c>
      <c r="AQ25" s="29">
        <f>IF(IFERROR(VLOOKUP(AA25,RULES!$A:$R,18,0),"")="",CONFIG!$B$14,VLOOKUP(AA25,RULES!$A:$R,18,0))</f>
        <v/>
      </c>
      <c r="AR25" s="29">
        <f>IFERROR(VLOOKUP(AA25,RULES!$A:$S,19,0)*1,0)</f>
        <v/>
      </c>
      <c r="AS25" s="29">
        <f>IFERROR(VLOOKUP(AA25,RULES!$A:$T,20,0)*1,0)</f>
        <v/>
      </c>
      <c r="AT25" s="29">
        <f>IFERROR(VLOOKUP(AA25,RULES!$A:$U,21,0)*1,0)</f>
        <v/>
      </c>
      <c r="AU25" s="29">
        <f>IFERROR(VLOOKUP(AA25,RULES!$A:$V,22,0)*1,0)</f>
        <v/>
      </c>
      <c r="AV25" s="29">
        <f>IFERROR(VLOOKUP(AA25,RULES!$A:$W,23,0)*1,0)</f>
        <v/>
      </c>
      <c r="AW25" s="29">
        <f>IFERROR(IF(VLOOKUP(AA25,RULES!$A:$X,24,0)="",999999,VLOOKUP(AA25,RULES!$A:$X,24,0)*1),999999)</f>
        <v/>
      </c>
      <c r="AX25" s="29">
        <f>IFERROR(VLOOKUP(AA25,RULES!$A:$Y,25,0)*1,0)</f>
        <v/>
      </c>
      <c r="AY25" s="29">
        <f>IFERROR(VLOOKUP(AA25,RULES!$A:$Z,26,0),"NONE")</f>
        <v/>
      </c>
      <c r="AZ25" s="29">
        <f>IFERROR(VLOOKUP(AA25,RULES!$A:$AA,27,0)*1,0)</f>
        <v/>
      </c>
      <c r="BA25" s="29">
        <f>IFERROR(VLOOKUP(AA25,RULES!$A:$AB,28,0)*1,0)</f>
        <v/>
      </c>
    </row>
    <row r="26" ht="17" customHeight="1">
      <c r="A26" s="22" t="inlineStr">
        <is>
          <t>3523</t>
        </is>
      </c>
      <c r="B26" s="48" t="inlineStr">
        <is>
          <t>ACC005</t>
        </is>
      </c>
      <c r="C26" s="48" t="inlineStr">
        <is>
          <t>DEFAULT</t>
        </is>
      </c>
      <c r="D26" s="47" t="n"/>
      <c r="E26" s="22">
        <f>IF(OR(D26="",D26=0),"INACTIVE","ACTIVE")</f>
        <v/>
      </c>
      <c r="F26" s="48" t="inlineStr">
        <is>
          <t>NORMAL</t>
        </is>
      </c>
      <c r="G26" s="25" t="n"/>
      <c r="H26" s="25" t="n"/>
      <c r="I26" s="26">
        <f>IF(OR(E26="INACTIVE",H26=""),0,MAX(0,H26-G26))</f>
        <v/>
      </c>
      <c r="J26" s="23" t="n"/>
      <c r="K26" s="26">
        <f>IF(OR(E26="INACTIVE",H26=""),0,IF(AB26="DISABLED",0,IF(AB26="FLAT",AE26,IF(AB26="MANUAL",IF(J26="",0,J26*AC26),IF(AB26="STEP",IF(I26&lt;=AF26,I26*AG26,IF(I26&lt;=AH26,AF26*AG26+(I26-AF26)*AI26,AF26*AG26+(AH26-AF26)*AI26+(I26-AH26)*AK26)),MAX(I26*AC26,AD26))))))</f>
        <v/>
      </c>
      <c r="L26" s="26">
        <f>IF(OR(E26="INACTIVE",H26=""),0,IF(AL26="NONE",0,IF(AL26="FLAT",AM26,IF(AL26="PER_UNIT",I26*AN26,IF(AL26="MANUAL",IF(M26="",0,M26),0)))))</f>
        <v/>
      </c>
      <c r="M26" s="23" t="n"/>
      <c r="N26" s="48" t="inlineStr">
        <is>
          <t>NORMAL</t>
        </is>
      </c>
      <c r="O26" s="25" t="n"/>
      <c r="P26" s="25" t="n"/>
      <c r="Q26" s="26">
        <f>IF(OR(E26="INACTIVE",P26=""),0,MAX(0,P26-O26))</f>
        <v/>
      </c>
      <c r="R26" s="23" t="n"/>
      <c r="S26" s="26">
        <f>IF(OR(E26="INACTIVE",P26=""),0,IF(AO26="DISABLED",0,IF(AO26="FLAT",AR26,IF(AO26="MANUAL",IF(R26="",0,R26*AP26),IF(AO26="STEP",IF(Q26&lt;=AS26,Q26*AT26,IF(Q26&lt;=AU26,AS26*AT26+(Q26-AS26)*AV26,AS26*AT26+(AU26-AS26)*AV26+(Q26-AU26)*AX26)),MAX(Q26*AP26,AQ26))))))</f>
        <v/>
      </c>
      <c r="T26" s="26">
        <f>IF(OR(E26="INACTIVE",P26=""),0,IF(AY26="NONE",0,IF(AY26="FLAT",AZ26,IF(AY26="PER_UNIT",Q26*BA26,IF(AY26="MANUAL",IF(U26="",0,U26),0)))))</f>
        <v/>
      </c>
      <c r="U26" s="23" t="n"/>
      <c r="V26" s="25" t="n"/>
      <c r="W26" s="25" t="n"/>
      <c r="X26" s="26">
        <f>IF(E26="INACTIVE",0,D26+K26+L26+S26+T26+IF(V26="",0,V26)+IF(W26="",0,W26))</f>
        <v/>
      </c>
      <c r="Y26" s="27" t="n"/>
      <c r="Z26" s="28">
        <f>IF(E26="INACTIVE","_",IF(AND(G26&gt;0,H26&gt;0,H26&lt;G26),"[!]น้ำ reset ","")&amp;IF(AND(O26&gt;0,P26&gt;0,P26&lt;O26),"[!]ไฟ reset ","")&amp;IF(AND(F26="MANUAL",J26=""),"[X]units น้ำ ","")&amp;IF(AND(N26="MANUAL",R26=""),"[X]units ไฟ ","")&amp;IF(D26=0,"[!]ค่าเช่า=0",""))</f>
        <v/>
      </c>
      <c r="AA26" s="29">
        <f>IF(C26&lt;&gt;"",C26,CONFIG!$B$6)</f>
        <v/>
      </c>
      <c r="AB26" s="29">
        <f>IF(F26&lt;&gt;"",F26,IFERROR(VLOOKUP(AA26,RULES!$A:$C,3,0),CONFIG!$B$7))</f>
        <v/>
      </c>
      <c r="AC26" s="29">
        <f>IF(IFERROR(VLOOKUP(AA26,RULES!$A:$D,4,0),"")="",CONFIG!$B$10,VLOOKUP(AA26,RULES!$A:$D,4,0))</f>
        <v/>
      </c>
      <c r="AD26" s="29">
        <f>IF(IFERROR(VLOOKUP(AA26,RULES!$A:$E,5,0),"")="",CONFIG!$B$11,VLOOKUP(AA26,RULES!$A:$E,5,0))</f>
        <v/>
      </c>
      <c r="AE26" s="29">
        <f>IFERROR(VLOOKUP(AA26,RULES!$A:$F,6,0)*1,0)</f>
        <v/>
      </c>
      <c r="AF26" s="29">
        <f>IFERROR(VLOOKUP(AA26,RULES!$A:$G,7,0)*1,0)</f>
        <v/>
      </c>
      <c r="AG26" s="29">
        <f>IFERROR(VLOOKUP(AA26,RULES!$A:$H,8,0)*1,0)</f>
        <v/>
      </c>
      <c r="AH26" s="29">
        <f>IFERROR(VLOOKUP(AA26,RULES!$A:$I,9,0)*1,0)</f>
        <v/>
      </c>
      <c r="AI26" s="29">
        <f>IFERROR(VLOOKUP(AA26,RULES!$A:$J,10,0)*1,0)</f>
        <v/>
      </c>
      <c r="AJ26" s="29">
        <f>IFERROR(IF(VLOOKUP(AA26,RULES!$A:$K,11,0)="",999999,VLOOKUP(AA26,RULES!$A:$K,11,0)*1),999999)</f>
        <v/>
      </c>
      <c r="AK26" s="29">
        <f>IFERROR(VLOOKUP(AA26,RULES!$A:$L,12,0)*1,0)</f>
        <v/>
      </c>
      <c r="AL26" s="29">
        <f>IFERROR(VLOOKUP(AA26,RULES!$A:$M,13,0),"NONE")</f>
        <v/>
      </c>
      <c r="AM26" s="29">
        <f>IFERROR(VLOOKUP(AA26,RULES!$A:$N,14,0)*1,0)</f>
        <v/>
      </c>
      <c r="AN26" s="29">
        <f>IFERROR(VLOOKUP(AA26,RULES!$A:$O,15,0)*1,0)</f>
        <v/>
      </c>
      <c r="AO26" s="29">
        <f>IF(N26&lt;&gt;"",N26,IFERROR(VLOOKUP(AA26,RULES!$A:$P,16,0),CONFIG!$B$8))</f>
        <v/>
      </c>
      <c r="AP26" s="29">
        <f>IF(IFERROR(VLOOKUP(AA26,RULES!$A:$Q,17,0),"")="",CONFIG!$B$13,VLOOKUP(AA26,RULES!$A:$Q,17,0))</f>
        <v/>
      </c>
      <c r="AQ26" s="29">
        <f>IF(IFERROR(VLOOKUP(AA26,RULES!$A:$R,18,0),"")="",CONFIG!$B$14,VLOOKUP(AA26,RULES!$A:$R,18,0))</f>
        <v/>
      </c>
      <c r="AR26" s="29">
        <f>IFERROR(VLOOKUP(AA26,RULES!$A:$S,19,0)*1,0)</f>
        <v/>
      </c>
      <c r="AS26" s="29">
        <f>IFERROR(VLOOKUP(AA26,RULES!$A:$T,20,0)*1,0)</f>
        <v/>
      </c>
      <c r="AT26" s="29">
        <f>IFERROR(VLOOKUP(AA26,RULES!$A:$U,21,0)*1,0)</f>
        <v/>
      </c>
      <c r="AU26" s="29">
        <f>IFERROR(VLOOKUP(AA26,RULES!$A:$V,22,0)*1,0)</f>
        <v/>
      </c>
      <c r="AV26" s="29">
        <f>IFERROR(VLOOKUP(AA26,RULES!$A:$W,23,0)*1,0)</f>
        <v/>
      </c>
      <c r="AW26" s="29">
        <f>IFERROR(IF(VLOOKUP(AA26,RULES!$A:$X,24,0)="",999999,VLOOKUP(AA26,RULES!$A:$X,24,0)*1),999999)</f>
        <v/>
      </c>
      <c r="AX26" s="29">
        <f>IFERROR(VLOOKUP(AA26,RULES!$A:$Y,25,0)*1,0)</f>
        <v/>
      </c>
      <c r="AY26" s="29">
        <f>IFERROR(VLOOKUP(AA26,RULES!$A:$Z,26,0),"NONE")</f>
        <v/>
      </c>
      <c r="AZ26" s="29">
        <f>IFERROR(VLOOKUP(AA26,RULES!$A:$AA,27,0)*1,0)</f>
        <v/>
      </c>
      <c r="BA26" s="29">
        <f>IFERROR(VLOOKUP(AA26,RULES!$A:$AB,28,0)*1,0)</f>
        <v/>
      </c>
    </row>
    <row r="27" ht="17" customHeight="1">
      <c r="A27" s="22" t="inlineStr">
        <is>
          <t>3524</t>
        </is>
      </c>
      <c r="B27" s="48" t="inlineStr">
        <is>
          <t>ACC005</t>
        </is>
      </c>
      <c r="C27" s="48" t="inlineStr">
        <is>
          <t>DEFAULT</t>
        </is>
      </c>
      <c r="D27" s="47" t="n"/>
      <c r="E27" s="22">
        <f>IF(OR(D27="",D27=0),"INACTIVE","ACTIVE")</f>
        <v/>
      </c>
      <c r="F27" s="48" t="inlineStr">
        <is>
          <t>NORMAL</t>
        </is>
      </c>
      <c r="G27" s="25" t="n"/>
      <c r="H27" s="25" t="n"/>
      <c r="I27" s="26">
        <f>IF(OR(E27="INACTIVE",H27=""),0,MAX(0,H27-G27))</f>
        <v/>
      </c>
      <c r="J27" s="23" t="n"/>
      <c r="K27" s="26">
        <f>IF(OR(E27="INACTIVE",H27=""),0,IF(AB27="DISABLED",0,IF(AB27="FLAT",AE27,IF(AB27="MANUAL",IF(J27="",0,J27*AC27),IF(AB27="STEP",IF(I27&lt;=AF27,I27*AG27,IF(I27&lt;=AH27,AF27*AG27+(I27-AF27)*AI27,AF27*AG27+(AH27-AF27)*AI27+(I27-AH27)*AK27)),MAX(I27*AC27,AD27))))))</f>
        <v/>
      </c>
      <c r="L27" s="26">
        <f>IF(OR(E27="INACTIVE",H27=""),0,IF(AL27="NONE",0,IF(AL27="FLAT",AM27,IF(AL27="PER_UNIT",I27*AN27,IF(AL27="MANUAL",IF(M27="",0,M27),0)))))</f>
        <v/>
      </c>
      <c r="M27" s="23" t="n"/>
      <c r="N27" s="48" t="inlineStr">
        <is>
          <t>NORMAL</t>
        </is>
      </c>
      <c r="O27" s="25" t="n"/>
      <c r="P27" s="25" t="n"/>
      <c r="Q27" s="26">
        <f>IF(OR(E27="INACTIVE",P27=""),0,MAX(0,P27-O27))</f>
        <v/>
      </c>
      <c r="R27" s="23" t="n"/>
      <c r="S27" s="26">
        <f>IF(OR(E27="INACTIVE",P27=""),0,IF(AO27="DISABLED",0,IF(AO27="FLAT",AR27,IF(AO27="MANUAL",IF(R27="",0,R27*AP27),IF(AO27="STEP",IF(Q27&lt;=AS27,Q27*AT27,IF(Q27&lt;=AU27,AS27*AT27+(Q27-AS27)*AV27,AS27*AT27+(AU27-AS27)*AV27+(Q27-AU27)*AX27)),MAX(Q27*AP27,AQ27))))))</f>
        <v/>
      </c>
      <c r="T27" s="26">
        <f>IF(OR(E27="INACTIVE",P27=""),0,IF(AY27="NONE",0,IF(AY27="FLAT",AZ27,IF(AY27="PER_UNIT",Q27*BA27,IF(AY27="MANUAL",IF(U27="",0,U27),0)))))</f>
        <v/>
      </c>
      <c r="U27" s="23" t="n"/>
      <c r="V27" s="25" t="n"/>
      <c r="W27" s="25" t="n"/>
      <c r="X27" s="26">
        <f>IF(E27="INACTIVE",0,D27+K27+L27+S27+T27+IF(V27="",0,V27)+IF(W27="",0,W27))</f>
        <v/>
      </c>
      <c r="Y27" s="27" t="n"/>
      <c r="Z27" s="28">
        <f>IF(E27="INACTIVE","_",IF(AND(G27&gt;0,H27&gt;0,H27&lt;G27),"[!]น้ำ reset ","")&amp;IF(AND(O27&gt;0,P27&gt;0,P27&lt;O27),"[!]ไฟ reset ","")&amp;IF(AND(F27="MANUAL",J27=""),"[X]units น้ำ ","")&amp;IF(AND(N27="MANUAL",R27=""),"[X]units ไฟ ","")&amp;IF(D27=0,"[!]ค่าเช่า=0",""))</f>
        <v/>
      </c>
      <c r="AA27" s="29">
        <f>IF(C27&lt;&gt;"",C27,CONFIG!$B$6)</f>
        <v/>
      </c>
      <c r="AB27" s="29">
        <f>IF(F27&lt;&gt;"",F27,IFERROR(VLOOKUP(AA27,RULES!$A:$C,3,0),CONFIG!$B$7))</f>
        <v/>
      </c>
      <c r="AC27" s="29">
        <f>IF(IFERROR(VLOOKUP(AA27,RULES!$A:$D,4,0),"")="",CONFIG!$B$10,VLOOKUP(AA27,RULES!$A:$D,4,0))</f>
        <v/>
      </c>
      <c r="AD27" s="29">
        <f>IF(IFERROR(VLOOKUP(AA27,RULES!$A:$E,5,0),"")="",CONFIG!$B$11,VLOOKUP(AA27,RULES!$A:$E,5,0))</f>
        <v/>
      </c>
      <c r="AE27" s="29">
        <f>IFERROR(VLOOKUP(AA27,RULES!$A:$F,6,0)*1,0)</f>
        <v/>
      </c>
      <c r="AF27" s="29">
        <f>IFERROR(VLOOKUP(AA27,RULES!$A:$G,7,0)*1,0)</f>
        <v/>
      </c>
      <c r="AG27" s="29">
        <f>IFERROR(VLOOKUP(AA27,RULES!$A:$H,8,0)*1,0)</f>
        <v/>
      </c>
      <c r="AH27" s="29">
        <f>IFERROR(VLOOKUP(AA27,RULES!$A:$I,9,0)*1,0)</f>
        <v/>
      </c>
      <c r="AI27" s="29">
        <f>IFERROR(VLOOKUP(AA27,RULES!$A:$J,10,0)*1,0)</f>
        <v/>
      </c>
      <c r="AJ27" s="29">
        <f>IFERROR(IF(VLOOKUP(AA27,RULES!$A:$K,11,0)="",999999,VLOOKUP(AA27,RULES!$A:$K,11,0)*1),999999)</f>
        <v/>
      </c>
      <c r="AK27" s="29">
        <f>IFERROR(VLOOKUP(AA27,RULES!$A:$L,12,0)*1,0)</f>
        <v/>
      </c>
      <c r="AL27" s="29">
        <f>IFERROR(VLOOKUP(AA27,RULES!$A:$M,13,0),"NONE")</f>
        <v/>
      </c>
      <c r="AM27" s="29">
        <f>IFERROR(VLOOKUP(AA27,RULES!$A:$N,14,0)*1,0)</f>
        <v/>
      </c>
      <c r="AN27" s="29">
        <f>IFERROR(VLOOKUP(AA27,RULES!$A:$O,15,0)*1,0)</f>
        <v/>
      </c>
      <c r="AO27" s="29">
        <f>IF(N27&lt;&gt;"",N27,IFERROR(VLOOKUP(AA27,RULES!$A:$P,16,0),CONFIG!$B$8))</f>
        <v/>
      </c>
      <c r="AP27" s="29">
        <f>IF(IFERROR(VLOOKUP(AA27,RULES!$A:$Q,17,0),"")="",CONFIG!$B$13,VLOOKUP(AA27,RULES!$A:$Q,17,0))</f>
        <v/>
      </c>
      <c r="AQ27" s="29">
        <f>IF(IFERROR(VLOOKUP(AA27,RULES!$A:$R,18,0),"")="",CONFIG!$B$14,VLOOKUP(AA27,RULES!$A:$R,18,0))</f>
        <v/>
      </c>
      <c r="AR27" s="29">
        <f>IFERROR(VLOOKUP(AA27,RULES!$A:$S,19,0)*1,0)</f>
        <v/>
      </c>
      <c r="AS27" s="29">
        <f>IFERROR(VLOOKUP(AA27,RULES!$A:$T,20,0)*1,0)</f>
        <v/>
      </c>
      <c r="AT27" s="29">
        <f>IFERROR(VLOOKUP(AA27,RULES!$A:$U,21,0)*1,0)</f>
        <v/>
      </c>
      <c r="AU27" s="29">
        <f>IFERROR(VLOOKUP(AA27,RULES!$A:$V,22,0)*1,0)</f>
        <v/>
      </c>
      <c r="AV27" s="29">
        <f>IFERROR(VLOOKUP(AA27,RULES!$A:$W,23,0)*1,0)</f>
        <v/>
      </c>
      <c r="AW27" s="29">
        <f>IFERROR(IF(VLOOKUP(AA27,RULES!$A:$X,24,0)="",999999,VLOOKUP(AA27,RULES!$A:$X,24,0)*1),999999)</f>
        <v/>
      </c>
      <c r="AX27" s="29">
        <f>IFERROR(VLOOKUP(AA27,RULES!$A:$Y,25,0)*1,0)</f>
        <v/>
      </c>
      <c r="AY27" s="29">
        <f>IFERROR(VLOOKUP(AA27,RULES!$A:$Z,26,0),"NONE")</f>
        <v/>
      </c>
      <c r="AZ27" s="29">
        <f>IFERROR(VLOOKUP(AA27,RULES!$A:$AA,27,0)*1,0)</f>
        <v/>
      </c>
      <c r="BA27" s="29">
        <f>IFERROR(VLOOKUP(AA27,RULES!$A:$AB,28,0)*1,0)</f>
        <v/>
      </c>
    </row>
    <row r="28" ht="17" customHeight="1">
      <c r="A28" s="22" t="inlineStr">
        <is>
          <t>3525</t>
        </is>
      </c>
      <c r="B28" s="48" t="inlineStr">
        <is>
          <t>ACC005</t>
        </is>
      </c>
      <c r="C28" s="48" t="inlineStr">
        <is>
          <t>DEFAULT</t>
        </is>
      </c>
      <c r="D28" s="47" t="n"/>
      <c r="E28" s="22">
        <f>IF(OR(D28="",D28=0),"INACTIVE","ACTIVE")</f>
        <v/>
      </c>
      <c r="F28" s="48" t="inlineStr">
        <is>
          <t>NORMAL</t>
        </is>
      </c>
      <c r="G28" s="25" t="n"/>
      <c r="H28" s="25" t="n"/>
      <c r="I28" s="26">
        <f>IF(OR(E28="INACTIVE",H28=""),0,MAX(0,H28-G28))</f>
        <v/>
      </c>
      <c r="J28" s="23" t="n"/>
      <c r="K28" s="26">
        <f>IF(OR(E28="INACTIVE",H28=""),0,IF(AB28="DISABLED",0,IF(AB28="FLAT",AE28,IF(AB28="MANUAL",IF(J28="",0,J28*AC28),IF(AB28="STEP",IF(I28&lt;=AF28,I28*AG28,IF(I28&lt;=AH28,AF28*AG28+(I28-AF28)*AI28,AF28*AG28+(AH28-AF28)*AI28+(I28-AH28)*AK28)),MAX(I28*AC28,AD28))))))</f>
        <v/>
      </c>
      <c r="L28" s="26">
        <f>IF(OR(E28="INACTIVE",H28=""),0,IF(AL28="NONE",0,IF(AL28="FLAT",AM28,IF(AL28="PER_UNIT",I28*AN28,IF(AL28="MANUAL",IF(M28="",0,M28),0)))))</f>
        <v/>
      </c>
      <c r="M28" s="23" t="n"/>
      <c r="N28" s="48" t="inlineStr">
        <is>
          <t>NORMAL</t>
        </is>
      </c>
      <c r="O28" s="25" t="n"/>
      <c r="P28" s="25" t="n"/>
      <c r="Q28" s="26">
        <f>IF(OR(E28="INACTIVE",P28=""),0,MAX(0,P28-O28))</f>
        <v/>
      </c>
      <c r="R28" s="23" t="n"/>
      <c r="S28" s="26">
        <f>IF(OR(E28="INACTIVE",P28=""),0,IF(AO28="DISABLED",0,IF(AO28="FLAT",AR28,IF(AO28="MANUAL",IF(R28="",0,R28*AP28),IF(AO28="STEP",IF(Q28&lt;=AS28,Q28*AT28,IF(Q28&lt;=AU28,AS28*AT28+(Q28-AS28)*AV28,AS28*AT28+(AU28-AS28)*AV28+(Q28-AU28)*AX28)),MAX(Q28*AP28,AQ28))))))</f>
        <v/>
      </c>
      <c r="T28" s="26">
        <f>IF(OR(E28="INACTIVE",P28=""),0,IF(AY28="NONE",0,IF(AY28="FLAT",AZ28,IF(AY28="PER_UNIT",Q28*BA28,IF(AY28="MANUAL",IF(U28="",0,U28),0)))))</f>
        <v/>
      </c>
      <c r="U28" s="23" t="n"/>
      <c r="V28" s="25" t="n"/>
      <c r="W28" s="25" t="n"/>
      <c r="X28" s="26">
        <f>IF(E28="INACTIVE",0,D28+K28+L28+S28+T28+IF(V28="",0,V28)+IF(W28="",0,W28))</f>
        <v/>
      </c>
      <c r="Y28" s="27" t="n"/>
      <c r="Z28" s="28">
        <f>IF(E28="INACTIVE","_",IF(AND(G28&gt;0,H28&gt;0,H28&lt;G28),"[!]น้ำ reset ","")&amp;IF(AND(O28&gt;0,P28&gt;0,P28&lt;O28),"[!]ไฟ reset ","")&amp;IF(AND(F28="MANUAL",J28=""),"[X]units น้ำ ","")&amp;IF(AND(N28="MANUAL",R28=""),"[X]units ไฟ ","")&amp;IF(D28=0,"[!]ค่าเช่า=0",""))</f>
        <v/>
      </c>
      <c r="AA28" s="29">
        <f>IF(C28&lt;&gt;"",C28,CONFIG!$B$6)</f>
        <v/>
      </c>
      <c r="AB28" s="29">
        <f>IF(F28&lt;&gt;"",F28,IFERROR(VLOOKUP(AA28,RULES!$A:$C,3,0),CONFIG!$B$7))</f>
        <v/>
      </c>
      <c r="AC28" s="29">
        <f>IF(IFERROR(VLOOKUP(AA28,RULES!$A:$D,4,0),"")="",CONFIG!$B$10,VLOOKUP(AA28,RULES!$A:$D,4,0))</f>
        <v/>
      </c>
      <c r="AD28" s="29">
        <f>IF(IFERROR(VLOOKUP(AA28,RULES!$A:$E,5,0),"")="",CONFIG!$B$11,VLOOKUP(AA28,RULES!$A:$E,5,0))</f>
        <v/>
      </c>
      <c r="AE28" s="29">
        <f>IFERROR(VLOOKUP(AA28,RULES!$A:$F,6,0)*1,0)</f>
        <v/>
      </c>
      <c r="AF28" s="29">
        <f>IFERROR(VLOOKUP(AA28,RULES!$A:$G,7,0)*1,0)</f>
        <v/>
      </c>
      <c r="AG28" s="29">
        <f>IFERROR(VLOOKUP(AA28,RULES!$A:$H,8,0)*1,0)</f>
        <v/>
      </c>
      <c r="AH28" s="29">
        <f>IFERROR(VLOOKUP(AA28,RULES!$A:$I,9,0)*1,0)</f>
        <v/>
      </c>
      <c r="AI28" s="29">
        <f>IFERROR(VLOOKUP(AA28,RULES!$A:$J,10,0)*1,0)</f>
        <v/>
      </c>
      <c r="AJ28" s="29">
        <f>IFERROR(IF(VLOOKUP(AA28,RULES!$A:$K,11,0)="",999999,VLOOKUP(AA28,RULES!$A:$K,11,0)*1),999999)</f>
        <v/>
      </c>
      <c r="AK28" s="29">
        <f>IFERROR(VLOOKUP(AA28,RULES!$A:$L,12,0)*1,0)</f>
        <v/>
      </c>
      <c r="AL28" s="29">
        <f>IFERROR(VLOOKUP(AA28,RULES!$A:$M,13,0),"NONE")</f>
        <v/>
      </c>
      <c r="AM28" s="29">
        <f>IFERROR(VLOOKUP(AA28,RULES!$A:$N,14,0)*1,0)</f>
        <v/>
      </c>
      <c r="AN28" s="29">
        <f>IFERROR(VLOOKUP(AA28,RULES!$A:$O,15,0)*1,0)</f>
        <v/>
      </c>
      <c r="AO28" s="29">
        <f>IF(N28&lt;&gt;"",N28,IFERROR(VLOOKUP(AA28,RULES!$A:$P,16,0),CONFIG!$B$8))</f>
        <v/>
      </c>
      <c r="AP28" s="29">
        <f>IF(IFERROR(VLOOKUP(AA28,RULES!$A:$Q,17,0),"")="",CONFIG!$B$13,VLOOKUP(AA28,RULES!$A:$Q,17,0))</f>
        <v/>
      </c>
      <c r="AQ28" s="29">
        <f>IF(IFERROR(VLOOKUP(AA28,RULES!$A:$R,18,0),"")="",CONFIG!$B$14,VLOOKUP(AA28,RULES!$A:$R,18,0))</f>
        <v/>
      </c>
      <c r="AR28" s="29">
        <f>IFERROR(VLOOKUP(AA28,RULES!$A:$S,19,0)*1,0)</f>
        <v/>
      </c>
      <c r="AS28" s="29">
        <f>IFERROR(VLOOKUP(AA28,RULES!$A:$T,20,0)*1,0)</f>
        <v/>
      </c>
      <c r="AT28" s="29">
        <f>IFERROR(VLOOKUP(AA28,RULES!$A:$U,21,0)*1,0)</f>
        <v/>
      </c>
      <c r="AU28" s="29">
        <f>IFERROR(VLOOKUP(AA28,RULES!$A:$V,22,0)*1,0)</f>
        <v/>
      </c>
      <c r="AV28" s="29">
        <f>IFERROR(VLOOKUP(AA28,RULES!$A:$W,23,0)*1,0)</f>
        <v/>
      </c>
      <c r="AW28" s="29">
        <f>IFERROR(IF(VLOOKUP(AA28,RULES!$A:$X,24,0)="",999999,VLOOKUP(AA28,RULES!$A:$X,24,0)*1),999999)</f>
        <v/>
      </c>
      <c r="AX28" s="29">
        <f>IFERROR(VLOOKUP(AA28,RULES!$A:$Y,25,0)*1,0)</f>
        <v/>
      </c>
      <c r="AY28" s="29">
        <f>IFERROR(VLOOKUP(AA28,RULES!$A:$Z,26,0),"NONE")</f>
        <v/>
      </c>
      <c r="AZ28" s="29">
        <f>IFERROR(VLOOKUP(AA28,RULES!$A:$AA,27,0)*1,0)</f>
        <v/>
      </c>
      <c r="BA28" s="29">
        <f>IFERROR(VLOOKUP(AA28,RULES!$A:$AB,28,0)*1,0)</f>
        <v/>
      </c>
    </row>
    <row r="29" ht="17" customHeight="1">
      <c r="A29" s="22" t="inlineStr">
        <is>
          <t>3526</t>
        </is>
      </c>
      <c r="B29" s="48" t="inlineStr">
        <is>
          <t>ACC005</t>
        </is>
      </c>
      <c r="C29" s="48" t="inlineStr">
        <is>
          <t>DEFAULT</t>
        </is>
      </c>
      <c r="D29" s="47" t="n"/>
      <c r="E29" s="22">
        <f>IF(OR(D29="",D29=0),"INACTIVE","ACTIVE")</f>
        <v/>
      </c>
      <c r="F29" s="48" t="inlineStr">
        <is>
          <t>NORMAL</t>
        </is>
      </c>
      <c r="G29" s="25" t="n"/>
      <c r="H29" s="25" t="n"/>
      <c r="I29" s="26">
        <f>IF(OR(E29="INACTIVE",H29=""),0,MAX(0,H29-G29))</f>
        <v/>
      </c>
      <c r="J29" s="23" t="n"/>
      <c r="K29" s="26">
        <f>IF(OR(E29="INACTIVE",H29=""),0,IF(AB29="DISABLED",0,IF(AB29="FLAT",AE29,IF(AB29="MANUAL",IF(J29="",0,J29*AC29),IF(AB29="STEP",IF(I29&lt;=AF29,I29*AG29,IF(I29&lt;=AH29,AF29*AG29+(I29-AF29)*AI29,AF29*AG29+(AH29-AF29)*AI29+(I29-AH29)*AK29)),MAX(I29*AC29,AD29))))))</f>
        <v/>
      </c>
      <c r="L29" s="26">
        <f>IF(OR(E29="INACTIVE",H29=""),0,IF(AL29="NONE",0,IF(AL29="FLAT",AM29,IF(AL29="PER_UNIT",I29*AN29,IF(AL29="MANUAL",IF(M29="",0,M29),0)))))</f>
        <v/>
      </c>
      <c r="M29" s="23" t="n"/>
      <c r="N29" s="48" t="inlineStr">
        <is>
          <t>NORMAL</t>
        </is>
      </c>
      <c r="O29" s="25" t="n"/>
      <c r="P29" s="25" t="n"/>
      <c r="Q29" s="26">
        <f>IF(OR(E29="INACTIVE",P29=""),0,MAX(0,P29-O29))</f>
        <v/>
      </c>
      <c r="R29" s="23" t="n"/>
      <c r="S29" s="26">
        <f>IF(OR(E29="INACTIVE",P29=""),0,IF(AO29="DISABLED",0,IF(AO29="FLAT",AR29,IF(AO29="MANUAL",IF(R29="",0,R29*AP29),IF(AO29="STEP",IF(Q29&lt;=AS29,Q29*AT29,IF(Q29&lt;=AU29,AS29*AT29+(Q29-AS29)*AV29,AS29*AT29+(AU29-AS29)*AV29+(Q29-AU29)*AX29)),MAX(Q29*AP29,AQ29))))))</f>
        <v/>
      </c>
      <c r="T29" s="26">
        <f>IF(OR(E29="INACTIVE",P29=""),0,IF(AY29="NONE",0,IF(AY29="FLAT",AZ29,IF(AY29="PER_UNIT",Q29*BA29,IF(AY29="MANUAL",IF(U29="",0,U29),0)))))</f>
        <v/>
      </c>
      <c r="U29" s="23" t="n"/>
      <c r="V29" s="25" t="n"/>
      <c r="W29" s="25" t="n"/>
      <c r="X29" s="26">
        <f>IF(E29="INACTIVE",0,D29+K29+L29+S29+T29+IF(V29="",0,V29)+IF(W29="",0,W29))</f>
        <v/>
      </c>
      <c r="Y29" s="27" t="n"/>
      <c r="Z29" s="28">
        <f>IF(E29="INACTIVE","_",IF(AND(G29&gt;0,H29&gt;0,H29&lt;G29),"[!]น้ำ reset ","")&amp;IF(AND(O29&gt;0,P29&gt;0,P29&lt;O29),"[!]ไฟ reset ","")&amp;IF(AND(F29="MANUAL",J29=""),"[X]units น้ำ ","")&amp;IF(AND(N29="MANUAL",R29=""),"[X]units ไฟ ","")&amp;IF(D29=0,"[!]ค่าเช่า=0",""))</f>
        <v/>
      </c>
      <c r="AA29" s="29">
        <f>IF(C29&lt;&gt;"",C29,CONFIG!$B$6)</f>
        <v/>
      </c>
      <c r="AB29" s="29">
        <f>IF(F29&lt;&gt;"",F29,IFERROR(VLOOKUP(AA29,RULES!$A:$C,3,0),CONFIG!$B$7))</f>
        <v/>
      </c>
      <c r="AC29" s="29">
        <f>IF(IFERROR(VLOOKUP(AA29,RULES!$A:$D,4,0),"")="",CONFIG!$B$10,VLOOKUP(AA29,RULES!$A:$D,4,0))</f>
        <v/>
      </c>
      <c r="AD29" s="29">
        <f>IF(IFERROR(VLOOKUP(AA29,RULES!$A:$E,5,0),"")="",CONFIG!$B$11,VLOOKUP(AA29,RULES!$A:$E,5,0))</f>
        <v/>
      </c>
      <c r="AE29" s="29">
        <f>IFERROR(VLOOKUP(AA29,RULES!$A:$F,6,0)*1,0)</f>
        <v/>
      </c>
      <c r="AF29" s="29">
        <f>IFERROR(VLOOKUP(AA29,RULES!$A:$G,7,0)*1,0)</f>
        <v/>
      </c>
      <c r="AG29" s="29">
        <f>IFERROR(VLOOKUP(AA29,RULES!$A:$H,8,0)*1,0)</f>
        <v/>
      </c>
      <c r="AH29" s="29">
        <f>IFERROR(VLOOKUP(AA29,RULES!$A:$I,9,0)*1,0)</f>
        <v/>
      </c>
      <c r="AI29" s="29">
        <f>IFERROR(VLOOKUP(AA29,RULES!$A:$J,10,0)*1,0)</f>
        <v/>
      </c>
      <c r="AJ29" s="29">
        <f>IFERROR(IF(VLOOKUP(AA29,RULES!$A:$K,11,0)="",999999,VLOOKUP(AA29,RULES!$A:$K,11,0)*1),999999)</f>
        <v/>
      </c>
      <c r="AK29" s="29">
        <f>IFERROR(VLOOKUP(AA29,RULES!$A:$L,12,0)*1,0)</f>
        <v/>
      </c>
      <c r="AL29" s="29">
        <f>IFERROR(VLOOKUP(AA29,RULES!$A:$M,13,0),"NONE")</f>
        <v/>
      </c>
      <c r="AM29" s="29">
        <f>IFERROR(VLOOKUP(AA29,RULES!$A:$N,14,0)*1,0)</f>
        <v/>
      </c>
      <c r="AN29" s="29">
        <f>IFERROR(VLOOKUP(AA29,RULES!$A:$O,15,0)*1,0)</f>
        <v/>
      </c>
      <c r="AO29" s="29">
        <f>IF(N29&lt;&gt;"",N29,IFERROR(VLOOKUP(AA29,RULES!$A:$P,16,0),CONFIG!$B$8))</f>
        <v/>
      </c>
      <c r="AP29" s="29">
        <f>IF(IFERROR(VLOOKUP(AA29,RULES!$A:$Q,17,0),"")="",CONFIG!$B$13,VLOOKUP(AA29,RULES!$A:$Q,17,0))</f>
        <v/>
      </c>
      <c r="AQ29" s="29">
        <f>IF(IFERROR(VLOOKUP(AA29,RULES!$A:$R,18,0),"")="",CONFIG!$B$14,VLOOKUP(AA29,RULES!$A:$R,18,0))</f>
        <v/>
      </c>
      <c r="AR29" s="29">
        <f>IFERROR(VLOOKUP(AA29,RULES!$A:$S,19,0)*1,0)</f>
        <v/>
      </c>
      <c r="AS29" s="29">
        <f>IFERROR(VLOOKUP(AA29,RULES!$A:$T,20,0)*1,0)</f>
        <v/>
      </c>
      <c r="AT29" s="29">
        <f>IFERROR(VLOOKUP(AA29,RULES!$A:$U,21,0)*1,0)</f>
        <v/>
      </c>
      <c r="AU29" s="29">
        <f>IFERROR(VLOOKUP(AA29,RULES!$A:$V,22,0)*1,0)</f>
        <v/>
      </c>
      <c r="AV29" s="29">
        <f>IFERROR(VLOOKUP(AA29,RULES!$A:$W,23,0)*1,0)</f>
        <v/>
      </c>
      <c r="AW29" s="29">
        <f>IFERROR(IF(VLOOKUP(AA29,RULES!$A:$X,24,0)="",999999,VLOOKUP(AA29,RULES!$A:$X,24,0)*1),999999)</f>
        <v/>
      </c>
      <c r="AX29" s="29">
        <f>IFERROR(VLOOKUP(AA29,RULES!$A:$Y,25,0)*1,0)</f>
        <v/>
      </c>
      <c r="AY29" s="29">
        <f>IFERROR(VLOOKUP(AA29,RULES!$A:$Z,26,0),"NONE")</f>
        <v/>
      </c>
      <c r="AZ29" s="29">
        <f>IFERROR(VLOOKUP(AA29,RULES!$A:$AA,27,0)*1,0)</f>
        <v/>
      </c>
      <c r="BA29" s="29">
        <f>IFERROR(VLOOKUP(AA29,RULES!$A:$AB,28,0)*1,0)</f>
        <v/>
      </c>
    </row>
    <row r="30" ht="17" customHeight="1">
      <c r="A30" s="22" t="inlineStr">
        <is>
          <t>3527</t>
        </is>
      </c>
      <c r="B30" s="48" t="inlineStr">
        <is>
          <t>ACC005</t>
        </is>
      </c>
      <c r="C30" s="48" t="inlineStr">
        <is>
          <t>DEFAULT</t>
        </is>
      </c>
      <c r="D30" s="47" t="n"/>
      <c r="E30" s="22">
        <f>IF(OR(D30="",D30=0),"INACTIVE","ACTIVE")</f>
        <v/>
      </c>
      <c r="F30" s="48" t="inlineStr">
        <is>
          <t>NORMAL</t>
        </is>
      </c>
      <c r="G30" s="25" t="n"/>
      <c r="H30" s="25" t="n"/>
      <c r="I30" s="26">
        <f>IF(OR(E30="INACTIVE",H30=""),0,MAX(0,H30-G30))</f>
        <v/>
      </c>
      <c r="J30" s="23" t="n"/>
      <c r="K30" s="26">
        <f>IF(OR(E30="INACTIVE",H30=""),0,IF(AB30="DISABLED",0,IF(AB30="FLAT",AE30,IF(AB30="MANUAL",IF(J30="",0,J30*AC30),IF(AB30="STEP",IF(I30&lt;=AF30,I30*AG30,IF(I30&lt;=AH30,AF30*AG30+(I30-AF30)*AI30,AF30*AG30+(AH30-AF30)*AI30+(I30-AH30)*AK30)),MAX(I30*AC30,AD30))))))</f>
        <v/>
      </c>
      <c r="L30" s="26">
        <f>IF(OR(E30="INACTIVE",H30=""),0,IF(AL30="NONE",0,IF(AL30="FLAT",AM30,IF(AL30="PER_UNIT",I30*AN30,IF(AL30="MANUAL",IF(M30="",0,M30),0)))))</f>
        <v/>
      </c>
      <c r="M30" s="23" t="n"/>
      <c r="N30" s="48" t="inlineStr">
        <is>
          <t>NORMAL</t>
        </is>
      </c>
      <c r="O30" s="25" t="n"/>
      <c r="P30" s="25" t="n"/>
      <c r="Q30" s="26">
        <f>IF(OR(E30="INACTIVE",P30=""),0,MAX(0,P30-O30))</f>
        <v/>
      </c>
      <c r="R30" s="23" t="n"/>
      <c r="S30" s="26">
        <f>IF(OR(E30="INACTIVE",P30=""),0,IF(AO30="DISABLED",0,IF(AO30="FLAT",AR30,IF(AO30="MANUAL",IF(R30="",0,R30*AP30),IF(AO30="STEP",IF(Q30&lt;=AS30,Q30*AT30,IF(Q30&lt;=AU30,AS30*AT30+(Q30-AS30)*AV30,AS30*AT30+(AU30-AS30)*AV30+(Q30-AU30)*AX30)),MAX(Q30*AP30,AQ30))))))</f>
        <v/>
      </c>
      <c r="T30" s="26">
        <f>IF(OR(E30="INACTIVE",P30=""),0,IF(AY30="NONE",0,IF(AY30="FLAT",AZ30,IF(AY30="PER_UNIT",Q30*BA30,IF(AY30="MANUAL",IF(U30="",0,U30),0)))))</f>
        <v/>
      </c>
      <c r="U30" s="23" t="n"/>
      <c r="V30" s="25" t="n"/>
      <c r="W30" s="25" t="n"/>
      <c r="X30" s="26">
        <f>IF(E30="INACTIVE",0,D30+K30+L30+S30+T30+IF(V30="",0,V30)+IF(W30="",0,W30))</f>
        <v/>
      </c>
      <c r="Y30" s="27" t="n"/>
      <c r="Z30" s="28">
        <f>IF(E30="INACTIVE","_",IF(AND(G30&gt;0,H30&gt;0,H30&lt;G30),"[!]น้ำ reset ","")&amp;IF(AND(O30&gt;0,P30&gt;0,P30&lt;O30),"[!]ไฟ reset ","")&amp;IF(AND(F30="MANUAL",J30=""),"[X]units น้ำ ","")&amp;IF(AND(N30="MANUAL",R30=""),"[X]units ไฟ ","")&amp;IF(D30=0,"[!]ค่าเช่า=0",""))</f>
        <v/>
      </c>
      <c r="AA30" s="29">
        <f>IF(C30&lt;&gt;"",C30,CONFIG!$B$6)</f>
        <v/>
      </c>
      <c r="AB30" s="29">
        <f>IF(F30&lt;&gt;"",F30,IFERROR(VLOOKUP(AA30,RULES!$A:$C,3,0),CONFIG!$B$7))</f>
        <v/>
      </c>
      <c r="AC30" s="29">
        <f>IF(IFERROR(VLOOKUP(AA30,RULES!$A:$D,4,0),"")="",CONFIG!$B$10,VLOOKUP(AA30,RULES!$A:$D,4,0))</f>
        <v/>
      </c>
      <c r="AD30" s="29">
        <f>IF(IFERROR(VLOOKUP(AA30,RULES!$A:$E,5,0),"")="",CONFIG!$B$11,VLOOKUP(AA30,RULES!$A:$E,5,0))</f>
        <v/>
      </c>
      <c r="AE30" s="29">
        <f>IFERROR(VLOOKUP(AA30,RULES!$A:$F,6,0)*1,0)</f>
        <v/>
      </c>
      <c r="AF30" s="29">
        <f>IFERROR(VLOOKUP(AA30,RULES!$A:$G,7,0)*1,0)</f>
        <v/>
      </c>
      <c r="AG30" s="29">
        <f>IFERROR(VLOOKUP(AA30,RULES!$A:$H,8,0)*1,0)</f>
        <v/>
      </c>
      <c r="AH30" s="29">
        <f>IFERROR(VLOOKUP(AA30,RULES!$A:$I,9,0)*1,0)</f>
        <v/>
      </c>
      <c r="AI30" s="29">
        <f>IFERROR(VLOOKUP(AA30,RULES!$A:$J,10,0)*1,0)</f>
        <v/>
      </c>
      <c r="AJ30" s="29">
        <f>IFERROR(IF(VLOOKUP(AA30,RULES!$A:$K,11,0)="",999999,VLOOKUP(AA30,RULES!$A:$K,11,0)*1),999999)</f>
        <v/>
      </c>
      <c r="AK30" s="29">
        <f>IFERROR(VLOOKUP(AA30,RULES!$A:$L,12,0)*1,0)</f>
        <v/>
      </c>
      <c r="AL30" s="29">
        <f>IFERROR(VLOOKUP(AA30,RULES!$A:$M,13,0),"NONE")</f>
        <v/>
      </c>
      <c r="AM30" s="29">
        <f>IFERROR(VLOOKUP(AA30,RULES!$A:$N,14,0)*1,0)</f>
        <v/>
      </c>
      <c r="AN30" s="29">
        <f>IFERROR(VLOOKUP(AA30,RULES!$A:$O,15,0)*1,0)</f>
        <v/>
      </c>
      <c r="AO30" s="29">
        <f>IF(N30&lt;&gt;"",N30,IFERROR(VLOOKUP(AA30,RULES!$A:$P,16,0),CONFIG!$B$8))</f>
        <v/>
      </c>
      <c r="AP30" s="29">
        <f>IF(IFERROR(VLOOKUP(AA30,RULES!$A:$Q,17,0),"")="",CONFIG!$B$13,VLOOKUP(AA30,RULES!$A:$Q,17,0))</f>
        <v/>
      </c>
      <c r="AQ30" s="29">
        <f>IF(IFERROR(VLOOKUP(AA30,RULES!$A:$R,18,0),"")="",CONFIG!$B$14,VLOOKUP(AA30,RULES!$A:$R,18,0))</f>
        <v/>
      </c>
      <c r="AR30" s="29">
        <f>IFERROR(VLOOKUP(AA30,RULES!$A:$S,19,0)*1,0)</f>
        <v/>
      </c>
      <c r="AS30" s="29">
        <f>IFERROR(VLOOKUP(AA30,RULES!$A:$T,20,0)*1,0)</f>
        <v/>
      </c>
      <c r="AT30" s="29">
        <f>IFERROR(VLOOKUP(AA30,RULES!$A:$U,21,0)*1,0)</f>
        <v/>
      </c>
      <c r="AU30" s="29">
        <f>IFERROR(VLOOKUP(AA30,RULES!$A:$V,22,0)*1,0)</f>
        <v/>
      </c>
      <c r="AV30" s="29">
        <f>IFERROR(VLOOKUP(AA30,RULES!$A:$W,23,0)*1,0)</f>
        <v/>
      </c>
      <c r="AW30" s="29">
        <f>IFERROR(IF(VLOOKUP(AA30,RULES!$A:$X,24,0)="",999999,VLOOKUP(AA30,RULES!$A:$X,24,0)*1),999999)</f>
        <v/>
      </c>
      <c r="AX30" s="29">
        <f>IFERROR(VLOOKUP(AA30,RULES!$A:$Y,25,0)*1,0)</f>
        <v/>
      </c>
      <c r="AY30" s="29">
        <f>IFERROR(VLOOKUP(AA30,RULES!$A:$Z,26,0),"NONE")</f>
        <v/>
      </c>
      <c r="AZ30" s="29">
        <f>IFERROR(VLOOKUP(AA30,RULES!$A:$AA,27,0)*1,0)</f>
        <v/>
      </c>
      <c r="BA30" s="29">
        <f>IFERROR(VLOOKUP(AA30,RULES!$A:$AB,28,0)*1,0)</f>
        <v/>
      </c>
    </row>
    <row r="31" ht="17" customHeight="1">
      <c r="A31" s="22" t="inlineStr">
        <is>
          <t>3528</t>
        </is>
      </c>
      <c r="B31" s="48" t="inlineStr">
        <is>
          <t>ACC005</t>
        </is>
      </c>
      <c r="C31" s="48" t="inlineStr">
        <is>
          <t>DEFAULT</t>
        </is>
      </c>
      <c r="D31" s="47" t="n"/>
      <c r="E31" s="22">
        <f>IF(OR(D31="",D31=0),"INACTIVE","ACTIVE")</f>
        <v/>
      </c>
      <c r="F31" s="48" t="inlineStr">
        <is>
          <t>NORMAL</t>
        </is>
      </c>
      <c r="G31" s="25" t="n"/>
      <c r="H31" s="25" t="n"/>
      <c r="I31" s="26">
        <f>IF(OR(E31="INACTIVE",H31=""),0,MAX(0,H31-G31))</f>
        <v/>
      </c>
      <c r="J31" s="23" t="n"/>
      <c r="K31" s="26">
        <f>IF(OR(E31="INACTIVE",H31=""),0,IF(AB31="DISABLED",0,IF(AB31="FLAT",AE31,IF(AB31="MANUAL",IF(J31="",0,J31*AC31),IF(AB31="STEP",IF(I31&lt;=AF31,I31*AG31,IF(I31&lt;=AH31,AF31*AG31+(I31-AF31)*AI31,AF31*AG31+(AH31-AF31)*AI31+(I31-AH31)*AK31)),MAX(I31*AC31,AD31))))))</f>
        <v/>
      </c>
      <c r="L31" s="26">
        <f>IF(OR(E31="INACTIVE",H31=""),0,IF(AL31="NONE",0,IF(AL31="FLAT",AM31,IF(AL31="PER_UNIT",I31*AN31,IF(AL31="MANUAL",IF(M31="",0,M31),0)))))</f>
        <v/>
      </c>
      <c r="M31" s="23" t="n"/>
      <c r="N31" s="48" t="inlineStr">
        <is>
          <t>NORMAL</t>
        </is>
      </c>
      <c r="O31" s="25" t="n"/>
      <c r="P31" s="25" t="n"/>
      <c r="Q31" s="26">
        <f>IF(OR(E31="INACTIVE",P31=""),0,MAX(0,P31-O31))</f>
        <v/>
      </c>
      <c r="R31" s="23" t="n"/>
      <c r="S31" s="26">
        <f>IF(OR(E31="INACTIVE",P31=""),0,IF(AO31="DISABLED",0,IF(AO31="FLAT",AR31,IF(AO31="MANUAL",IF(R31="",0,R31*AP31),IF(AO31="STEP",IF(Q31&lt;=AS31,Q31*AT31,IF(Q31&lt;=AU31,AS31*AT31+(Q31-AS31)*AV31,AS31*AT31+(AU31-AS31)*AV31+(Q31-AU31)*AX31)),MAX(Q31*AP31,AQ31))))))</f>
        <v/>
      </c>
      <c r="T31" s="26">
        <f>IF(OR(E31="INACTIVE",P31=""),0,IF(AY31="NONE",0,IF(AY31="FLAT",AZ31,IF(AY31="PER_UNIT",Q31*BA31,IF(AY31="MANUAL",IF(U31="",0,U31),0)))))</f>
        <v/>
      </c>
      <c r="U31" s="23" t="n"/>
      <c r="V31" s="25" t="n"/>
      <c r="W31" s="25" t="n"/>
      <c r="X31" s="26">
        <f>IF(E31="INACTIVE",0,D31+K31+L31+S31+T31+IF(V31="",0,V31)+IF(W31="",0,W31))</f>
        <v/>
      </c>
      <c r="Y31" s="27" t="n"/>
      <c r="Z31" s="28">
        <f>IF(E31="INACTIVE","_",IF(AND(G31&gt;0,H31&gt;0,H31&lt;G31),"[!]น้ำ reset ","")&amp;IF(AND(O31&gt;0,P31&gt;0,P31&lt;O31),"[!]ไฟ reset ","")&amp;IF(AND(F31="MANUAL",J31=""),"[X]units น้ำ ","")&amp;IF(AND(N31="MANUAL",R31=""),"[X]units ไฟ ","")&amp;IF(D31=0,"[!]ค่าเช่า=0",""))</f>
        <v/>
      </c>
      <c r="AA31" s="29">
        <f>IF(C31&lt;&gt;"",C31,CONFIG!$B$6)</f>
        <v/>
      </c>
      <c r="AB31" s="29">
        <f>IF(F31&lt;&gt;"",F31,IFERROR(VLOOKUP(AA31,RULES!$A:$C,3,0),CONFIG!$B$7))</f>
        <v/>
      </c>
      <c r="AC31" s="29">
        <f>IF(IFERROR(VLOOKUP(AA31,RULES!$A:$D,4,0),"")="",CONFIG!$B$10,VLOOKUP(AA31,RULES!$A:$D,4,0))</f>
        <v/>
      </c>
      <c r="AD31" s="29">
        <f>IF(IFERROR(VLOOKUP(AA31,RULES!$A:$E,5,0),"")="",CONFIG!$B$11,VLOOKUP(AA31,RULES!$A:$E,5,0))</f>
        <v/>
      </c>
      <c r="AE31" s="29">
        <f>IFERROR(VLOOKUP(AA31,RULES!$A:$F,6,0)*1,0)</f>
        <v/>
      </c>
      <c r="AF31" s="29">
        <f>IFERROR(VLOOKUP(AA31,RULES!$A:$G,7,0)*1,0)</f>
        <v/>
      </c>
      <c r="AG31" s="29">
        <f>IFERROR(VLOOKUP(AA31,RULES!$A:$H,8,0)*1,0)</f>
        <v/>
      </c>
      <c r="AH31" s="29">
        <f>IFERROR(VLOOKUP(AA31,RULES!$A:$I,9,0)*1,0)</f>
        <v/>
      </c>
      <c r="AI31" s="29">
        <f>IFERROR(VLOOKUP(AA31,RULES!$A:$J,10,0)*1,0)</f>
        <v/>
      </c>
      <c r="AJ31" s="29">
        <f>IFERROR(IF(VLOOKUP(AA31,RULES!$A:$K,11,0)="",999999,VLOOKUP(AA31,RULES!$A:$K,11,0)*1),999999)</f>
        <v/>
      </c>
      <c r="AK31" s="29">
        <f>IFERROR(VLOOKUP(AA31,RULES!$A:$L,12,0)*1,0)</f>
        <v/>
      </c>
      <c r="AL31" s="29">
        <f>IFERROR(VLOOKUP(AA31,RULES!$A:$M,13,0),"NONE")</f>
        <v/>
      </c>
      <c r="AM31" s="29">
        <f>IFERROR(VLOOKUP(AA31,RULES!$A:$N,14,0)*1,0)</f>
        <v/>
      </c>
      <c r="AN31" s="29">
        <f>IFERROR(VLOOKUP(AA31,RULES!$A:$O,15,0)*1,0)</f>
        <v/>
      </c>
      <c r="AO31" s="29">
        <f>IF(N31&lt;&gt;"",N31,IFERROR(VLOOKUP(AA31,RULES!$A:$P,16,0),CONFIG!$B$8))</f>
        <v/>
      </c>
      <c r="AP31" s="29">
        <f>IF(IFERROR(VLOOKUP(AA31,RULES!$A:$Q,17,0),"")="",CONFIG!$B$13,VLOOKUP(AA31,RULES!$A:$Q,17,0))</f>
        <v/>
      </c>
      <c r="AQ31" s="29">
        <f>IF(IFERROR(VLOOKUP(AA31,RULES!$A:$R,18,0),"")="",CONFIG!$B$14,VLOOKUP(AA31,RULES!$A:$R,18,0))</f>
        <v/>
      </c>
      <c r="AR31" s="29">
        <f>IFERROR(VLOOKUP(AA31,RULES!$A:$S,19,0)*1,0)</f>
        <v/>
      </c>
      <c r="AS31" s="29">
        <f>IFERROR(VLOOKUP(AA31,RULES!$A:$T,20,0)*1,0)</f>
        <v/>
      </c>
      <c r="AT31" s="29">
        <f>IFERROR(VLOOKUP(AA31,RULES!$A:$U,21,0)*1,0)</f>
        <v/>
      </c>
      <c r="AU31" s="29">
        <f>IFERROR(VLOOKUP(AA31,RULES!$A:$V,22,0)*1,0)</f>
        <v/>
      </c>
      <c r="AV31" s="29">
        <f>IFERROR(VLOOKUP(AA31,RULES!$A:$W,23,0)*1,0)</f>
        <v/>
      </c>
      <c r="AW31" s="29">
        <f>IFERROR(IF(VLOOKUP(AA31,RULES!$A:$X,24,0)="",999999,VLOOKUP(AA31,RULES!$A:$X,24,0)*1),999999)</f>
        <v/>
      </c>
      <c r="AX31" s="29">
        <f>IFERROR(VLOOKUP(AA31,RULES!$A:$Y,25,0)*1,0)</f>
        <v/>
      </c>
      <c r="AY31" s="29">
        <f>IFERROR(VLOOKUP(AA31,RULES!$A:$Z,26,0),"NONE")</f>
        <v/>
      </c>
      <c r="AZ31" s="29">
        <f>IFERROR(VLOOKUP(AA31,RULES!$A:$AA,27,0)*1,0)</f>
        <v/>
      </c>
      <c r="BA31" s="29">
        <f>IFERROR(VLOOKUP(AA31,RULES!$A:$AB,28,0)*1,0)</f>
        <v/>
      </c>
    </row>
    <row r="32" ht="17" customHeight="1">
      <c r="A32" s="22" t="inlineStr">
        <is>
          <t>3529</t>
        </is>
      </c>
      <c r="B32" s="48" t="inlineStr">
        <is>
          <t>ACC005</t>
        </is>
      </c>
      <c r="C32" s="48" t="inlineStr">
        <is>
          <t>DEFAULT</t>
        </is>
      </c>
      <c r="D32" s="47" t="n"/>
      <c r="E32" s="22">
        <f>IF(OR(D32="",D32=0),"INACTIVE","ACTIVE")</f>
        <v/>
      </c>
      <c r="F32" s="48" t="inlineStr">
        <is>
          <t>NORMAL</t>
        </is>
      </c>
      <c r="G32" s="25" t="n"/>
      <c r="H32" s="25" t="n"/>
      <c r="I32" s="26">
        <f>IF(OR(E32="INACTIVE",H32=""),0,MAX(0,H32-G32))</f>
        <v/>
      </c>
      <c r="J32" s="23" t="n"/>
      <c r="K32" s="26">
        <f>IF(OR(E32="INACTIVE",H32=""),0,IF(AB32="DISABLED",0,IF(AB32="FLAT",AE32,IF(AB32="MANUAL",IF(J32="",0,J32*AC32),IF(AB32="STEP",IF(I32&lt;=AF32,I32*AG32,IF(I32&lt;=AH32,AF32*AG32+(I32-AF32)*AI32,AF32*AG32+(AH32-AF32)*AI32+(I32-AH32)*AK32)),MAX(I32*AC32,AD32))))))</f>
        <v/>
      </c>
      <c r="L32" s="26">
        <f>IF(OR(E32="INACTIVE",H32=""),0,IF(AL32="NONE",0,IF(AL32="FLAT",AM32,IF(AL32="PER_UNIT",I32*AN32,IF(AL32="MANUAL",IF(M32="",0,M32),0)))))</f>
        <v/>
      </c>
      <c r="M32" s="23" t="n"/>
      <c r="N32" s="48" t="inlineStr">
        <is>
          <t>NORMAL</t>
        </is>
      </c>
      <c r="O32" s="25" t="n"/>
      <c r="P32" s="25" t="n"/>
      <c r="Q32" s="26">
        <f>IF(OR(E32="INACTIVE",P32=""),0,MAX(0,P32-O32))</f>
        <v/>
      </c>
      <c r="R32" s="23" t="n"/>
      <c r="S32" s="26">
        <f>IF(OR(E32="INACTIVE",P32=""),0,IF(AO32="DISABLED",0,IF(AO32="FLAT",AR32,IF(AO32="MANUAL",IF(R32="",0,R32*AP32),IF(AO32="STEP",IF(Q32&lt;=AS32,Q32*AT32,IF(Q32&lt;=AU32,AS32*AT32+(Q32-AS32)*AV32,AS32*AT32+(AU32-AS32)*AV32+(Q32-AU32)*AX32)),MAX(Q32*AP32,AQ32))))))</f>
        <v/>
      </c>
      <c r="T32" s="26">
        <f>IF(OR(E32="INACTIVE",P32=""),0,IF(AY32="NONE",0,IF(AY32="FLAT",AZ32,IF(AY32="PER_UNIT",Q32*BA32,IF(AY32="MANUAL",IF(U32="",0,U32),0)))))</f>
        <v/>
      </c>
      <c r="U32" s="23" t="n"/>
      <c r="V32" s="25" t="n"/>
      <c r="W32" s="25" t="n"/>
      <c r="X32" s="26">
        <f>IF(E32="INACTIVE",0,D32+K32+L32+S32+T32+IF(V32="",0,V32)+IF(W32="",0,W32))</f>
        <v/>
      </c>
      <c r="Y32" s="27" t="n"/>
      <c r="Z32" s="28">
        <f>IF(E32="INACTIVE","_",IF(AND(G32&gt;0,H32&gt;0,H32&lt;G32),"[!]น้ำ reset ","")&amp;IF(AND(O32&gt;0,P32&gt;0,P32&lt;O32),"[!]ไฟ reset ","")&amp;IF(AND(F32="MANUAL",J32=""),"[X]units น้ำ ","")&amp;IF(AND(N32="MANUAL",R32=""),"[X]units ไฟ ","")&amp;IF(D32=0,"[!]ค่าเช่า=0",""))</f>
        <v/>
      </c>
      <c r="AA32" s="29">
        <f>IF(C32&lt;&gt;"",C32,CONFIG!$B$6)</f>
        <v/>
      </c>
      <c r="AB32" s="29">
        <f>IF(F32&lt;&gt;"",F32,IFERROR(VLOOKUP(AA32,RULES!$A:$C,3,0),CONFIG!$B$7))</f>
        <v/>
      </c>
      <c r="AC32" s="29">
        <f>IF(IFERROR(VLOOKUP(AA32,RULES!$A:$D,4,0),"")="",CONFIG!$B$10,VLOOKUP(AA32,RULES!$A:$D,4,0))</f>
        <v/>
      </c>
      <c r="AD32" s="29">
        <f>IF(IFERROR(VLOOKUP(AA32,RULES!$A:$E,5,0),"")="",CONFIG!$B$11,VLOOKUP(AA32,RULES!$A:$E,5,0))</f>
        <v/>
      </c>
      <c r="AE32" s="29">
        <f>IFERROR(VLOOKUP(AA32,RULES!$A:$F,6,0)*1,0)</f>
        <v/>
      </c>
      <c r="AF32" s="29">
        <f>IFERROR(VLOOKUP(AA32,RULES!$A:$G,7,0)*1,0)</f>
        <v/>
      </c>
      <c r="AG32" s="29">
        <f>IFERROR(VLOOKUP(AA32,RULES!$A:$H,8,0)*1,0)</f>
        <v/>
      </c>
      <c r="AH32" s="29">
        <f>IFERROR(VLOOKUP(AA32,RULES!$A:$I,9,0)*1,0)</f>
        <v/>
      </c>
      <c r="AI32" s="29">
        <f>IFERROR(VLOOKUP(AA32,RULES!$A:$J,10,0)*1,0)</f>
        <v/>
      </c>
      <c r="AJ32" s="29">
        <f>IFERROR(IF(VLOOKUP(AA32,RULES!$A:$K,11,0)="",999999,VLOOKUP(AA32,RULES!$A:$K,11,0)*1),999999)</f>
        <v/>
      </c>
      <c r="AK32" s="29">
        <f>IFERROR(VLOOKUP(AA32,RULES!$A:$L,12,0)*1,0)</f>
        <v/>
      </c>
      <c r="AL32" s="29">
        <f>IFERROR(VLOOKUP(AA32,RULES!$A:$M,13,0),"NONE")</f>
        <v/>
      </c>
      <c r="AM32" s="29">
        <f>IFERROR(VLOOKUP(AA32,RULES!$A:$N,14,0)*1,0)</f>
        <v/>
      </c>
      <c r="AN32" s="29">
        <f>IFERROR(VLOOKUP(AA32,RULES!$A:$O,15,0)*1,0)</f>
        <v/>
      </c>
      <c r="AO32" s="29">
        <f>IF(N32&lt;&gt;"",N32,IFERROR(VLOOKUP(AA32,RULES!$A:$P,16,0),CONFIG!$B$8))</f>
        <v/>
      </c>
      <c r="AP32" s="29">
        <f>IF(IFERROR(VLOOKUP(AA32,RULES!$A:$Q,17,0),"")="",CONFIG!$B$13,VLOOKUP(AA32,RULES!$A:$Q,17,0))</f>
        <v/>
      </c>
      <c r="AQ32" s="29">
        <f>IF(IFERROR(VLOOKUP(AA32,RULES!$A:$R,18,0),"")="",CONFIG!$B$14,VLOOKUP(AA32,RULES!$A:$R,18,0))</f>
        <v/>
      </c>
      <c r="AR32" s="29">
        <f>IFERROR(VLOOKUP(AA32,RULES!$A:$S,19,0)*1,0)</f>
        <v/>
      </c>
      <c r="AS32" s="29">
        <f>IFERROR(VLOOKUP(AA32,RULES!$A:$T,20,0)*1,0)</f>
        <v/>
      </c>
      <c r="AT32" s="29">
        <f>IFERROR(VLOOKUP(AA32,RULES!$A:$U,21,0)*1,0)</f>
        <v/>
      </c>
      <c r="AU32" s="29">
        <f>IFERROR(VLOOKUP(AA32,RULES!$A:$V,22,0)*1,0)</f>
        <v/>
      </c>
      <c r="AV32" s="29">
        <f>IFERROR(VLOOKUP(AA32,RULES!$A:$W,23,0)*1,0)</f>
        <v/>
      </c>
      <c r="AW32" s="29">
        <f>IFERROR(IF(VLOOKUP(AA32,RULES!$A:$X,24,0)="",999999,VLOOKUP(AA32,RULES!$A:$X,24,0)*1),999999)</f>
        <v/>
      </c>
      <c r="AX32" s="29">
        <f>IFERROR(VLOOKUP(AA32,RULES!$A:$Y,25,0)*1,0)</f>
        <v/>
      </c>
      <c r="AY32" s="29">
        <f>IFERROR(VLOOKUP(AA32,RULES!$A:$Z,26,0),"NONE")</f>
        <v/>
      </c>
      <c r="AZ32" s="29">
        <f>IFERROR(VLOOKUP(AA32,RULES!$A:$AA,27,0)*1,0)</f>
        <v/>
      </c>
      <c r="BA32" s="29">
        <f>IFERROR(VLOOKUP(AA32,RULES!$A:$AB,28,0)*1,0)</f>
        <v/>
      </c>
    </row>
    <row r="33" ht="17" customHeight="1">
      <c r="A33" s="22" t="inlineStr">
        <is>
          <t>3530</t>
        </is>
      </c>
      <c r="B33" s="48" t="inlineStr">
        <is>
          <t>ACC005</t>
        </is>
      </c>
      <c r="C33" s="48" t="inlineStr">
        <is>
          <t>DEFAULT</t>
        </is>
      </c>
      <c r="D33" s="47" t="n"/>
      <c r="E33" s="22">
        <f>IF(OR(D33="",D33=0),"INACTIVE","ACTIVE")</f>
        <v/>
      </c>
      <c r="F33" s="48" t="inlineStr">
        <is>
          <t>NORMAL</t>
        </is>
      </c>
      <c r="G33" s="25" t="n"/>
      <c r="H33" s="25" t="n"/>
      <c r="I33" s="26">
        <f>IF(OR(E33="INACTIVE",H33=""),0,MAX(0,H33-G33))</f>
        <v/>
      </c>
      <c r="J33" s="23" t="n"/>
      <c r="K33" s="26">
        <f>IF(OR(E33="INACTIVE",H33=""),0,IF(AB33="DISABLED",0,IF(AB33="FLAT",AE33,IF(AB33="MANUAL",IF(J33="",0,J33*AC33),IF(AB33="STEP",IF(I33&lt;=AF33,I33*AG33,IF(I33&lt;=AH33,AF33*AG33+(I33-AF33)*AI33,AF33*AG33+(AH33-AF33)*AI33+(I33-AH33)*AK33)),MAX(I33*AC33,AD33))))))</f>
        <v/>
      </c>
      <c r="L33" s="26">
        <f>IF(OR(E33="INACTIVE",H33=""),0,IF(AL33="NONE",0,IF(AL33="FLAT",AM33,IF(AL33="PER_UNIT",I33*AN33,IF(AL33="MANUAL",IF(M33="",0,M33),0)))))</f>
        <v/>
      </c>
      <c r="M33" s="23" t="n"/>
      <c r="N33" s="48" t="inlineStr">
        <is>
          <t>NORMAL</t>
        </is>
      </c>
      <c r="O33" s="25" t="n"/>
      <c r="P33" s="25" t="n"/>
      <c r="Q33" s="26">
        <f>IF(OR(E33="INACTIVE",P33=""),0,MAX(0,P33-O33))</f>
        <v/>
      </c>
      <c r="R33" s="23" t="n"/>
      <c r="S33" s="26">
        <f>IF(OR(E33="INACTIVE",P33=""),0,IF(AO33="DISABLED",0,IF(AO33="FLAT",AR33,IF(AO33="MANUAL",IF(R33="",0,R33*AP33),IF(AO33="STEP",IF(Q33&lt;=AS33,Q33*AT33,IF(Q33&lt;=AU33,AS33*AT33+(Q33-AS33)*AV33,AS33*AT33+(AU33-AS33)*AV33+(Q33-AU33)*AX33)),MAX(Q33*AP33,AQ33))))))</f>
        <v/>
      </c>
      <c r="T33" s="26">
        <f>IF(OR(E33="INACTIVE",P33=""),0,IF(AY33="NONE",0,IF(AY33="FLAT",AZ33,IF(AY33="PER_UNIT",Q33*BA33,IF(AY33="MANUAL",IF(U33="",0,U33),0)))))</f>
        <v/>
      </c>
      <c r="U33" s="23" t="n"/>
      <c r="V33" s="25" t="n"/>
      <c r="W33" s="25" t="n"/>
      <c r="X33" s="26">
        <f>IF(E33="INACTIVE",0,D33+K33+L33+S33+T33+IF(V33="",0,V33)+IF(W33="",0,W33))</f>
        <v/>
      </c>
      <c r="Y33" s="27" t="n"/>
      <c r="Z33" s="28">
        <f>IF(E33="INACTIVE","_",IF(AND(G33&gt;0,H33&gt;0,H33&lt;G33),"[!]น้ำ reset ","")&amp;IF(AND(O33&gt;0,P33&gt;0,P33&lt;O33),"[!]ไฟ reset ","")&amp;IF(AND(F33="MANUAL",J33=""),"[X]units น้ำ ","")&amp;IF(AND(N33="MANUAL",R33=""),"[X]units ไฟ ","")&amp;IF(D33=0,"[!]ค่าเช่า=0",""))</f>
        <v/>
      </c>
      <c r="AA33" s="29">
        <f>IF(C33&lt;&gt;"",C33,CONFIG!$B$6)</f>
        <v/>
      </c>
      <c r="AB33" s="29">
        <f>IF(F33&lt;&gt;"",F33,IFERROR(VLOOKUP(AA33,RULES!$A:$C,3,0),CONFIG!$B$7))</f>
        <v/>
      </c>
      <c r="AC33" s="29">
        <f>IF(IFERROR(VLOOKUP(AA33,RULES!$A:$D,4,0),"")="",CONFIG!$B$10,VLOOKUP(AA33,RULES!$A:$D,4,0))</f>
        <v/>
      </c>
      <c r="AD33" s="29">
        <f>IF(IFERROR(VLOOKUP(AA33,RULES!$A:$E,5,0),"")="",CONFIG!$B$11,VLOOKUP(AA33,RULES!$A:$E,5,0))</f>
        <v/>
      </c>
      <c r="AE33" s="29">
        <f>IFERROR(VLOOKUP(AA33,RULES!$A:$F,6,0)*1,0)</f>
        <v/>
      </c>
      <c r="AF33" s="29">
        <f>IFERROR(VLOOKUP(AA33,RULES!$A:$G,7,0)*1,0)</f>
        <v/>
      </c>
      <c r="AG33" s="29">
        <f>IFERROR(VLOOKUP(AA33,RULES!$A:$H,8,0)*1,0)</f>
        <v/>
      </c>
      <c r="AH33" s="29">
        <f>IFERROR(VLOOKUP(AA33,RULES!$A:$I,9,0)*1,0)</f>
        <v/>
      </c>
      <c r="AI33" s="29">
        <f>IFERROR(VLOOKUP(AA33,RULES!$A:$J,10,0)*1,0)</f>
        <v/>
      </c>
      <c r="AJ33" s="29">
        <f>IFERROR(IF(VLOOKUP(AA33,RULES!$A:$K,11,0)="",999999,VLOOKUP(AA33,RULES!$A:$K,11,0)*1),999999)</f>
        <v/>
      </c>
      <c r="AK33" s="29">
        <f>IFERROR(VLOOKUP(AA33,RULES!$A:$L,12,0)*1,0)</f>
        <v/>
      </c>
      <c r="AL33" s="29">
        <f>IFERROR(VLOOKUP(AA33,RULES!$A:$M,13,0),"NONE")</f>
        <v/>
      </c>
      <c r="AM33" s="29">
        <f>IFERROR(VLOOKUP(AA33,RULES!$A:$N,14,0)*1,0)</f>
        <v/>
      </c>
      <c r="AN33" s="29">
        <f>IFERROR(VLOOKUP(AA33,RULES!$A:$O,15,0)*1,0)</f>
        <v/>
      </c>
      <c r="AO33" s="29">
        <f>IF(N33&lt;&gt;"",N33,IFERROR(VLOOKUP(AA33,RULES!$A:$P,16,0),CONFIG!$B$8))</f>
        <v/>
      </c>
      <c r="AP33" s="29">
        <f>IF(IFERROR(VLOOKUP(AA33,RULES!$A:$Q,17,0),"")="",CONFIG!$B$13,VLOOKUP(AA33,RULES!$A:$Q,17,0))</f>
        <v/>
      </c>
      <c r="AQ33" s="29">
        <f>IF(IFERROR(VLOOKUP(AA33,RULES!$A:$R,18,0),"")="",CONFIG!$B$14,VLOOKUP(AA33,RULES!$A:$R,18,0))</f>
        <v/>
      </c>
      <c r="AR33" s="29">
        <f>IFERROR(VLOOKUP(AA33,RULES!$A:$S,19,0)*1,0)</f>
        <v/>
      </c>
      <c r="AS33" s="29">
        <f>IFERROR(VLOOKUP(AA33,RULES!$A:$T,20,0)*1,0)</f>
        <v/>
      </c>
      <c r="AT33" s="29">
        <f>IFERROR(VLOOKUP(AA33,RULES!$A:$U,21,0)*1,0)</f>
        <v/>
      </c>
      <c r="AU33" s="29">
        <f>IFERROR(VLOOKUP(AA33,RULES!$A:$V,22,0)*1,0)</f>
        <v/>
      </c>
      <c r="AV33" s="29">
        <f>IFERROR(VLOOKUP(AA33,RULES!$A:$W,23,0)*1,0)</f>
        <v/>
      </c>
      <c r="AW33" s="29">
        <f>IFERROR(IF(VLOOKUP(AA33,RULES!$A:$X,24,0)="",999999,VLOOKUP(AA33,RULES!$A:$X,24,0)*1),999999)</f>
        <v/>
      </c>
      <c r="AX33" s="29">
        <f>IFERROR(VLOOKUP(AA33,RULES!$A:$Y,25,0)*1,0)</f>
        <v/>
      </c>
      <c r="AY33" s="29">
        <f>IFERROR(VLOOKUP(AA33,RULES!$A:$Z,26,0),"NONE")</f>
        <v/>
      </c>
      <c r="AZ33" s="29">
        <f>IFERROR(VLOOKUP(AA33,RULES!$A:$AA,27,0)*1,0)</f>
        <v/>
      </c>
      <c r="BA33" s="29">
        <f>IFERROR(VLOOKUP(AA33,RULES!$A:$AB,28,0)*1,0)</f>
        <v/>
      </c>
    </row>
    <row r="34" ht="17" customHeight="1">
      <c r="A34" s="22" t="inlineStr">
        <is>
          <t>3531</t>
        </is>
      </c>
      <c r="B34" s="48" t="inlineStr">
        <is>
          <t>ACC005</t>
        </is>
      </c>
      <c r="C34" s="48" t="inlineStr">
        <is>
          <t>DEFAULT</t>
        </is>
      </c>
      <c r="D34" s="47" t="n"/>
      <c r="E34" s="22">
        <f>IF(OR(D34="",D34=0),"INACTIVE","ACTIVE")</f>
        <v/>
      </c>
      <c r="F34" s="48" t="inlineStr">
        <is>
          <t>NORMAL</t>
        </is>
      </c>
      <c r="G34" s="25" t="n"/>
      <c r="H34" s="25" t="n"/>
      <c r="I34" s="26">
        <f>IF(OR(E34="INACTIVE",H34=""),0,MAX(0,H34-G34))</f>
        <v/>
      </c>
      <c r="J34" s="23" t="n"/>
      <c r="K34" s="26">
        <f>IF(OR(E34="INACTIVE",H34=""),0,IF(AB34="DISABLED",0,IF(AB34="FLAT",AE34,IF(AB34="MANUAL",IF(J34="",0,J34*AC34),IF(AB34="STEP",IF(I34&lt;=AF34,I34*AG34,IF(I34&lt;=AH34,AF34*AG34+(I34-AF34)*AI34,AF34*AG34+(AH34-AF34)*AI34+(I34-AH34)*AK34)),MAX(I34*AC34,AD34))))))</f>
        <v/>
      </c>
      <c r="L34" s="26">
        <f>IF(OR(E34="INACTIVE",H34=""),0,IF(AL34="NONE",0,IF(AL34="FLAT",AM34,IF(AL34="PER_UNIT",I34*AN34,IF(AL34="MANUAL",IF(M34="",0,M34),0)))))</f>
        <v/>
      </c>
      <c r="M34" s="23" t="n"/>
      <c r="N34" s="48" t="inlineStr">
        <is>
          <t>NORMAL</t>
        </is>
      </c>
      <c r="O34" s="25" t="n"/>
      <c r="P34" s="25" t="n"/>
      <c r="Q34" s="26">
        <f>IF(OR(E34="INACTIVE",P34=""),0,MAX(0,P34-O34))</f>
        <v/>
      </c>
      <c r="R34" s="23" t="n"/>
      <c r="S34" s="26">
        <f>IF(OR(E34="INACTIVE",P34=""),0,IF(AO34="DISABLED",0,IF(AO34="FLAT",AR34,IF(AO34="MANUAL",IF(R34="",0,R34*AP34),IF(AO34="STEP",IF(Q34&lt;=AS34,Q34*AT34,IF(Q34&lt;=AU34,AS34*AT34+(Q34-AS34)*AV34,AS34*AT34+(AU34-AS34)*AV34+(Q34-AU34)*AX34)),MAX(Q34*AP34,AQ34))))))</f>
        <v/>
      </c>
      <c r="T34" s="26">
        <f>IF(OR(E34="INACTIVE",P34=""),0,IF(AY34="NONE",0,IF(AY34="FLAT",AZ34,IF(AY34="PER_UNIT",Q34*BA34,IF(AY34="MANUAL",IF(U34="",0,U34),0)))))</f>
        <v/>
      </c>
      <c r="U34" s="23" t="n"/>
      <c r="V34" s="25" t="n"/>
      <c r="W34" s="25" t="n"/>
      <c r="X34" s="26">
        <f>IF(E34="INACTIVE",0,D34+K34+L34+S34+T34+IF(V34="",0,V34)+IF(W34="",0,W34))</f>
        <v/>
      </c>
      <c r="Y34" s="27" t="n"/>
      <c r="Z34" s="28">
        <f>IF(E34="INACTIVE","_",IF(AND(G34&gt;0,H34&gt;0,H34&lt;G34),"[!]น้ำ reset ","")&amp;IF(AND(O34&gt;0,P34&gt;0,P34&lt;O34),"[!]ไฟ reset ","")&amp;IF(AND(F34="MANUAL",J34=""),"[X]units น้ำ ","")&amp;IF(AND(N34="MANUAL",R34=""),"[X]units ไฟ ","")&amp;IF(D34=0,"[!]ค่าเช่า=0",""))</f>
        <v/>
      </c>
      <c r="AA34" s="29">
        <f>IF(C34&lt;&gt;"",C34,CONFIG!$B$6)</f>
        <v/>
      </c>
      <c r="AB34" s="29">
        <f>IF(F34&lt;&gt;"",F34,IFERROR(VLOOKUP(AA34,RULES!$A:$C,3,0),CONFIG!$B$7))</f>
        <v/>
      </c>
      <c r="AC34" s="29">
        <f>IF(IFERROR(VLOOKUP(AA34,RULES!$A:$D,4,0),"")="",CONFIG!$B$10,VLOOKUP(AA34,RULES!$A:$D,4,0))</f>
        <v/>
      </c>
      <c r="AD34" s="29">
        <f>IF(IFERROR(VLOOKUP(AA34,RULES!$A:$E,5,0),"")="",CONFIG!$B$11,VLOOKUP(AA34,RULES!$A:$E,5,0))</f>
        <v/>
      </c>
      <c r="AE34" s="29">
        <f>IFERROR(VLOOKUP(AA34,RULES!$A:$F,6,0)*1,0)</f>
        <v/>
      </c>
      <c r="AF34" s="29">
        <f>IFERROR(VLOOKUP(AA34,RULES!$A:$G,7,0)*1,0)</f>
        <v/>
      </c>
      <c r="AG34" s="29">
        <f>IFERROR(VLOOKUP(AA34,RULES!$A:$H,8,0)*1,0)</f>
        <v/>
      </c>
      <c r="AH34" s="29">
        <f>IFERROR(VLOOKUP(AA34,RULES!$A:$I,9,0)*1,0)</f>
        <v/>
      </c>
      <c r="AI34" s="29">
        <f>IFERROR(VLOOKUP(AA34,RULES!$A:$J,10,0)*1,0)</f>
        <v/>
      </c>
      <c r="AJ34" s="29">
        <f>IFERROR(IF(VLOOKUP(AA34,RULES!$A:$K,11,0)="",999999,VLOOKUP(AA34,RULES!$A:$K,11,0)*1),999999)</f>
        <v/>
      </c>
      <c r="AK34" s="29">
        <f>IFERROR(VLOOKUP(AA34,RULES!$A:$L,12,0)*1,0)</f>
        <v/>
      </c>
      <c r="AL34" s="29">
        <f>IFERROR(VLOOKUP(AA34,RULES!$A:$M,13,0),"NONE")</f>
        <v/>
      </c>
      <c r="AM34" s="29">
        <f>IFERROR(VLOOKUP(AA34,RULES!$A:$N,14,0)*1,0)</f>
        <v/>
      </c>
      <c r="AN34" s="29">
        <f>IFERROR(VLOOKUP(AA34,RULES!$A:$O,15,0)*1,0)</f>
        <v/>
      </c>
      <c r="AO34" s="29">
        <f>IF(N34&lt;&gt;"",N34,IFERROR(VLOOKUP(AA34,RULES!$A:$P,16,0),CONFIG!$B$8))</f>
        <v/>
      </c>
      <c r="AP34" s="29">
        <f>IF(IFERROR(VLOOKUP(AA34,RULES!$A:$Q,17,0),"")="",CONFIG!$B$13,VLOOKUP(AA34,RULES!$A:$Q,17,0))</f>
        <v/>
      </c>
      <c r="AQ34" s="29">
        <f>IF(IFERROR(VLOOKUP(AA34,RULES!$A:$R,18,0),"")="",CONFIG!$B$14,VLOOKUP(AA34,RULES!$A:$R,18,0))</f>
        <v/>
      </c>
      <c r="AR34" s="29">
        <f>IFERROR(VLOOKUP(AA34,RULES!$A:$S,19,0)*1,0)</f>
        <v/>
      </c>
      <c r="AS34" s="29">
        <f>IFERROR(VLOOKUP(AA34,RULES!$A:$T,20,0)*1,0)</f>
        <v/>
      </c>
      <c r="AT34" s="29">
        <f>IFERROR(VLOOKUP(AA34,RULES!$A:$U,21,0)*1,0)</f>
        <v/>
      </c>
      <c r="AU34" s="29">
        <f>IFERROR(VLOOKUP(AA34,RULES!$A:$V,22,0)*1,0)</f>
        <v/>
      </c>
      <c r="AV34" s="29">
        <f>IFERROR(VLOOKUP(AA34,RULES!$A:$W,23,0)*1,0)</f>
        <v/>
      </c>
      <c r="AW34" s="29">
        <f>IFERROR(IF(VLOOKUP(AA34,RULES!$A:$X,24,0)="",999999,VLOOKUP(AA34,RULES!$A:$X,24,0)*1),999999)</f>
        <v/>
      </c>
      <c r="AX34" s="29">
        <f>IFERROR(VLOOKUP(AA34,RULES!$A:$Y,25,0)*1,0)</f>
        <v/>
      </c>
      <c r="AY34" s="29">
        <f>IFERROR(VLOOKUP(AA34,RULES!$A:$Z,26,0),"NONE")</f>
        <v/>
      </c>
      <c r="AZ34" s="29">
        <f>IFERROR(VLOOKUP(AA34,RULES!$A:$AA,27,0)*1,0)</f>
        <v/>
      </c>
      <c r="BA34" s="29">
        <f>IFERROR(VLOOKUP(AA34,RULES!$A:$AB,28,0)*1,0)</f>
        <v/>
      </c>
    </row>
    <row r="35" ht="17" customHeight="1">
      <c r="A35" s="22" t="inlineStr">
        <is>
          <t>3532</t>
        </is>
      </c>
      <c r="B35" s="48" t="inlineStr">
        <is>
          <t>ACC005</t>
        </is>
      </c>
      <c r="C35" s="48" t="inlineStr">
        <is>
          <t>DEFAULT</t>
        </is>
      </c>
      <c r="D35" s="47" t="n"/>
      <c r="E35" s="22">
        <f>IF(OR(D35="",D35=0),"INACTIVE","ACTIVE")</f>
        <v/>
      </c>
      <c r="F35" s="48" t="inlineStr">
        <is>
          <t>NORMAL</t>
        </is>
      </c>
      <c r="G35" s="25" t="n"/>
      <c r="H35" s="25" t="n"/>
      <c r="I35" s="26">
        <f>IF(OR(E35="INACTIVE",H35=""),0,MAX(0,H35-G35))</f>
        <v/>
      </c>
      <c r="J35" s="23" t="n"/>
      <c r="K35" s="26">
        <f>IF(OR(E35="INACTIVE",H35=""),0,IF(AB35="DISABLED",0,IF(AB35="FLAT",AE35,IF(AB35="MANUAL",IF(J35="",0,J35*AC35),IF(AB35="STEP",IF(I35&lt;=AF35,I35*AG35,IF(I35&lt;=AH35,AF35*AG35+(I35-AF35)*AI35,AF35*AG35+(AH35-AF35)*AI35+(I35-AH35)*AK35)),MAX(I35*AC35,AD35))))))</f>
        <v/>
      </c>
      <c r="L35" s="26">
        <f>IF(OR(E35="INACTIVE",H35=""),0,IF(AL35="NONE",0,IF(AL35="FLAT",AM35,IF(AL35="PER_UNIT",I35*AN35,IF(AL35="MANUAL",IF(M35="",0,M35),0)))))</f>
        <v/>
      </c>
      <c r="M35" s="23" t="n"/>
      <c r="N35" s="48" t="inlineStr">
        <is>
          <t>NORMAL</t>
        </is>
      </c>
      <c r="O35" s="25" t="n"/>
      <c r="P35" s="25" t="n"/>
      <c r="Q35" s="26">
        <f>IF(OR(E35="INACTIVE",P35=""),0,MAX(0,P35-O35))</f>
        <v/>
      </c>
      <c r="R35" s="23" t="n"/>
      <c r="S35" s="26">
        <f>IF(OR(E35="INACTIVE",P35=""),0,IF(AO35="DISABLED",0,IF(AO35="FLAT",AR35,IF(AO35="MANUAL",IF(R35="",0,R35*AP35),IF(AO35="STEP",IF(Q35&lt;=AS35,Q35*AT35,IF(Q35&lt;=AU35,AS35*AT35+(Q35-AS35)*AV35,AS35*AT35+(AU35-AS35)*AV35+(Q35-AU35)*AX35)),MAX(Q35*AP35,AQ35))))))</f>
        <v/>
      </c>
      <c r="T35" s="26">
        <f>IF(OR(E35="INACTIVE",P35=""),0,IF(AY35="NONE",0,IF(AY35="FLAT",AZ35,IF(AY35="PER_UNIT",Q35*BA35,IF(AY35="MANUAL",IF(U35="",0,U35),0)))))</f>
        <v/>
      </c>
      <c r="U35" s="23" t="n"/>
      <c r="V35" s="25" t="n"/>
      <c r="W35" s="25" t="n"/>
      <c r="X35" s="26">
        <f>IF(E35="INACTIVE",0,D35+K35+L35+S35+T35+IF(V35="",0,V35)+IF(W35="",0,W35))</f>
        <v/>
      </c>
      <c r="Y35" s="27" t="n"/>
      <c r="Z35" s="28">
        <f>IF(E35="INACTIVE","_",IF(AND(G35&gt;0,H35&gt;0,H35&lt;G35),"[!]น้ำ reset ","")&amp;IF(AND(O35&gt;0,P35&gt;0,P35&lt;O35),"[!]ไฟ reset ","")&amp;IF(AND(F35="MANUAL",J35=""),"[X]units น้ำ ","")&amp;IF(AND(N35="MANUAL",R35=""),"[X]units ไฟ ","")&amp;IF(D35=0,"[!]ค่าเช่า=0",""))</f>
        <v/>
      </c>
      <c r="AA35" s="29">
        <f>IF(C35&lt;&gt;"",C35,CONFIG!$B$6)</f>
        <v/>
      </c>
      <c r="AB35" s="29">
        <f>IF(F35&lt;&gt;"",F35,IFERROR(VLOOKUP(AA35,RULES!$A:$C,3,0),CONFIG!$B$7))</f>
        <v/>
      </c>
      <c r="AC35" s="29">
        <f>IF(IFERROR(VLOOKUP(AA35,RULES!$A:$D,4,0),"")="",CONFIG!$B$10,VLOOKUP(AA35,RULES!$A:$D,4,0))</f>
        <v/>
      </c>
      <c r="AD35" s="29">
        <f>IF(IFERROR(VLOOKUP(AA35,RULES!$A:$E,5,0),"")="",CONFIG!$B$11,VLOOKUP(AA35,RULES!$A:$E,5,0))</f>
        <v/>
      </c>
      <c r="AE35" s="29">
        <f>IFERROR(VLOOKUP(AA35,RULES!$A:$F,6,0)*1,0)</f>
        <v/>
      </c>
      <c r="AF35" s="29">
        <f>IFERROR(VLOOKUP(AA35,RULES!$A:$G,7,0)*1,0)</f>
        <v/>
      </c>
      <c r="AG35" s="29">
        <f>IFERROR(VLOOKUP(AA35,RULES!$A:$H,8,0)*1,0)</f>
        <v/>
      </c>
      <c r="AH35" s="29">
        <f>IFERROR(VLOOKUP(AA35,RULES!$A:$I,9,0)*1,0)</f>
        <v/>
      </c>
      <c r="AI35" s="29">
        <f>IFERROR(VLOOKUP(AA35,RULES!$A:$J,10,0)*1,0)</f>
        <v/>
      </c>
      <c r="AJ35" s="29">
        <f>IFERROR(IF(VLOOKUP(AA35,RULES!$A:$K,11,0)="",999999,VLOOKUP(AA35,RULES!$A:$K,11,0)*1),999999)</f>
        <v/>
      </c>
      <c r="AK35" s="29">
        <f>IFERROR(VLOOKUP(AA35,RULES!$A:$L,12,0)*1,0)</f>
        <v/>
      </c>
      <c r="AL35" s="29">
        <f>IFERROR(VLOOKUP(AA35,RULES!$A:$M,13,0),"NONE")</f>
        <v/>
      </c>
      <c r="AM35" s="29">
        <f>IFERROR(VLOOKUP(AA35,RULES!$A:$N,14,0)*1,0)</f>
        <v/>
      </c>
      <c r="AN35" s="29">
        <f>IFERROR(VLOOKUP(AA35,RULES!$A:$O,15,0)*1,0)</f>
        <v/>
      </c>
      <c r="AO35" s="29">
        <f>IF(N35&lt;&gt;"",N35,IFERROR(VLOOKUP(AA35,RULES!$A:$P,16,0),CONFIG!$B$8))</f>
        <v/>
      </c>
      <c r="AP35" s="29">
        <f>IF(IFERROR(VLOOKUP(AA35,RULES!$A:$Q,17,0),"")="",CONFIG!$B$13,VLOOKUP(AA35,RULES!$A:$Q,17,0))</f>
        <v/>
      </c>
      <c r="AQ35" s="29">
        <f>IF(IFERROR(VLOOKUP(AA35,RULES!$A:$R,18,0),"")="",CONFIG!$B$14,VLOOKUP(AA35,RULES!$A:$R,18,0))</f>
        <v/>
      </c>
      <c r="AR35" s="29">
        <f>IFERROR(VLOOKUP(AA35,RULES!$A:$S,19,0)*1,0)</f>
        <v/>
      </c>
      <c r="AS35" s="29">
        <f>IFERROR(VLOOKUP(AA35,RULES!$A:$T,20,0)*1,0)</f>
        <v/>
      </c>
      <c r="AT35" s="29">
        <f>IFERROR(VLOOKUP(AA35,RULES!$A:$U,21,0)*1,0)</f>
        <v/>
      </c>
      <c r="AU35" s="29">
        <f>IFERROR(VLOOKUP(AA35,RULES!$A:$V,22,0)*1,0)</f>
        <v/>
      </c>
      <c r="AV35" s="29">
        <f>IFERROR(VLOOKUP(AA35,RULES!$A:$W,23,0)*1,0)</f>
        <v/>
      </c>
      <c r="AW35" s="29">
        <f>IFERROR(IF(VLOOKUP(AA35,RULES!$A:$X,24,0)="",999999,VLOOKUP(AA35,RULES!$A:$X,24,0)*1),999999)</f>
        <v/>
      </c>
      <c r="AX35" s="29">
        <f>IFERROR(VLOOKUP(AA35,RULES!$A:$Y,25,0)*1,0)</f>
        <v/>
      </c>
      <c r="AY35" s="29">
        <f>IFERROR(VLOOKUP(AA35,RULES!$A:$Z,26,0),"NONE")</f>
        <v/>
      </c>
      <c r="AZ35" s="29">
        <f>IFERROR(VLOOKUP(AA35,RULES!$A:$AA,27,0)*1,0)</f>
        <v/>
      </c>
      <c r="BA35" s="29">
        <f>IFERROR(VLOOKUP(AA35,RULES!$A:$AB,28,0)*1,0)</f>
        <v/>
      </c>
    </row>
    <row r="36" ht="17" customHeight="1">
      <c r="A36" s="35" t="n"/>
      <c r="B36" s="46" t="n"/>
      <c r="C36" s="48" t="inlineStr">
        <is>
          <t>DEFAULT</t>
        </is>
      </c>
      <c r="D36" s="47" t="n"/>
      <c r="E36" s="38">
        <f>IF(OR(D36="",D36=0),"INACTIVE","ACTIVE")</f>
        <v/>
      </c>
      <c r="F36" s="48" t="inlineStr">
        <is>
          <t>NORMAL</t>
        </is>
      </c>
      <c r="G36" s="37" t="n"/>
      <c r="H36" s="37" t="n"/>
      <c r="I36" s="39">
        <f>IF(OR(E36="INACTIVE",H36=""),0,MAX(0,H36-G36))</f>
        <v/>
      </c>
      <c r="J36" s="37" t="n"/>
      <c r="K36" s="40">
        <f>IF(OR(E36="INACTIVE",H36=""),0,IF(AB36="DISABLED",0,IF(AB36="FLAT",AE36,IF(AB36="MANUAL",IF(J36="",0,J36*AC36),IF(AB36="STEP",IF(I36&lt;=AF36,I36*AG36,IF(I36&lt;=AH36,AF36*AG36+(I36-AF36)*AI36,AF36*AG36+(AH36-AF36)*AI36+(I36-AH36)*AK36)),MAX(I36*AC36,AD36))))))</f>
        <v/>
      </c>
      <c r="L36" s="40">
        <f>IF(OR(E36="INACTIVE",H36=""),0,IF(AL36="NONE",0,IF(AL36="FLAT",AM36,IF(AL36="PER_UNIT",I36*AN36,IF(AL36="MANUAL",IF(M36="",0,M36),0)))))</f>
        <v/>
      </c>
      <c r="M36" s="37" t="n"/>
      <c r="N36" s="48" t="inlineStr">
        <is>
          <t>NORMAL</t>
        </is>
      </c>
      <c r="O36" s="37" t="n"/>
      <c r="P36" s="37" t="n"/>
      <c r="Q36" s="39">
        <f>IF(OR(E36="INACTIVE",P36=""),0,MAX(0,P36-O36))</f>
        <v/>
      </c>
      <c r="R36" s="37" t="n"/>
      <c r="S36" s="40">
        <f>IF(OR(E36="INACTIVE",P36=""),0,IF(AO36="DISABLED",0,IF(AO36="FLAT",AR36,IF(AO36="MANUAL",IF(R36="",0,R36*AP36),IF(AO36="STEP",IF(Q36&lt;=AS36,Q36*AT36,IF(Q36&lt;=AU36,AS36*AT36+(Q36-AS36)*AV36,AS36*AT36+(AU36-AS36)*AV36+(Q36-AU36)*AX36)),MAX(Q36*AP36,AQ36))))))</f>
        <v/>
      </c>
      <c r="T36" s="40">
        <f>IF(OR(E36="INACTIVE",P36=""),0,IF(AY36="NONE",0,IF(AY36="FLAT",AZ36,IF(AY36="PER_UNIT",Q36*BA36,IF(AY36="MANUAL",IF(U36="",0,U36),0)))))</f>
        <v/>
      </c>
      <c r="U36" s="37" t="n"/>
      <c r="V36" s="37" t="n"/>
      <c r="W36" s="37" t="n"/>
      <c r="X36" s="40">
        <f>IF(E36="INACTIVE",0,D36+K36+L36+S36+T36+IF(V36="",0,V36)+IF(W36="",0,W36))</f>
        <v/>
      </c>
      <c r="Y36" s="37" t="n"/>
      <c r="Z36" s="39">
        <f>IF(E36="INACTIVE","_",IF(AND(G36&gt;0,H36&gt;0,H36&lt;G36),"[!]น้ำ reset ","")&amp;IF(AND(O36&gt;0,P36&gt;0,P36&lt;O36),"[!]ไฟ reset ","")&amp;IF(AND(F36="MANUAL",J36=""),"[X]units น้ำ ","")&amp;IF(AND(N36="MANUAL",R36=""),"[X]units ไฟ ","")&amp;IF(D36=0,"[!]ค่าเช่า=0",""))</f>
        <v/>
      </c>
      <c r="AA36" s="41">
        <f>IF(C36&lt;&gt;"",C36,CONFIG!$B$6)</f>
        <v/>
      </c>
      <c r="AB36" s="41">
        <f>IF(F36&lt;&gt;"",F36,IFERROR(VLOOKUP(AA36,RULES!$A:$C,3,0),CONFIG!$B$7))</f>
        <v/>
      </c>
      <c r="AC36" s="41">
        <f>IF(IFERROR(VLOOKUP(AA36,RULES!$A:$D,4,0),"")="",CONFIG!$B$10,VLOOKUP(AA36,RULES!$A:$D,4,0))</f>
        <v/>
      </c>
      <c r="AD36" s="41">
        <f>IF(IFERROR(VLOOKUP(AA36,RULES!$A:$E,5,0),"")="",CONFIG!$B$11,VLOOKUP(AA36,RULES!$A:$E,5,0))</f>
        <v/>
      </c>
      <c r="AE36" s="41">
        <f>IFERROR(VLOOKUP(AA36,RULES!$A:$F,6,0)*1,0)</f>
        <v/>
      </c>
      <c r="AF36" s="41">
        <f>IFERROR(VLOOKUP(AA36,RULES!$A:$G,7,0)*1,0)</f>
        <v/>
      </c>
      <c r="AG36" s="41">
        <f>IFERROR(VLOOKUP(AA36,RULES!$A:$H,8,0)*1,0)</f>
        <v/>
      </c>
      <c r="AH36" s="41">
        <f>IFERROR(VLOOKUP(AA36,RULES!$A:$I,9,0)*1,0)</f>
        <v/>
      </c>
      <c r="AI36" s="41">
        <f>IFERROR(VLOOKUP(AA36,RULES!$A:$J,10,0)*1,0)</f>
        <v/>
      </c>
      <c r="AJ36" s="41">
        <f>IFERROR(IF(VLOOKUP(AA36,RULES!$A:$K,11,0)="",999999,VLOOKUP(AA36,RULES!$A:$K,11,0)*1),999999)</f>
        <v/>
      </c>
      <c r="AK36" s="41">
        <f>IFERROR(VLOOKUP(AA36,RULES!$A:$L,12,0)*1,0)</f>
        <v/>
      </c>
      <c r="AL36" s="41">
        <f>IFERROR(VLOOKUP(AA36,RULES!$A:$M,13,0),"NONE")</f>
        <v/>
      </c>
      <c r="AM36" s="41">
        <f>IFERROR(VLOOKUP(AA36,RULES!$A:$N,14,0)*1,0)</f>
        <v/>
      </c>
      <c r="AN36" s="41">
        <f>IFERROR(VLOOKUP(AA36,RULES!$A:$O,15,0)*1,0)</f>
        <v/>
      </c>
      <c r="AO36" s="41">
        <f>IF(N36&lt;&gt;"",N36,IFERROR(VLOOKUP(AA36,RULES!$A:$P,16,0),CONFIG!$B$8))</f>
        <v/>
      </c>
      <c r="AP36" s="41">
        <f>IF(IFERROR(VLOOKUP(AA36,RULES!$A:$Q,17,0),"")="",CONFIG!$B$13,VLOOKUP(AA36,RULES!$A:$Q,17,0))</f>
        <v/>
      </c>
      <c r="AQ36" s="41">
        <f>IF(IFERROR(VLOOKUP(AA36,RULES!$A:$R,18,0),"")="",CONFIG!$B$14,VLOOKUP(AA36,RULES!$A:$R,18,0))</f>
        <v/>
      </c>
      <c r="AR36" s="41">
        <f>IFERROR(VLOOKUP(AA36,RULES!$A:$S,19,0)*1,0)</f>
        <v/>
      </c>
      <c r="AS36" s="41">
        <f>IFERROR(VLOOKUP(AA36,RULES!$A:$T,20,0)*1,0)</f>
        <v/>
      </c>
      <c r="AT36" s="41">
        <f>IFERROR(VLOOKUP(AA36,RULES!$A:$U,21,0)*1,0)</f>
        <v/>
      </c>
      <c r="AU36" s="41">
        <f>IFERROR(VLOOKUP(AA36,RULES!$A:$V,22,0)*1,0)</f>
        <v/>
      </c>
      <c r="AV36" s="41">
        <f>IFERROR(VLOOKUP(AA36,RULES!$A:$W,23,0)*1,0)</f>
        <v/>
      </c>
      <c r="AW36" s="41">
        <f>IFERROR(IF(VLOOKUP(AA36,RULES!$A:$X,24,0)="",999999,VLOOKUP(AA36,RULES!$A:$X,24,0)*1),999999)</f>
        <v/>
      </c>
      <c r="AX36" s="41">
        <f>IFERROR(VLOOKUP(AA36,RULES!$A:$Y,25,0)*1,0)</f>
        <v/>
      </c>
      <c r="AY36" s="41">
        <f>IFERROR(VLOOKUP(AA36,RULES!$A:$Z,26,0),"NONE")</f>
        <v/>
      </c>
      <c r="AZ36" s="41">
        <f>IFERROR(VLOOKUP(AA36,RULES!$A:$AA,27,0)*1,0)</f>
        <v/>
      </c>
      <c r="BA36" s="41">
        <f>IFERROR(VLOOKUP(AA36,RULES!$A:$AB,28,0)*1,0)</f>
        <v/>
      </c>
    </row>
    <row r="37" ht="17" customHeight="1">
      <c r="A37" s="36" t="n"/>
      <c r="B37" s="48" t="inlineStr">
        <is>
          <t>ACC005</t>
        </is>
      </c>
      <c r="C37" s="48" t="inlineStr">
        <is>
          <t>DEFAULT</t>
        </is>
      </c>
      <c r="D37" s="47" t="n"/>
      <c r="E37" s="36">
        <f>IF(OR(D37="",D37=0),"INACTIVE","ACTIVE")</f>
        <v/>
      </c>
      <c r="F37" s="48" t="inlineStr">
        <is>
          <t>NORMAL</t>
        </is>
      </c>
      <c r="G37" s="36" t="n"/>
      <c r="H37" s="36" t="n"/>
      <c r="I37" s="42">
        <f>IF(OR(E37="INACTIVE",H37=""),0,MAX(0,H37-G37))</f>
        <v/>
      </c>
      <c r="J37" s="36" t="n"/>
      <c r="K37" s="42">
        <f>IF(OR(E37="INACTIVE",H37=""),0,IF(AB37="DISABLED",0,IF(AB37="FLAT",AE37,IF(AB37="MANUAL",IF(J37="",0,J37*AC37),IF(AB37="STEP",IF(I37&lt;=AF37,I37*AG37,IF(I37&lt;=AH37,AF37*AG37+(I37-AF37)*AI37,AF37*AG37+(AH37-AF37)*AI37+(I37-AH37)*AK37)),MAX(I37*AC37,AD37))))))</f>
        <v/>
      </c>
      <c r="L37" s="42">
        <f>IF(OR(E37="INACTIVE",H37=""),0,IF(AL37="NONE",0,IF(AL37="FLAT",AM37,IF(AL37="PER_UNIT",I37*AN37,IF(AL37="MANUAL",IF(M37="",0,M37),0)))))</f>
        <v/>
      </c>
      <c r="M37" s="36" t="n"/>
      <c r="N37" s="48" t="inlineStr">
        <is>
          <t>NORMAL</t>
        </is>
      </c>
      <c r="O37" s="36" t="n"/>
      <c r="P37" s="36" t="n"/>
      <c r="Q37" s="42">
        <f>IF(OR(E37="INACTIVE",P37=""),0,MAX(0,P37-O37))</f>
        <v/>
      </c>
      <c r="R37" s="36" t="n"/>
      <c r="S37" s="42">
        <f>IF(OR(E37="INACTIVE",P37=""),0,IF(AO37="DISABLED",0,IF(AO37="FLAT",AR37,IF(AO37="MANUAL",IF(R37="",0,R37*AP37),IF(AO37="STEP",IF(Q37&lt;=AS37,Q37*AT37,IF(Q37&lt;=AU37,AS37*AT37+(Q37-AS37)*AV37,AS37*AT37+(AU37-AS37)*AV37+(Q37-AU37)*AX37)),MAX(Q37*AP37,AQ37))))))</f>
        <v/>
      </c>
      <c r="T37" s="42">
        <f>IF(OR(E37="INACTIVE",P37=""),0,IF(AY37="NONE",0,IF(AY37="FLAT",AZ37,IF(AY37="PER_UNIT",Q37*BA37,IF(AY37="MANUAL",IF(U37="",0,U37),0)))))</f>
        <v/>
      </c>
      <c r="U37" s="36" t="n"/>
      <c r="V37" s="36" t="n"/>
      <c r="W37" s="36" t="n"/>
      <c r="X37" s="42">
        <f>IF(E37="INACTIVE",0,D37+K37+L37+S37+T37+IF(V37="",0,V37)+IF(W37="",0,W37))</f>
        <v/>
      </c>
      <c r="Y37" s="36" t="n"/>
      <c r="Z37" s="42">
        <f>IF(E37="INACTIVE","_",IF(AND(G37&gt;0,H37&gt;0,H37&lt;G37),"[!]น้ำ reset ","")&amp;IF(AND(O37&gt;0,P37&gt;0,P37&lt;O37),"[!]ไฟ reset ","")&amp;IF(AND(F37="MANUAL",J37=""),"[X]units น้ำ ","")&amp;IF(AND(N37="MANUAL",R37=""),"[X]units ไฟ ","")&amp;IF(D37=0,"[!]ค่าเช่า=0",""))</f>
        <v/>
      </c>
      <c r="AA37" s="41">
        <f>IF(C37&lt;&gt;"",C37,CONFIG!$B$6)</f>
        <v/>
      </c>
      <c r="AB37" s="41">
        <f>IF(F37&lt;&gt;"",F37,IFERROR(VLOOKUP(AA37,RULES!$A:$C,3,0),CONFIG!$B$7))</f>
        <v/>
      </c>
      <c r="AC37" s="41">
        <f>IF(IFERROR(VLOOKUP(AA37,RULES!$A:$D,4,0),"")="",CONFIG!$B$10,VLOOKUP(AA37,RULES!$A:$D,4,0))</f>
        <v/>
      </c>
      <c r="AD37" s="41">
        <f>IF(IFERROR(VLOOKUP(AA37,RULES!$A:$E,5,0),"")="",CONFIG!$B$11,VLOOKUP(AA37,RULES!$A:$E,5,0))</f>
        <v/>
      </c>
      <c r="AE37" s="41">
        <f>IFERROR(VLOOKUP(AA37,RULES!$A:$F,6,0)*1,0)</f>
        <v/>
      </c>
      <c r="AF37" s="41">
        <f>IFERROR(VLOOKUP(AA37,RULES!$A:$G,7,0)*1,0)</f>
        <v/>
      </c>
      <c r="AG37" s="41">
        <f>IFERROR(VLOOKUP(AA37,RULES!$A:$H,8,0)*1,0)</f>
        <v/>
      </c>
      <c r="AH37" s="41">
        <f>IFERROR(VLOOKUP(AA37,RULES!$A:$I,9,0)*1,0)</f>
        <v/>
      </c>
      <c r="AI37" s="41">
        <f>IFERROR(VLOOKUP(AA37,RULES!$A:$J,10,0)*1,0)</f>
        <v/>
      </c>
      <c r="AJ37" s="41">
        <f>IFERROR(IF(VLOOKUP(AA37,RULES!$A:$K,11,0)="",999999,VLOOKUP(AA37,RULES!$A:$K,11,0)*1),999999)</f>
        <v/>
      </c>
      <c r="AK37" s="41">
        <f>IFERROR(VLOOKUP(AA37,RULES!$A:$L,12,0)*1,0)</f>
        <v/>
      </c>
      <c r="AL37" s="41">
        <f>IFERROR(VLOOKUP(AA37,RULES!$A:$M,13,0),"NONE")</f>
        <v/>
      </c>
      <c r="AM37" s="41">
        <f>IFERROR(VLOOKUP(AA37,RULES!$A:$N,14,0)*1,0)</f>
        <v/>
      </c>
      <c r="AN37" s="41">
        <f>IFERROR(VLOOKUP(AA37,RULES!$A:$O,15,0)*1,0)</f>
        <v/>
      </c>
      <c r="AO37" s="41">
        <f>IF(N37&lt;&gt;"",N37,IFERROR(VLOOKUP(AA37,RULES!$A:$P,16,0),CONFIG!$B$8))</f>
        <v/>
      </c>
      <c r="AP37" s="41">
        <f>IF(IFERROR(VLOOKUP(AA37,RULES!$A:$Q,17,0),"")="",CONFIG!$B$13,VLOOKUP(AA37,RULES!$A:$Q,17,0))</f>
        <v/>
      </c>
      <c r="AQ37" s="41">
        <f>IF(IFERROR(VLOOKUP(AA37,RULES!$A:$R,18,0),"")="",CONFIG!$B$14,VLOOKUP(AA37,RULES!$A:$R,18,0))</f>
        <v/>
      </c>
      <c r="AR37" s="41">
        <f>IFERROR(VLOOKUP(AA37,RULES!$A:$S,19,0)*1,0)</f>
        <v/>
      </c>
      <c r="AS37" s="41">
        <f>IFERROR(VLOOKUP(AA37,RULES!$A:$T,20,0)*1,0)</f>
        <v/>
      </c>
      <c r="AT37" s="41">
        <f>IFERROR(VLOOKUP(AA37,RULES!$A:$U,21,0)*1,0)</f>
        <v/>
      </c>
      <c r="AU37" s="41">
        <f>IFERROR(VLOOKUP(AA37,RULES!$A:$V,22,0)*1,0)</f>
        <v/>
      </c>
      <c r="AV37" s="41">
        <f>IFERROR(VLOOKUP(AA37,RULES!$A:$W,23,0)*1,0)</f>
        <v/>
      </c>
      <c r="AW37" s="41">
        <f>IFERROR(IF(VLOOKUP(AA37,RULES!$A:$X,24,0)="",999999,VLOOKUP(AA37,RULES!$A:$X,24,0)*1),999999)</f>
        <v/>
      </c>
      <c r="AX37" s="41">
        <f>IFERROR(VLOOKUP(AA37,RULES!$A:$Y,25,0)*1,0)</f>
        <v/>
      </c>
      <c r="AY37" s="41">
        <f>IFERROR(VLOOKUP(AA37,RULES!$A:$Z,26,0),"NONE")</f>
        <v/>
      </c>
      <c r="AZ37" s="41">
        <f>IFERROR(VLOOKUP(AA37,RULES!$A:$AA,27,0)*1,0)</f>
        <v/>
      </c>
      <c r="BA37" s="41">
        <f>IFERROR(VLOOKUP(AA37,RULES!$A:$AB,28,0)*1,0)</f>
        <v/>
      </c>
    </row>
    <row r="38" ht="17" customHeight="1">
      <c r="A38" s="36" t="n"/>
      <c r="B38" s="48" t="inlineStr">
        <is>
          <t>ACC005</t>
        </is>
      </c>
      <c r="C38" s="48" t="inlineStr">
        <is>
          <t>DEFAULT</t>
        </is>
      </c>
      <c r="D38" s="47" t="n"/>
      <c r="E38" s="36">
        <f>IF(OR(D38="",D38=0),"INACTIVE","ACTIVE")</f>
        <v/>
      </c>
      <c r="F38" s="48" t="inlineStr">
        <is>
          <t>NORMAL</t>
        </is>
      </c>
      <c r="G38" s="36" t="n"/>
      <c r="H38" s="36" t="n"/>
      <c r="I38" s="42">
        <f>IF(OR(E38="INACTIVE",H38=""),0,MAX(0,H38-G38))</f>
        <v/>
      </c>
      <c r="J38" s="36" t="n"/>
      <c r="K38" s="42">
        <f>IF(OR(E38="INACTIVE",H38=""),0,IF(AB38="DISABLED",0,IF(AB38="FLAT",AE38,IF(AB38="MANUAL",IF(J38="",0,J38*AC38),IF(AB38="STEP",IF(I38&lt;=AF38,I38*AG38,IF(I38&lt;=AH38,AF38*AG38+(I38-AF38)*AI38,AF38*AG38+(AH38-AF38)*AI38+(I38-AH38)*AK38)),MAX(I38*AC38,AD38))))))</f>
        <v/>
      </c>
      <c r="L38" s="42">
        <f>IF(OR(E38="INACTIVE",H38=""),0,IF(AL38="NONE",0,IF(AL38="FLAT",AM38,IF(AL38="PER_UNIT",I38*AN38,IF(AL38="MANUAL",IF(M38="",0,M38),0)))))</f>
        <v/>
      </c>
      <c r="M38" s="36" t="n"/>
      <c r="N38" s="48" t="inlineStr">
        <is>
          <t>NORMAL</t>
        </is>
      </c>
      <c r="O38" s="36" t="n"/>
      <c r="P38" s="36" t="n"/>
      <c r="Q38" s="42">
        <f>IF(OR(E38="INACTIVE",P38=""),0,MAX(0,P38-O38))</f>
        <v/>
      </c>
      <c r="R38" s="36" t="n"/>
      <c r="S38" s="42">
        <f>IF(OR(E38="INACTIVE",P38=""),0,IF(AO38="DISABLED",0,IF(AO38="FLAT",AR38,IF(AO38="MANUAL",IF(R38="",0,R38*AP38),IF(AO38="STEP",IF(Q38&lt;=AS38,Q38*AT38,IF(Q38&lt;=AU38,AS38*AT38+(Q38-AS38)*AV38,AS38*AT38+(AU38-AS38)*AV38+(Q38-AU38)*AX38)),MAX(Q38*AP38,AQ38))))))</f>
        <v/>
      </c>
      <c r="T38" s="42">
        <f>IF(OR(E38="INACTIVE",P38=""),0,IF(AY38="NONE",0,IF(AY38="FLAT",AZ38,IF(AY38="PER_UNIT",Q38*BA38,IF(AY38="MANUAL",IF(U38="",0,U38),0)))))</f>
        <v/>
      </c>
      <c r="U38" s="36" t="n"/>
      <c r="V38" s="36" t="n"/>
      <c r="W38" s="36" t="n"/>
      <c r="X38" s="42">
        <f>IF(E38="INACTIVE",0,D38+K38+L38+S38+T38+IF(V38="",0,V38)+IF(W38="",0,W38))</f>
        <v/>
      </c>
      <c r="Y38" s="36" t="n"/>
      <c r="Z38" s="42">
        <f>IF(E38="INACTIVE","_",IF(AND(G38&gt;0,H38&gt;0,H38&lt;G38),"[!]น้ำ reset ","")&amp;IF(AND(O38&gt;0,P38&gt;0,P38&lt;O38),"[!]ไฟ reset ","")&amp;IF(AND(F38="MANUAL",J38=""),"[X]units น้ำ ","")&amp;IF(AND(N38="MANUAL",R38=""),"[X]units ไฟ ","")&amp;IF(D38=0,"[!]ค่าเช่า=0",""))</f>
        <v/>
      </c>
      <c r="AA38" s="41">
        <f>IF(C38&lt;&gt;"",C38,CONFIG!$B$6)</f>
        <v/>
      </c>
      <c r="AB38" s="41">
        <f>IF(F38&lt;&gt;"",F38,IFERROR(VLOOKUP(AA38,RULES!$A:$C,3,0),CONFIG!$B$7))</f>
        <v/>
      </c>
      <c r="AC38" s="41">
        <f>IF(IFERROR(VLOOKUP(AA38,RULES!$A:$D,4,0),"")="",CONFIG!$B$10,VLOOKUP(AA38,RULES!$A:$D,4,0))</f>
        <v/>
      </c>
      <c r="AD38" s="41">
        <f>IF(IFERROR(VLOOKUP(AA38,RULES!$A:$E,5,0),"")="",CONFIG!$B$11,VLOOKUP(AA38,RULES!$A:$E,5,0))</f>
        <v/>
      </c>
      <c r="AE38" s="41">
        <f>IFERROR(VLOOKUP(AA38,RULES!$A:$F,6,0)*1,0)</f>
        <v/>
      </c>
      <c r="AF38" s="41">
        <f>IFERROR(VLOOKUP(AA38,RULES!$A:$G,7,0)*1,0)</f>
        <v/>
      </c>
      <c r="AG38" s="41">
        <f>IFERROR(VLOOKUP(AA38,RULES!$A:$H,8,0)*1,0)</f>
        <v/>
      </c>
      <c r="AH38" s="41">
        <f>IFERROR(VLOOKUP(AA38,RULES!$A:$I,9,0)*1,0)</f>
        <v/>
      </c>
      <c r="AI38" s="41">
        <f>IFERROR(VLOOKUP(AA38,RULES!$A:$J,10,0)*1,0)</f>
        <v/>
      </c>
      <c r="AJ38" s="41">
        <f>IFERROR(IF(VLOOKUP(AA38,RULES!$A:$K,11,0)="",999999,VLOOKUP(AA38,RULES!$A:$K,11,0)*1),999999)</f>
        <v/>
      </c>
      <c r="AK38" s="41">
        <f>IFERROR(VLOOKUP(AA38,RULES!$A:$L,12,0)*1,0)</f>
        <v/>
      </c>
      <c r="AL38" s="41">
        <f>IFERROR(VLOOKUP(AA38,RULES!$A:$M,13,0),"NONE")</f>
        <v/>
      </c>
      <c r="AM38" s="41">
        <f>IFERROR(VLOOKUP(AA38,RULES!$A:$N,14,0)*1,0)</f>
        <v/>
      </c>
      <c r="AN38" s="41">
        <f>IFERROR(VLOOKUP(AA38,RULES!$A:$O,15,0)*1,0)</f>
        <v/>
      </c>
      <c r="AO38" s="41">
        <f>IF(N38&lt;&gt;"",N38,IFERROR(VLOOKUP(AA38,RULES!$A:$P,16,0),CONFIG!$B$8))</f>
        <v/>
      </c>
      <c r="AP38" s="41">
        <f>IF(IFERROR(VLOOKUP(AA38,RULES!$A:$Q,17,0),"")="",CONFIG!$B$13,VLOOKUP(AA38,RULES!$A:$Q,17,0))</f>
        <v/>
      </c>
      <c r="AQ38" s="41">
        <f>IF(IFERROR(VLOOKUP(AA38,RULES!$A:$R,18,0),"")="",CONFIG!$B$14,VLOOKUP(AA38,RULES!$A:$R,18,0))</f>
        <v/>
      </c>
      <c r="AR38" s="41">
        <f>IFERROR(VLOOKUP(AA38,RULES!$A:$S,19,0)*1,0)</f>
        <v/>
      </c>
      <c r="AS38" s="41">
        <f>IFERROR(VLOOKUP(AA38,RULES!$A:$T,20,0)*1,0)</f>
        <v/>
      </c>
      <c r="AT38" s="41">
        <f>IFERROR(VLOOKUP(AA38,RULES!$A:$U,21,0)*1,0)</f>
        <v/>
      </c>
      <c r="AU38" s="41">
        <f>IFERROR(VLOOKUP(AA38,RULES!$A:$V,22,0)*1,0)</f>
        <v/>
      </c>
      <c r="AV38" s="41">
        <f>IFERROR(VLOOKUP(AA38,RULES!$A:$W,23,0)*1,0)</f>
        <v/>
      </c>
      <c r="AW38" s="41">
        <f>IFERROR(IF(VLOOKUP(AA38,RULES!$A:$X,24,0)="",999999,VLOOKUP(AA38,RULES!$A:$X,24,0)*1),999999)</f>
        <v/>
      </c>
      <c r="AX38" s="41">
        <f>IFERROR(VLOOKUP(AA38,RULES!$A:$Y,25,0)*1,0)</f>
        <v/>
      </c>
      <c r="AY38" s="41">
        <f>IFERROR(VLOOKUP(AA38,RULES!$A:$Z,26,0),"NONE")</f>
        <v/>
      </c>
      <c r="AZ38" s="41">
        <f>IFERROR(VLOOKUP(AA38,RULES!$A:$AA,27,0)*1,0)</f>
        <v/>
      </c>
      <c r="BA38" s="41">
        <f>IFERROR(VLOOKUP(AA38,RULES!$A:$AB,28,0)*1,0)</f>
        <v/>
      </c>
    </row>
    <row r="39" ht="17" customHeight="1">
      <c r="A39" s="36" t="n"/>
      <c r="B39" s="48" t="inlineStr">
        <is>
          <t>ACC005</t>
        </is>
      </c>
      <c r="C39" s="48" t="inlineStr">
        <is>
          <t>DEFAULT</t>
        </is>
      </c>
      <c r="D39" s="47" t="n"/>
      <c r="E39" s="36">
        <f>IF(OR(D39="",D39=0),"INACTIVE","ACTIVE")</f>
        <v/>
      </c>
      <c r="F39" s="48" t="inlineStr">
        <is>
          <t>NORMAL</t>
        </is>
      </c>
      <c r="G39" s="36" t="n"/>
      <c r="H39" s="36" t="n"/>
      <c r="I39" s="42">
        <f>IF(OR(E39="INACTIVE",H39=""),0,MAX(0,H39-G39))</f>
        <v/>
      </c>
      <c r="J39" s="36" t="n"/>
      <c r="K39" s="42">
        <f>IF(OR(E39="INACTIVE",H39=""),0,IF(AB39="DISABLED",0,IF(AB39="FLAT",AE39,IF(AB39="MANUAL",IF(J39="",0,J39*AC39),IF(AB39="STEP",IF(I39&lt;=AF39,I39*AG39,IF(I39&lt;=AH39,AF39*AG39+(I39-AF39)*AI39,AF39*AG39+(AH39-AF39)*AI39+(I39-AH39)*AK39)),MAX(I39*AC39,AD39))))))</f>
        <v/>
      </c>
      <c r="L39" s="42">
        <f>IF(OR(E39="INACTIVE",H39=""),0,IF(AL39="NONE",0,IF(AL39="FLAT",AM39,IF(AL39="PER_UNIT",I39*AN39,IF(AL39="MANUAL",IF(M39="",0,M39),0)))))</f>
        <v/>
      </c>
      <c r="M39" s="36" t="n"/>
      <c r="N39" s="48" t="inlineStr">
        <is>
          <t>NORMAL</t>
        </is>
      </c>
      <c r="O39" s="36" t="n"/>
      <c r="P39" s="36" t="n"/>
      <c r="Q39" s="42">
        <f>IF(OR(E39="INACTIVE",P39=""),0,MAX(0,P39-O39))</f>
        <v/>
      </c>
      <c r="R39" s="36" t="n"/>
      <c r="S39" s="42">
        <f>IF(OR(E39="INACTIVE",P39=""),0,IF(AO39="DISABLED",0,IF(AO39="FLAT",AR39,IF(AO39="MANUAL",IF(R39="",0,R39*AP39),IF(AO39="STEP",IF(Q39&lt;=AS39,Q39*AT39,IF(Q39&lt;=AU39,AS39*AT39+(Q39-AS39)*AV39,AS39*AT39+(AU39-AS39)*AV39+(Q39-AU39)*AX39)),MAX(Q39*AP39,AQ39))))))</f>
        <v/>
      </c>
      <c r="T39" s="42">
        <f>IF(OR(E39="INACTIVE",P39=""),0,IF(AY39="NONE",0,IF(AY39="FLAT",AZ39,IF(AY39="PER_UNIT",Q39*BA39,IF(AY39="MANUAL",IF(U39="",0,U39),0)))))</f>
        <v/>
      </c>
      <c r="U39" s="36" t="n"/>
      <c r="V39" s="36" t="n"/>
      <c r="W39" s="36" t="n"/>
      <c r="X39" s="42">
        <f>IF(E39="INACTIVE",0,D39+K39+L39+S39+T39+IF(V39="",0,V39)+IF(W39="",0,W39))</f>
        <v/>
      </c>
      <c r="Y39" s="36" t="n"/>
      <c r="Z39" s="42">
        <f>IF(E39="INACTIVE","_",IF(AND(G39&gt;0,H39&gt;0,H39&lt;G39),"[!]น้ำ reset ","")&amp;IF(AND(O39&gt;0,P39&gt;0,P39&lt;O39),"[!]ไฟ reset ","")&amp;IF(AND(F39="MANUAL",J39=""),"[X]units น้ำ ","")&amp;IF(AND(N39="MANUAL",R39=""),"[X]units ไฟ ","")&amp;IF(D39=0,"[!]ค่าเช่า=0",""))</f>
        <v/>
      </c>
      <c r="AA39" s="41">
        <f>IF(C39&lt;&gt;"",C39,CONFIG!$B$6)</f>
        <v/>
      </c>
      <c r="AB39" s="41">
        <f>IF(F39&lt;&gt;"",F39,IFERROR(VLOOKUP(AA39,RULES!$A:$C,3,0),CONFIG!$B$7))</f>
        <v/>
      </c>
      <c r="AC39" s="41">
        <f>IF(IFERROR(VLOOKUP(AA39,RULES!$A:$D,4,0),"")="",CONFIG!$B$10,VLOOKUP(AA39,RULES!$A:$D,4,0))</f>
        <v/>
      </c>
      <c r="AD39" s="41">
        <f>IF(IFERROR(VLOOKUP(AA39,RULES!$A:$E,5,0),"")="",CONFIG!$B$11,VLOOKUP(AA39,RULES!$A:$E,5,0))</f>
        <v/>
      </c>
      <c r="AE39" s="41">
        <f>IFERROR(VLOOKUP(AA39,RULES!$A:$F,6,0)*1,0)</f>
        <v/>
      </c>
      <c r="AF39" s="41">
        <f>IFERROR(VLOOKUP(AA39,RULES!$A:$G,7,0)*1,0)</f>
        <v/>
      </c>
      <c r="AG39" s="41">
        <f>IFERROR(VLOOKUP(AA39,RULES!$A:$H,8,0)*1,0)</f>
        <v/>
      </c>
      <c r="AH39" s="41">
        <f>IFERROR(VLOOKUP(AA39,RULES!$A:$I,9,0)*1,0)</f>
        <v/>
      </c>
      <c r="AI39" s="41">
        <f>IFERROR(VLOOKUP(AA39,RULES!$A:$J,10,0)*1,0)</f>
        <v/>
      </c>
      <c r="AJ39" s="41">
        <f>IFERROR(IF(VLOOKUP(AA39,RULES!$A:$K,11,0)="",999999,VLOOKUP(AA39,RULES!$A:$K,11,0)*1),999999)</f>
        <v/>
      </c>
      <c r="AK39" s="41">
        <f>IFERROR(VLOOKUP(AA39,RULES!$A:$L,12,0)*1,0)</f>
        <v/>
      </c>
      <c r="AL39" s="41">
        <f>IFERROR(VLOOKUP(AA39,RULES!$A:$M,13,0),"NONE")</f>
        <v/>
      </c>
      <c r="AM39" s="41">
        <f>IFERROR(VLOOKUP(AA39,RULES!$A:$N,14,0)*1,0)</f>
        <v/>
      </c>
      <c r="AN39" s="41">
        <f>IFERROR(VLOOKUP(AA39,RULES!$A:$O,15,0)*1,0)</f>
        <v/>
      </c>
      <c r="AO39" s="41">
        <f>IF(N39&lt;&gt;"",N39,IFERROR(VLOOKUP(AA39,RULES!$A:$P,16,0),CONFIG!$B$8))</f>
        <v/>
      </c>
      <c r="AP39" s="41">
        <f>IF(IFERROR(VLOOKUP(AA39,RULES!$A:$Q,17,0),"")="",CONFIG!$B$13,VLOOKUP(AA39,RULES!$A:$Q,17,0))</f>
        <v/>
      </c>
      <c r="AQ39" s="41">
        <f>IF(IFERROR(VLOOKUP(AA39,RULES!$A:$R,18,0),"")="",CONFIG!$B$14,VLOOKUP(AA39,RULES!$A:$R,18,0))</f>
        <v/>
      </c>
      <c r="AR39" s="41">
        <f>IFERROR(VLOOKUP(AA39,RULES!$A:$S,19,0)*1,0)</f>
        <v/>
      </c>
      <c r="AS39" s="41">
        <f>IFERROR(VLOOKUP(AA39,RULES!$A:$T,20,0)*1,0)</f>
        <v/>
      </c>
      <c r="AT39" s="41">
        <f>IFERROR(VLOOKUP(AA39,RULES!$A:$U,21,0)*1,0)</f>
        <v/>
      </c>
      <c r="AU39" s="41">
        <f>IFERROR(VLOOKUP(AA39,RULES!$A:$V,22,0)*1,0)</f>
        <v/>
      </c>
      <c r="AV39" s="41">
        <f>IFERROR(VLOOKUP(AA39,RULES!$A:$W,23,0)*1,0)</f>
        <v/>
      </c>
      <c r="AW39" s="41">
        <f>IFERROR(IF(VLOOKUP(AA39,RULES!$A:$X,24,0)="",999999,VLOOKUP(AA39,RULES!$A:$X,24,0)*1),999999)</f>
        <v/>
      </c>
      <c r="AX39" s="41">
        <f>IFERROR(VLOOKUP(AA39,RULES!$A:$Y,25,0)*1,0)</f>
        <v/>
      </c>
      <c r="AY39" s="41">
        <f>IFERROR(VLOOKUP(AA39,RULES!$A:$Z,26,0),"NONE")</f>
        <v/>
      </c>
      <c r="AZ39" s="41">
        <f>IFERROR(VLOOKUP(AA39,RULES!$A:$AA,27,0)*1,0)</f>
        <v/>
      </c>
      <c r="BA39" s="41">
        <f>IFERROR(VLOOKUP(AA39,RULES!$A:$AB,28,0)*1,0)</f>
        <v/>
      </c>
    </row>
    <row r="40" ht="17" customHeight="1">
      <c r="A40" s="36" t="n"/>
      <c r="B40" s="48" t="inlineStr">
        <is>
          <t>ACC005</t>
        </is>
      </c>
      <c r="C40" s="48" t="inlineStr">
        <is>
          <t>DEFAULT</t>
        </is>
      </c>
      <c r="D40" s="47" t="n"/>
      <c r="E40" s="36">
        <f>IF(OR(D40="",D40=0),"INACTIVE","ACTIVE")</f>
        <v/>
      </c>
      <c r="F40" s="48" t="inlineStr">
        <is>
          <t>NORMAL</t>
        </is>
      </c>
      <c r="G40" s="36" t="n"/>
      <c r="H40" s="36" t="n"/>
      <c r="I40" s="42">
        <f>IF(OR(E40="INACTIVE",H40=""),0,MAX(0,H40-G40))</f>
        <v/>
      </c>
      <c r="J40" s="36" t="n"/>
      <c r="K40" s="42">
        <f>IF(OR(E40="INACTIVE",H40=""),0,IF(AB40="DISABLED",0,IF(AB40="FLAT",AE40,IF(AB40="MANUAL",IF(J40="",0,J40*AC40),IF(AB40="STEP",IF(I40&lt;=AF40,I40*AG40,IF(I40&lt;=AH40,AF40*AG40+(I40-AF40)*AI40,AF40*AG40+(AH40-AF40)*AI40+(I40-AH40)*AK40)),MAX(I40*AC40,AD40))))))</f>
        <v/>
      </c>
      <c r="L40" s="42">
        <f>IF(OR(E40="INACTIVE",H40=""),0,IF(AL40="NONE",0,IF(AL40="FLAT",AM40,IF(AL40="PER_UNIT",I40*AN40,IF(AL40="MANUAL",IF(M40="",0,M40),0)))))</f>
        <v/>
      </c>
      <c r="M40" s="36" t="n"/>
      <c r="N40" s="48" t="inlineStr">
        <is>
          <t>NORMAL</t>
        </is>
      </c>
      <c r="O40" s="36" t="n"/>
      <c r="P40" s="36" t="n"/>
      <c r="Q40" s="42">
        <f>IF(OR(E40="INACTIVE",P40=""),0,MAX(0,P40-O40))</f>
        <v/>
      </c>
      <c r="R40" s="36" t="n"/>
      <c r="S40" s="42">
        <f>IF(OR(E40="INACTIVE",P40=""),0,IF(AO40="DISABLED",0,IF(AO40="FLAT",AR40,IF(AO40="MANUAL",IF(R40="",0,R40*AP40),IF(AO40="STEP",IF(Q40&lt;=AS40,Q40*AT40,IF(Q40&lt;=AU40,AS40*AT40+(Q40-AS40)*AV40,AS40*AT40+(AU40-AS40)*AV40+(Q40-AU40)*AX40)),MAX(Q40*AP40,AQ40))))))</f>
        <v/>
      </c>
      <c r="T40" s="42">
        <f>IF(OR(E40="INACTIVE",P40=""),0,IF(AY40="NONE",0,IF(AY40="FLAT",AZ40,IF(AY40="PER_UNIT",Q40*BA40,IF(AY40="MANUAL",IF(U40="",0,U40),0)))))</f>
        <v/>
      </c>
      <c r="U40" s="36" t="n"/>
      <c r="V40" s="36" t="n"/>
      <c r="W40" s="36" t="n"/>
      <c r="X40" s="42">
        <f>IF(E40="INACTIVE",0,D40+K40+L40+S40+T40+IF(V40="",0,V40)+IF(W40="",0,W40))</f>
        <v/>
      </c>
      <c r="Y40" s="36" t="n"/>
      <c r="Z40" s="42">
        <f>IF(E40="INACTIVE","_",IF(AND(G40&gt;0,H40&gt;0,H40&lt;G40),"[!]น้ำ reset ","")&amp;IF(AND(O40&gt;0,P40&gt;0,P40&lt;O40),"[!]ไฟ reset ","")&amp;IF(AND(F40="MANUAL",J40=""),"[X]units น้ำ ","")&amp;IF(AND(N40="MANUAL",R40=""),"[X]units ไฟ ","")&amp;IF(D40=0,"[!]ค่าเช่า=0",""))</f>
        <v/>
      </c>
      <c r="AA40" s="41">
        <f>IF(C40&lt;&gt;"",C40,CONFIG!$B$6)</f>
        <v/>
      </c>
      <c r="AB40" s="41">
        <f>IF(F40&lt;&gt;"",F40,IFERROR(VLOOKUP(AA40,RULES!$A:$C,3,0),CONFIG!$B$7))</f>
        <v/>
      </c>
      <c r="AC40" s="41">
        <f>IF(IFERROR(VLOOKUP(AA40,RULES!$A:$D,4,0),"")="",CONFIG!$B$10,VLOOKUP(AA40,RULES!$A:$D,4,0))</f>
        <v/>
      </c>
      <c r="AD40" s="41">
        <f>IF(IFERROR(VLOOKUP(AA40,RULES!$A:$E,5,0),"")="",CONFIG!$B$11,VLOOKUP(AA40,RULES!$A:$E,5,0))</f>
        <v/>
      </c>
      <c r="AE40" s="41">
        <f>IFERROR(VLOOKUP(AA40,RULES!$A:$F,6,0)*1,0)</f>
        <v/>
      </c>
      <c r="AF40" s="41">
        <f>IFERROR(VLOOKUP(AA40,RULES!$A:$G,7,0)*1,0)</f>
        <v/>
      </c>
      <c r="AG40" s="41">
        <f>IFERROR(VLOOKUP(AA40,RULES!$A:$H,8,0)*1,0)</f>
        <v/>
      </c>
      <c r="AH40" s="41">
        <f>IFERROR(VLOOKUP(AA40,RULES!$A:$I,9,0)*1,0)</f>
        <v/>
      </c>
      <c r="AI40" s="41">
        <f>IFERROR(VLOOKUP(AA40,RULES!$A:$J,10,0)*1,0)</f>
        <v/>
      </c>
      <c r="AJ40" s="41">
        <f>IFERROR(IF(VLOOKUP(AA40,RULES!$A:$K,11,0)="",999999,VLOOKUP(AA40,RULES!$A:$K,11,0)*1),999999)</f>
        <v/>
      </c>
      <c r="AK40" s="41">
        <f>IFERROR(VLOOKUP(AA40,RULES!$A:$L,12,0)*1,0)</f>
        <v/>
      </c>
      <c r="AL40" s="41">
        <f>IFERROR(VLOOKUP(AA40,RULES!$A:$M,13,0),"NONE")</f>
        <v/>
      </c>
      <c r="AM40" s="41">
        <f>IFERROR(VLOOKUP(AA40,RULES!$A:$N,14,0)*1,0)</f>
        <v/>
      </c>
      <c r="AN40" s="41">
        <f>IFERROR(VLOOKUP(AA40,RULES!$A:$O,15,0)*1,0)</f>
        <v/>
      </c>
      <c r="AO40" s="41">
        <f>IF(N40&lt;&gt;"",N40,IFERROR(VLOOKUP(AA40,RULES!$A:$P,16,0),CONFIG!$B$8))</f>
        <v/>
      </c>
      <c r="AP40" s="41">
        <f>IF(IFERROR(VLOOKUP(AA40,RULES!$A:$Q,17,0),"")="",CONFIG!$B$13,VLOOKUP(AA40,RULES!$A:$Q,17,0))</f>
        <v/>
      </c>
      <c r="AQ40" s="41">
        <f>IF(IFERROR(VLOOKUP(AA40,RULES!$A:$R,18,0),"")="",CONFIG!$B$14,VLOOKUP(AA40,RULES!$A:$R,18,0))</f>
        <v/>
      </c>
      <c r="AR40" s="41">
        <f>IFERROR(VLOOKUP(AA40,RULES!$A:$S,19,0)*1,0)</f>
        <v/>
      </c>
      <c r="AS40" s="41">
        <f>IFERROR(VLOOKUP(AA40,RULES!$A:$T,20,0)*1,0)</f>
        <v/>
      </c>
      <c r="AT40" s="41">
        <f>IFERROR(VLOOKUP(AA40,RULES!$A:$U,21,0)*1,0)</f>
        <v/>
      </c>
      <c r="AU40" s="41">
        <f>IFERROR(VLOOKUP(AA40,RULES!$A:$V,22,0)*1,0)</f>
        <v/>
      </c>
      <c r="AV40" s="41">
        <f>IFERROR(VLOOKUP(AA40,RULES!$A:$W,23,0)*1,0)</f>
        <v/>
      </c>
      <c r="AW40" s="41">
        <f>IFERROR(IF(VLOOKUP(AA40,RULES!$A:$X,24,0)="",999999,VLOOKUP(AA40,RULES!$A:$X,24,0)*1),999999)</f>
        <v/>
      </c>
      <c r="AX40" s="41">
        <f>IFERROR(VLOOKUP(AA40,RULES!$A:$Y,25,0)*1,0)</f>
        <v/>
      </c>
      <c r="AY40" s="41">
        <f>IFERROR(VLOOKUP(AA40,RULES!$A:$Z,26,0),"NONE")</f>
        <v/>
      </c>
      <c r="AZ40" s="41">
        <f>IFERROR(VLOOKUP(AA40,RULES!$A:$AA,27,0)*1,0)</f>
        <v/>
      </c>
      <c r="BA40" s="41">
        <f>IFERROR(VLOOKUP(AA40,RULES!$A:$AB,28,0)*1,0)</f>
        <v/>
      </c>
    </row>
    <row r="41" ht="17" customHeight="1">
      <c r="A41" s="36" t="n"/>
      <c r="B41" s="48" t="inlineStr">
        <is>
          <t>ACC005</t>
        </is>
      </c>
      <c r="C41" s="48" t="inlineStr">
        <is>
          <t>DEFAULT</t>
        </is>
      </c>
      <c r="D41" s="47" t="n"/>
      <c r="E41" s="36">
        <f>IF(OR(D41="",D41=0),"INACTIVE","ACTIVE")</f>
        <v/>
      </c>
      <c r="F41" s="48" t="inlineStr">
        <is>
          <t>NORMAL</t>
        </is>
      </c>
      <c r="G41" s="36" t="n"/>
      <c r="H41" s="36" t="n"/>
      <c r="I41" s="42">
        <f>IF(OR(E41="INACTIVE",H41=""),0,MAX(0,H41-G41))</f>
        <v/>
      </c>
      <c r="J41" s="36" t="n"/>
      <c r="K41" s="42">
        <f>IF(OR(E41="INACTIVE",H41=""),0,IF(AB41="DISABLED",0,IF(AB41="FLAT",AE41,IF(AB41="MANUAL",IF(J41="",0,J41*AC41),IF(AB41="STEP",IF(I41&lt;=AF41,I41*AG41,IF(I41&lt;=AH41,AF41*AG41+(I41-AF41)*AI41,AF41*AG41+(AH41-AF41)*AI41+(I41-AH41)*AK41)),MAX(I41*AC41,AD41))))))</f>
        <v/>
      </c>
      <c r="L41" s="42">
        <f>IF(OR(E41="INACTIVE",H41=""),0,IF(AL41="NONE",0,IF(AL41="FLAT",AM41,IF(AL41="PER_UNIT",I41*AN41,IF(AL41="MANUAL",IF(M41="",0,M41),0)))))</f>
        <v/>
      </c>
      <c r="M41" s="36" t="n"/>
      <c r="N41" s="48" t="inlineStr">
        <is>
          <t>NORMAL</t>
        </is>
      </c>
      <c r="O41" s="36" t="n"/>
      <c r="P41" s="36" t="n"/>
      <c r="Q41" s="42">
        <f>IF(OR(E41="INACTIVE",P41=""),0,MAX(0,P41-O41))</f>
        <v/>
      </c>
      <c r="R41" s="36" t="n"/>
      <c r="S41" s="42">
        <f>IF(OR(E41="INACTIVE",P41=""),0,IF(AO41="DISABLED",0,IF(AO41="FLAT",AR41,IF(AO41="MANUAL",IF(R41="",0,R41*AP41),IF(AO41="STEP",IF(Q41&lt;=AS41,Q41*AT41,IF(Q41&lt;=AU41,AS41*AT41+(Q41-AS41)*AV41,AS41*AT41+(AU41-AS41)*AV41+(Q41-AU41)*AX41)),MAX(Q41*AP41,AQ41))))))</f>
        <v/>
      </c>
      <c r="T41" s="42">
        <f>IF(OR(E41="INACTIVE",P41=""),0,IF(AY41="NONE",0,IF(AY41="FLAT",AZ41,IF(AY41="PER_UNIT",Q41*BA41,IF(AY41="MANUAL",IF(U41="",0,U41),0)))))</f>
        <v/>
      </c>
      <c r="U41" s="36" t="n"/>
      <c r="V41" s="36" t="n"/>
      <c r="W41" s="36" t="n"/>
      <c r="X41" s="42">
        <f>IF(E41="INACTIVE",0,D41+K41+L41+S41+T41+IF(V41="",0,V41)+IF(W41="",0,W41))</f>
        <v/>
      </c>
      <c r="Y41" s="36" t="n"/>
      <c r="Z41" s="42">
        <f>IF(E41="INACTIVE","_",IF(AND(G41&gt;0,H41&gt;0,H41&lt;G41),"[!]น้ำ reset ","")&amp;IF(AND(O41&gt;0,P41&gt;0,P41&lt;O41),"[!]ไฟ reset ","")&amp;IF(AND(F41="MANUAL",J41=""),"[X]units น้ำ ","")&amp;IF(AND(N41="MANUAL",R41=""),"[X]units ไฟ ","")&amp;IF(D41=0,"[!]ค่าเช่า=0",""))</f>
        <v/>
      </c>
      <c r="AA41" s="41">
        <f>IF(C41&lt;&gt;"",C41,CONFIG!$B$6)</f>
        <v/>
      </c>
      <c r="AB41" s="41">
        <f>IF(F41&lt;&gt;"",F41,IFERROR(VLOOKUP(AA41,RULES!$A:$C,3,0),CONFIG!$B$7))</f>
        <v/>
      </c>
      <c r="AC41" s="41">
        <f>IF(IFERROR(VLOOKUP(AA41,RULES!$A:$D,4,0),"")="",CONFIG!$B$10,VLOOKUP(AA41,RULES!$A:$D,4,0))</f>
        <v/>
      </c>
      <c r="AD41" s="41">
        <f>IF(IFERROR(VLOOKUP(AA41,RULES!$A:$E,5,0),"")="",CONFIG!$B$11,VLOOKUP(AA41,RULES!$A:$E,5,0))</f>
        <v/>
      </c>
      <c r="AE41" s="41">
        <f>IFERROR(VLOOKUP(AA41,RULES!$A:$F,6,0)*1,0)</f>
        <v/>
      </c>
      <c r="AF41" s="41">
        <f>IFERROR(VLOOKUP(AA41,RULES!$A:$G,7,0)*1,0)</f>
        <v/>
      </c>
      <c r="AG41" s="41">
        <f>IFERROR(VLOOKUP(AA41,RULES!$A:$H,8,0)*1,0)</f>
        <v/>
      </c>
      <c r="AH41" s="41">
        <f>IFERROR(VLOOKUP(AA41,RULES!$A:$I,9,0)*1,0)</f>
        <v/>
      </c>
      <c r="AI41" s="41">
        <f>IFERROR(VLOOKUP(AA41,RULES!$A:$J,10,0)*1,0)</f>
        <v/>
      </c>
      <c r="AJ41" s="41">
        <f>IFERROR(IF(VLOOKUP(AA41,RULES!$A:$K,11,0)="",999999,VLOOKUP(AA41,RULES!$A:$K,11,0)*1),999999)</f>
        <v/>
      </c>
      <c r="AK41" s="41">
        <f>IFERROR(VLOOKUP(AA41,RULES!$A:$L,12,0)*1,0)</f>
        <v/>
      </c>
      <c r="AL41" s="41">
        <f>IFERROR(VLOOKUP(AA41,RULES!$A:$M,13,0),"NONE")</f>
        <v/>
      </c>
      <c r="AM41" s="41">
        <f>IFERROR(VLOOKUP(AA41,RULES!$A:$N,14,0)*1,0)</f>
        <v/>
      </c>
      <c r="AN41" s="41">
        <f>IFERROR(VLOOKUP(AA41,RULES!$A:$O,15,0)*1,0)</f>
        <v/>
      </c>
      <c r="AO41" s="41">
        <f>IF(N41&lt;&gt;"",N41,IFERROR(VLOOKUP(AA41,RULES!$A:$P,16,0),CONFIG!$B$8))</f>
        <v/>
      </c>
      <c r="AP41" s="41">
        <f>IF(IFERROR(VLOOKUP(AA41,RULES!$A:$Q,17,0),"")="",CONFIG!$B$13,VLOOKUP(AA41,RULES!$A:$Q,17,0))</f>
        <v/>
      </c>
      <c r="AQ41" s="41">
        <f>IF(IFERROR(VLOOKUP(AA41,RULES!$A:$R,18,0),"")="",CONFIG!$B$14,VLOOKUP(AA41,RULES!$A:$R,18,0))</f>
        <v/>
      </c>
      <c r="AR41" s="41">
        <f>IFERROR(VLOOKUP(AA41,RULES!$A:$S,19,0)*1,0)</f>
        <v/>
      </c>
      <c r="AS41" s="41">
        <f>IFERROR(VLOOKUP(AA41,RULES!$A:$T,20,0)*1,0)</f>
        <v/>
      </c>
      <c r="AT41" s="41">
        <f>IFERROR(VLOOKUP(AA41,RULES!$A:$U,21,0)*1,0)</f>
        <v/>
      </c>
      <c r="AU41" s="41">
        <f>IFERROR(VLOOKUP(AA41,RULES!$A:$V,22,0)*1,0)</f>
        <v/>
      </c>
      <c r="AV41" s="41">
        <f>IFERROR(VLOOKUP(AA41,RULES!$A:$W,23,0)*1,0)</f>
        <v/>
      </c>
      <c r="AW41" s="41">
        <f>IFERROR(IF(VLOOKUP(AA41,RULES!$A:$X,24,0)="",999999,VLOOKUP(AA41,RULES!$A:$X,24,0)*1),999999)</f>
        <v/>
      </c>
      <c r="AX41" s="41">
        <f>IFERROR(VLOOKUP(AA41,RULES!$A:$Y,25,0)*1,0)</f>
        <v/>
      </c>
      <c r="AY41" s="41">
        <f>IFERROR(VLOOKUP(AA41,RULES!$A:$Z,26,0),"NONE")</f>
        <v/>
      </c>
      <c r="AZ41" s="41">
        <f>IFERROR(VLOOKUP(AA41,RULES!$A:$AA,27,0)*1,0)</f>
        <v/>
      </c>
      <c r="BA41" s="41">
        <f>IFERROR(VLOOKUP(AA41,RULES!$A:$AB,28,0)*1,0)</f>
        <v/>
      </c>
    </row>
    <row r="42" ht="17" customHeight="1">
      <c r="A42" s="36" t="n"/>
      <c r="B42" s="48" t="inlineStr">
        <is>
          <t>ACC005</t>
        </is>
      </c>
      <c r="C42" s="48" t="inlineStr">
        <is>
          <t>DEFAULT</t>
        </is>
      </c>
      <c r="D42" s="47" t="n"/>
      <c r="E42" s="36">
        <f>IF(OR(D42="",D42=0),"INACTIVE","ACTIVE")</f>
        <v/>
      </c>
      <c r="F42" s="48" t="inlineStr">
        <is>
          <t>NORMAL</t>
        </is>
      </c>
      <c r="G42" s="36" t="n"/>
      <c r="H42" s="36" t="n"/>
      <c r="I42" s="42">
        <f>IF(OR(E42="INACTIVE",H42=""),0,MAX(0,H42-G42))</f>
        <v/>
      </c>
      <c r="J42" s="36" t="n"/>
      <c r="K42" s="42">
        <f>IF(OR(E42="INACTIVE",H42=""),0,IF(AB42="DISABLED",0,IF(AB42="FLAT",AE42,IF(AB42="MANUAL",IF(J42="",0,J42*AC42),IF(AB42="STEP",IF(I42&lt;=AF42,I42*AG42,IF(I42&lt;=AH42,AF42*AG42+(I42-AF42)*AI42,AF42*AG42+(AH42-AF42)*AI42+(I42-AH42)*AK42)),MAX(I42*AC42,AD42))))))</f>
        <v/>
      </c>
      <c r="L42" s="42">
        <f>IF(OR(E42="INACTIVE",H42=""),0,IF(AL42="NONE",0,IF(AL42="FLAT",AM42,IF(AL42="PER_UNIT",I42*AN42,IF(AL42="MANUAL",IF(M42="",0,M42),0)))))</f>
        <v/>
      </c>
      <c r="M42" s="36" t="n"/>
      <c r="N42" s="48" t="inlineStr">
        <is>
          <t>NORMAL</t>
        </is>
      </c>
      <c r="O42" s="36" t="n"/>
      <c r="P42" s="36" t="n"/>
      <c r="Q42" s="42">
        <f>IF(OR(E42="INACTIVE",P42=""),0,MAX(0,P42-O42))</f>
        <v/>
      </c>
      <c r="R42" s="36" t="n"/>
      <c r="S42" s="42">
        <f>IF(OR(E42="INACTIVE",P42=""),0,IF(AO42="DISABLED",0,IF(AO42="FLAT",AR42,IF(AO42="MANUAL",IF(R42="",0,R42*AP42),IF(AO42="STEP",IF(Q42&lt;=AS42,Q42*AT42,IF(Q42&lt;=AU42,AS42*AT42+(Q42-AS42)*AV42,AS42*AT42+(AU42-AS42)*AV42+(Q42-AU42)*AX42)),MAX(Q42*AP42,AQ42))))))</f>
        <v/>
      </c>
      <c r="T42" s="42">
        <f>IF(OR(E42="INACTIVE",P42=""),0,IF(AY42="NONE",0,IF(AY42="FLAT",AZ42,IF(AY42="PER_UNIT",Q42*BA42,IF(AY42="MANUAL",IF(U42="",0,U42),0)))))</f>
        <v/>
      </c>
      <c r="U42" s="36" t="n"/>
      <c r="V42" s="36" t="n"/>
      <c r="W42" s="36" t="n"/>
      <c r="X42" s="42">
        <f>IF(E42="INACTIVE",0,D42+K42+L42+S42+T42+IF(V42="",0,V42)+IF(W42="",0,W42))</f>
        <v/>
      </c>
      <c r="Y42" s="36" t="n"/>
      <c r="Z42" s="42">
        <f>IF(E42="INACTIVE","_",IF(AND(G42&gt;0,H42&gt;0,H42&lt;G42),"[!]น้ำ reset ","")&amp;IF(AND(O42&gt;0,P42&gt;0,P42&lt;O42),"[!]ไฟ reset ","")&amp;IF(AND(F42="MANUAL",J42=""),"[X]units น้ำ ","")&amp;IF(AND(N42="MANUAL",R42=""),"[X]units ไฟ ","")&amp;IF(D42=0,"[!]ค่าเช่า=0",""))</f>
        <v/>
      </c>
      <c r="AA42" s="41">
        <f>IF(C42&lt;&gt;"",C42,CONFIG!$B$6)</f>
        <v/>
      </c>
      <c r="AB42" s="41">
        <f>IF(F42&lt;&gt;"",F42,IFERROR(VLOOKUP(AA42,RULES!$A:$C,3,0),CONFIG!$B$7))</f>
        <v/>
      </c>
      <c r="AC42" s="41">
        <f>IF(IFERROR(VLOOKUP(AA42,RULES!$A:$D,4,0),"")="",CONFIG!$B$10,VLOOKUP(AA42,RULES!$A:$D,4,0))</f>
        <v/>
      </c>
      <c r="AD42" s="41">
        <f>IF(IFERROR(VLOOKUP(AA42,RULES!$A:$E,5,0),"")="",CONFIG!$B$11,VLOOKUP(AA42,RULES!$A:$E,5,0))</f>
        <v/>
      </c>
      <c r="AE42" s="41">
        <f>IFERROR(VLOOKUP(AA42,RULES!$A:$F,6,0)*1,0)</f>
        <v/>
      </c>
      <c r="AF42" s="41">
        <f>IFERROR(VLOOKUP(AA42,RULES!$A:$G,7,0)*1,0)</f>
        <v/>
      </c>
      <c r="AG42" s="41">
        <f>IFERROR(VLOOKUP(AA42,RULES!$A:$H,8,0)*1,0)</f>
        <v/>
      </c>
      <c r="AH42" s="41">
        <f>IFERROR(VLOOKUP(AA42,RULES!$A:$I,9,0)*1,0)</f>
        <v/>
      </c>
      <c r="AI42" s="41">
        <f>IFERROR(VLOOKUP(AA42,RULES!$A:$J,10,0)*1,0)</f>
        <v/>
      </c>
      <c r="AJ42" s="41">
        <f>IFERROR(IF(VLOOKUP(AA42,RULES!$A:$K,11,0)="",999999,VLOOKUP(AA42,RULES!$A:$K,11,0)*1),999999)</f>
        <v/>
      </c>
      <c r="AK42" s="41">
        <f>IFERROR(VLOOKUP(AA42,RULES!$A:$L,12,0)*1,0)</f>
        <v/>
      </c>
      <c r="AL42" s="41">
        <f>IFERROR(VLOOKUP(AA42,RULES!$A:$M,13,0),"NONE")</f>
        <v/>
      </c>
      <c r="AM42" s="41">
        <f>IFERROR(VLOOKUP(AA42,RULES!$A:$N,14,0)*1,0)</f>
        <v/>
      </c>
      <c r="AN42" s="41">
        <f>IFERROR(VLOOKUP(AA42,RULES!$A:$O,15,0)*1,0)</f>
        <v/>
      </c>
      <c r="AO42" s="41">
        <f>IF(N42&lt;&gt;"",N42,IFERROR(VLOOKUP(AA42,RULES!$A:$P,16,0),CONFIG!$B$8))</f>
        <v/>
      </c>
      <c r="AP42" s="41">
        <f>IF(IFERROR(VLOOKUP(AA42,RULES!$A:$Q,17,0),"")="",CONFIG!$B$13,VLOOKUP(AA42,RULES!$A:$Q,17,0))</f>
        <v/>
      </c>
      <c r="AQ42" s="41">
        <f>IF(IFERROR(VLOOKUP(AA42,RULES!$A:$R,18,0),"")="",CONFIG!$B$14,VLOOKUP(AA42,RULES!$A:$R,18,0))</f>
        <v/>
      </c>
      <c r="AR42" s="41">
        <f>IFERROR(VLOOKUP(AA42,RULES!$A:$S,19,0)*1,0)</f>
        <v/>
      </c>
      <c r="AS42" s="41">
        <f>IFERROR(VLOOKUP(AA42,RULES!$A:$T,20,0)*1,0)</f>
        <v/>
      </c>
      <c r="AT42" s="41">
        <f>IFERROR(VLOOKUP(AA42,RULES!$A:$U,21,0)*1,0)</f>
        <v/>
      </c>
      <c r="AU42" s="41">
        <f>IFERROR(VLOOKUP(AA42,RULES!$A:$V,22,0)*1,0)</f>
        <v/>
      </c>
      <c r="AV42" s="41">
        <f>IFERROR(VLOOKUP(AA42,RULES!$A:$W,23,0)*1,0)</f>
        <v/>
      </c>
      <c r="AW42" s="41">
        <f>IFERROR(IF(VLOOKUP(AA42,RULES!$A:$X,24,0)="",999999,VLOOKUP(AA42,RULES!$A:$X,24,0)*1),999999)</f>
        <v/>
      </c>
      <c r="AX42" s="41">
        <f>IFERROR(VLOOKUP(AA42,RULES!$A:$Y,25,0)*1,0)</f>
        <v/>
      </c>
      <c r="AY42" s="41">
        <f>IFERROR(VLOOKUP(AA42,RULES!$A:$Z,26,0),"NONE")</f>
        <v/>
      </c>
      <c r="AZ42" s="41">
        <f>IFERROR(VLOOKUP(AA42,RULES!$A:$AA,27,0)*1,0)</f>
        <v/>
      </c>
      <c r="BA42" s="41">
        <f>IFERROR(VLOOKUP(AA42,RULES!$A:$AB,28,0)*1,0)</f>
        <v/>
      </c>
    </row>
    <row r="43" ht="17" customHeight="1">
      <c r="A43" s="36" t="n"/>
      <c r="B43" s="48" t="inlineStr">
        <is>
          <t>ACC005</t>
        </is>
      </c>
      <c r="C43" s="48" t="inlineStr">
        <is>
          <t>DEFAULT</t>
        </is>
      </c>
      <c r="D43" s="47" t="n"/>
      <c r="E43" s="36">
        <f>IF(OR(D43="",D43=0),"INACTIVE","ACTIVE")</f>
        <v/>
      </c>
      <c r="F43" s="48" t="inlineStr">
        <is>
          <t>NORMAL</t>
        </is>
      </c>
      <c r="G43" s="36" t="n"/>
      <c r="H43" s="36" t="n"/>
      <c r="I43" s="42">
        <f>IF(OR(E43="INACTIVE",H43=""),0,MAX(0,H43-G43))</f>
        <v/>
      </c>
      <c r="J43" s="36" t="n"/>
      <c r="K43" s="42">
        <f>IF(OR(E43="INACTIVE",H43=""),0,IF(AB43="DISABLED",0,IF(AB43="FLAT",AE43,IF(AB43="MANUAL",IF(J43="",0,J43*AC43),IF(AB43="STEP",IF(I43&lt;=AF43,I43*AG43,IF(I43&lt;=AH43,AF43*AG43+(I43-AF43)*AI43,AF43*AG43+(AH43-AF43)*AI43+(I43-AH43)*AK43)),MAX(I43*AC43,AD43))))))</f>
        <v/>
      </c>
      <c r="L43" s="42">
        <f>IF(OR(E43="INACTIVE",H43=""),0,IF(AL43="NONE",0,IF(AL43="FLAT",AM43,IF(AL43="PER_UNIT",I43*AN43,IF(AL43="MANUAL",IF(M43="",0,M43),0)))))</f>
        <v/>
      </c>
      <c r="M43" s="36" t="n"/>
      <c r="N43" s="48" t="inlineStr">
        <is>
          <t>NORMAL</t>
        </is>
      </c>
      <c r="O43" s="36" t="n"/>
      <c r="P43" s="36" t="n"/>
      <c r="Q43" s="42">
        <f>IF(OR(E43="INACTIVE",P43=""),0,MAX(0,P43-O43))</f>
        <v/>
      </c>
      <c r="R43" s="36" t="n"/>
      <c r="S43" s="42">
        <f>IF(OR(E43="INACTIVE",P43=""),0,IF(AO43="DISABLED",0,IF(AO43="FLAT",AR43,IF(AO43="MANUAL",IF(R43="",0,R43*AP43),IF(AO43="STEP",IF(Q43&lt;=AS43,Q43*AT43,IF(Q43&lt;=AU43,AS43*AT43+(Q43-AS43)*AV43,AS43*AT43+(AU43-AS43)*AV43+(Q43-AU43)*AX43)),MAX(Q43*AP43,AQ43))))))</f>
        <v/>
      </c>
      <c r="T43" s="42">
        <f>IF(OR(E43="INACTIVE",P43=""),0,IF(AY43="NONE",0,IF(AY43="FLAT",AZ43,IF(AY43="PER_UNIT",Q43*BA43,IF(AY43="MANUAL",IF(U43="",0,U43),0)))))</f>
        <v/>
      </c>
      <c r="U43" s="36" t="n"/>
      <c r="V43" s="36" t="n"/>
      <c r="W43" s="36" t="n"/>
      <c r="X43" s="42">
        <f>IF(E43="INACTIVE",0,D43+K43+L43+S43+T43+IF(V43="",0,V43)+IF(W43="",0,W43))</f>
        <v/>
      </c>
      <c r="Y43" s="36" t="n"/>
      <c r="Z43" s="42">
        <f>IF(E43="INACTIVE","_",IF(AND(G43&gt;0,H43&gt;0,H43&lt;G43),"[!]น้ำ reset ","")&amp;IF(AND(O43&gt;0,P43&gt;0,P43&lt;O43),"[!]ไฟ reset ","")&amp;IF(AND(F43="MANUAL",J43=""),"[X]units น้ำ ","")&amp;IF(AND(N43="MANUAL",R43=""),"[X]units ไฟ ","")&amp;IF(D43=0,"[!]ค่าเช่า=0",""))</f>
        <v/>
      </c>
      <c r="AA43" s="41">
        <f>IF(C43&lt;&gt;"",C43,CONFIG!$B$6)</f>
        <v/>
      </c>
      <c r="AB43" s="41">
        <f>IF(F43&lt;&gt;"",F43,IFERROR(VLOOKUP(AA43,RULES!$A:$C,3,0),CONFIG!$B$7))</f>
        <v/>
      </c>
      <c r="AC43" s="41">
        <f>IF(IFERROR(VLOOKUP(AA43,RULES!$A:$D,4,0),"")="",CONFIG!$B$10,VLOOKUP(AA43,RULES!$A:$D,4,0))</f>
        <v/>
      </c>
      <c r="AD43" s="41">
        <f>IF(IFERROR(VLOOKUP(AA43,RULES!$A:$E,5,0),"")="",CONFIG!$B$11,VLOOKUP(AA43,RULES!$A:$E,5,0))</f>
        <v/>
      </c>
      <c r="AE43" s="41">
        <f>IFERROR(VLOOKUP(AA43,RULES!$A:$F,6,0)*1,0)</f>
        <v/>
      </c>
      <c r="AF43" s="41">
        <f>IFERROR(VLOOKUP(AA43,RULES!$A:$G,7,0)*1,0)</f>
        <v/>
      </c>
      <c r="AG43" s="41">
        <f>IFERROR(VLOOKUP(AA43,RULES!$A:$H,8,0)*1,0)</f>
        <v/>
      </c>
      <c r="AH43" s="41">
        <f>IFERROR(VLOOKUP(AA43,RULES!$A:$I,9,0)*1,0)</f>
        <v/>
      </c>
      <c r="AI43" s="41">
        <f>IFERROR(VLOOKUP(AA43,RULES!$A:$J,10,0)*1,0)</f>
        <v/>
      </c>
      <c r="AJ43" s="41">
        <f>IFERROR(IF(VLOOKUP(AA43,RULES!$A:$K,11,0)="",999999,VLOOKUP(AA43,RULES!$A:$K,11,0)*1),999999)</f>
        <v/>
      </c>
      <c r="AK43" s="41">
        <f>IFERROR(VLOOKUP(AA43,RULES!$A:$L,12,0)*1,0)</f>
        <v/>
      </c>
      <c r="AL43" s="41">
        <f>IFERROR(VLOOKUP(AA43,RULES!$A:$M,13,0),"NONE")</f>
        <v/>
      </c>
      <c r="AM43" s="41">
        <f>IFERROR(VLOOKUP(AA43,RULES!$A:$N,14,0)*1,0)</f>
        <v/>
      </c>
      <c r="AN43" s="41">
        <f>IFERROR(VLOOKUP(AA43,RULES!$A:$O,15,0)*1,0)</f>
        <v/>
      </c>
      <c r="AO43" s="41">
        <f>IF(N43&lt;&gt;"",N43,IFERROR(VLOOKUP(AA43,RULES!$A:$P,16,0),CONFIG!$B$8))</f>
        <v/>
      </c>
      <c r="AP43" s="41">
        <f>IF(IFERROR(VLOOKUP(AA43,RULES!$A:$Q,17,0),"")="",CONFIG!$B$13,VLOOKUP(AA43,RULES!$A:$Q,17,0))</f>
        <v/>
      </c>
      <c r="AQ43" s="41">
        <f>IF(IFERROR(VLOOKUP(AA43,RULES!$A:$R,18,0),"")="",CONFIG!$B$14,VLOOKUP(AA43,RULES!$A:$R,18,0))</f>
        <v/>
      </c>
      <c r="AR43" s="41">
        <f>IFERROR(VLOOKUP(AA43,RULES!$A:$S,19,0)*1,0)</f>
        <v/>
      </c>
      <c r="AS43" s="41">
        <f>IFERROR(VLOOKUP(AA43,RULES!$A:$T,20,0)*1,0)</f>
        <v/>
      </c>
      <c r="AT43" s="41">
        <f>IFERROR(VLOOKUP(AA43,RULES!$A:$U,21,0)*1,0)</f>
        <v/>
      </c>
      <c r="AU43" s="41">
        <f>IFERROR(VLOOKUP(AA43,RULES!$A:$V,22,0)*1,0)</f>
        <v/>
      </c>
      <c r="AV43" s="41">
        <f>IFERROR(VLOOKUP(AA43,RULES!$A:$W,23,0)*1,0)</f>
        <v/>
      </c>
      <c r="AW43" s="41">
        <f>IFERROR(IF(VLOOKUP(AA43,RULES!$A:$X,24,0)="",999999,VLOOKUP(AA43,RULES!$A:$X,24,0)*1),999999)</f>
        <v/>
      </c>
      <c r="AX43" s="41">
        <f>IFERROR(VLOOKUP(AA43,RULES!$A:$Y,25,0)*1,0)</f>
        <v/>
      </c>
      <c r="AY43" s="41">
        <f>IFERROR(VLOOKUP(AA43,RULES!$A:$Z,26,0),"NONE")</f>
        <v/>
      </c>
      <c r="AZ43" s="41">
        <f>IFERROR(VLOOKUP(AA43,RULES!$A:$AA,27,0)*1,0)</f>
        <v/>
      </c>
      <c r="BA43" s="41">
        <f>IFERROR(VLOOKUP(AA43,RULES!$A:$AB,28,0)*1,0)</f>
        <v/>
      </c>
    </row>
    <row r="44" ht="17" customHeight="1">
      <c r="A44" s="36" t="n"/>
      <c r="B44" s="48" t="inlineStr">
        <is>
          <t>ACC005</t>
        </is>
      </c>
      <c r="C44" s="48" t="inlineStr">
        <is>
          <t>DEFAULT</t>
        </is>
      </c>
      <c r="D44" s="47" t="n"/>
      <c r="E44" s="36">
        <f>IF(OR(D44="",D44=0),"INACTIVE","ACTIVE")</f>
        <v/>
      </c>
      <c r="F44" s="48" t="inlineStr">
        <is>
          <t>NORMAL</t>
        </is>
      </c>
      <c r="G44" s="36" t="n"/>
      <c r="H44" s="36" t="n"/>
      <c r="I44" s="42">
        <f>IF(OR(E44="INACTIVE",H44=""),0,MAX(0,H44-G44))</f>
        <v/>
      </c>
      <c r="J44" s="36" t="n"/>
      <c r="K44" s="42">
        <f>IF(OR(E44="INACTIVE",H44=""),0,IF(AB44="DISABLED",0,IF(AB44="FLAT",AE44,IF(AB44="MANUAL",IF(J44="",0,J44*AC44),IF(AB44="STEP",IF(I44&lt;=AF44,I44*AG44,IF(I44&lt;=AH44,AF44*AG44+(I44-AF44)*AI44,AF44*AG44+(AH44-AF44)*AI44+(I44-AH44)*AK44)),MAX(I44*AC44,AD44))))))</f>
        <v/>
      </c>
      <c r="L44" s="42">
        <f>IF(OR(E44="INACTIVE",H44=""),0,IF(AL44="NONE",0,IF(AL44="FLAT",AM44,IF(AL44="PER_UNIT",I44*AN44,IF(AL44="MANUAL",IF(M44="",0,M44),0)))))</f>
        <v/>
      </c>
      <c r="M44" s="36" t="n"/>
      <c r="N44" s="48" t="inlineStr">
        <is>
          <t>NORMAL</t>
        </is>
      </c>
      <c r="O44" s="36" t="n"/>
      <c r="P44" s="36" t="n"/>
      <c r="Q44" s="42">
        <f>IF(OR(E44="INACTIVE",P44=""),0,MAX(0,P44-O44))</f>
        <v/>
      </c>
      <c r="R44" s="36" t="n"/>
      <c r="S44" s="42">
        <f>IF(OR(E44="INACTIVE",P44=""),0,IF(AO44="DISABLED",0,IF(AO44="FLAT",AR44,IF(AO44="MANUAL",IF(R44="",0,R44*AP44),IF(AO44="STEP",IF(Q44&lt;=AS44,Q44*AT44,IF(Q44&lt;=AU44,AS44*AT44+(Q44-AS44)*AV44,AS44*AT44+(AU44-AS44)*AV44+(Q44-AU44)*AX44)),MAX(Q44*AP44,AQ44))))))</f>
        <v/>
      </c>
      <c r="T44" s="42">
        <f>IF(OR(E44="INACTIVE",P44=""),0,IF(AY44="NONE",0,IF(AY44="FLAT",AZ44,IF(AY44="PER_UNIT",Q44*BA44,IF(AY44="MANUAL",IF(U44="",0,U44),0)))))</f>
        <v/>
      </c>
      <c r="U44" s="36" t="n"/>
      <c r="V44" s="36" t="n"/>
      <c r="W44" s="36" t="n"/>
      <c r="X44" s="42">
        <f>IF(E44="INACTIVE",0,D44+K44+L44+S44+T44+IF(V44="",0,V44)+IF(W44="",0,W44))</f>
        <v/>
      </c>
      <c r="Y44" s="36" t="n"/>
      <c r="Z44" s="42">
        <f>IF(E44="INACTIVE","_",IF(AND(G44&gt;0,H44&gt;0,H44&lt;G44),"[!]น้ำ reset ","")&amp;IF(AND(O44&gt;0,P44&gt;0,P44&lt;O44),"[!]ไฟ reset ","")&amp;IF(AND(F44="MANUAL",J44=""),"[X]units น้ำ ","")&amp;IF(AND(N44="MANUAL",R44=""),"[X]units ไฟ ","")&amp;IF(D44=0,"[!]ค่าเช่า=0",""))</f>
        <v/>
      </c>
      <c r="AA44" s="41">
        <f>IF(C44&lt;&gt;"",C44,CONFIG!$B$6)</f>
        <v/>
      </c>
      <c r="AB44" s="41">
        <f>IF(F44&lt;&gt;"",F44,IFERROR(VLOOKUP(AA44,RULES!$A:$C,3,0),CONFIG!$B$7))</f>
        <v/>
      </c>
      <c r="AC44" s="41">
        <f>IF(IFERROR(VLOOKUP(AA44,RULES!$A:$D,4,0),"")="",CONFIG!$B$10,VLOOKUP(AA44,RULES!$A:$D,4,0))</f>
        <v/>
      </c>
      <c r="AD44" s="41">
        <f>IF(IFERROR(VLOOKUP(AA44,RULES!$A:$E,5,0),"")="",CONFIG!$B$11,VLOOKUP(AA44,RULES!$A:$E,5,0))</f>
        <v/>
      </c>
      <c r="AE44" s="41">
        <f>IFERROR(VLOOKUP(AA44,RULES!$A:$F,6,0)*1,0)</f>
        <v/>
      </c>
      <c r="AF44" s="41">
        <f>IFERROR(VLOOKUP(AA44,RULES!$A:$G,7,0)*1,0)</f>
        <v/>
      </c>
      <c r="AG44" s="41">
        <f>IFERROR(VLOOKUP(AA44,RULES!$A:$H,8,0)*1,0)</f>
        <v/>
      </c>
      <c r="AH44" s="41">
        <f>IFERROR(VLOOKUP(AA44,RULES!$A:$I,9,0)*1,0)</f>
        <v/>
      </c>
      <c r="AI44" s="41">
        <f>IFERROR(VLOOKUP(AA44,RULES!$A:$J,10,0)*1,0)</f>
        <v/>
      </c>
      <c r="AJ44" s="41">
        <f>IFERROR(IF(VLOOKUP(AA44,RULES!$A:$K,11,0)="",999999,VLOOKUP(AA44,RULES!$A:$K,11,0)*1),999999)</f>
        <v/>
      </c>
      <c r="AK44" s="41">
        <f>IFERROR(VLOOKUP(AA44,RULES!$A:$L,12,0)*1,0)</f>
        <v/>
      </c>
      <c r="AL44" s="41">
        <f>IFERROR(VLOOKUP(AA44,RULES!$A:$M,13,0),"NONE")</f>
        <v/>
      </c>
      <c r="AM44" s="41">
        <f>IFERROR(VLOOKUP(AA44,RULES!$A:$N,14,0)*1,0)</f>
        <v/>
      </c>
      <c r="AN44" s="41">
        <f>IFERROR(VLOOKUP(AA44,RULES!$A:$O,15,0)*1,0)</f>
        <v/>
      </c>
      <c r="AO44" s="41">
        <f>IF(N44&lt;&gt;"",N44,IFERROR(VLOOKUP(AA44,RULES!$A:$P,16,0),CONFIG!$B$8))</f>
        <v/>
      </c>
      <c r="AP44" s="41">
        <f>IF(IFERROR(VLOOKUP(AA44,RULES!$A:$Q,17,0),"")="",CONFIG!$B$13,VLOOKUP(AA44,RULES!$A:$Q,17,0))</f>
        <v/>
      </c>
      <c r="AQ44" s="41">
        <f>IF(IFERROR(VLOOKUP(AA44,RULES!$A:$R,18,0),"")="",CONFIG!$B$14,VLOOKUP(AA44,RULES!$A:$R,18,0))</f>
        <v/>
      </c>
      <c r="AR44" s="41">
        <f>IFERROR(VLOOKUP(AA44,RULES!$A:$S,19,0)*1,0)</f>
        <v/>
      </c>
      <c r="AS44" s="41">
        <f>IFERROR(VLOOKUP(AA44,RULES!$A:$T,20,0)*1,0)</f>
        <v/>
      </c>
      <c r="AT44" s="41">
        <f>IFERROR(VLOOKUP(AA44,RULES!$A:$U,21,0)*1,0)</f>
        <v/>
      </c>
      <c r="AU44" s="41">
        <f>IFERROR(VLOOKUP(AA44,RULES!$A:$V,22,0)*1,0)</f>
        <v/>
      </c>
      <c r="AV44" s="41">
        <f>IFERROR(VLOOKUP(AA44,RULES!$A:$W,23,0)*1,0)</f>
        <v/>
      </c>
      <c r="AW44" s="41">
        <f>IFERROR(IF(VLOOKUP(AA44,RULES!$A:$X,24,0)="",999999,VLOOKUP(AA44,RULES!$A:$X,24,0)*1),999999)</f>
        <v/>
      </c>
      <c r="AX44" s="41">
        <f>IFERROR(VLOOKUP(AA44,RULES!$A:$Y,25,0)*1,0)</f>
        <v/>
      </c>
      <c r="AY44" s="41">
        <f>IFERROR(VLOOKUP(AA44,RULES!$A:$Z,26,0),"NONE")</f>
        <v/>
      </c>
      <c r="AZ44" s="41">
        <f>IFERROR(VLOOKUP(AA44,RULES!$A:$AA,27,0)*1,0)</f>
        <v/>
      </c>
      <c r="BA44" s="41">
        <f>IFERROR(VLOOKUP(AA44,RULES!$A:$AB,28,0)*1,0)</f>
        <v/>
      </c>
    </row>
    <row r="45" ht="17" customHeight="1">
      <c r="A45" s="36" t="n"/>
      <c r="B45" s="48" t="inlineStr">
        <is>
          <t>ACC005</t>
        </is>
      </c>
      <c r="C45" s="48" t="inlineStr">
        <is>
          <t>DEFAULT</t>
        </is>
      </c>
      <c r="D45" s="47" t="n"/>
      <c r="E45" s="36">
        <f>IF(OR(D45="",D45=0),"INACTIVE","ACTIVE")</f>
        <v/>
      </c>
      <c r="F45" s="48" t="inlineStr">
        <is>
          <t>NORMAL</t>
        </is>
      </c>
      <c r="G45" s="36" t="n"/>
      <c r="H45" s="36" t="n"/>
      <c r="I45" s="42">
        <f>IF(OR(E45="INACTIVE",H45=""),0,MAX(0,H45-G45))</f>
        <v/>
      </c>
      <c r="J45" s="36" t="n"/>
      <c r="K45" s="42">
        <f>IF(OR(E45="INACTIVE",H45=""),0,IF(AB45="DISABLED",0,IF(AB45="FLAT",AE45,IF(AB45="MANUAL",IF(J45="",0,J45*AC45),IF(AB45="STEP",IF(I45&lt;=AF45,I45*AG45,IF(I45&lt;=AH45,AF45*AG45+(I45-AF45)*AI45,AF45*AG45+(AH45-AF45)*AI45+(I45-AH45)*AK45)),MAX(I45*AC45,AD45))))))</f>
        <v/>
      </c>
      <c r="L45" s="42">
        <f>IF(OR(E45="INACTIVE",H45=""),0,IF(AL45="NONE",0,IF(AL45="FLAT",AM45,IF(AL45="PER_UNIT",I45*AN45,IF(AL45="MANUAL",IF(M45="",0,M45),0)))))</f>
        <v/>
      </c>
      <c r="M45" s="36" t="n"/>
      <c r="N45" s="48" t="inlineStr">
        <is>
          <t>NORMAL</t>
        </is>
      </c>
      <c r="O45" s="36" t="n"/>
      <c r="P45" s="36" t="n"/>
      <c r="Q45" s="42">
        <f>IF(OR(E45="INACTIVE",P45=""),0,MAX(0,P45-O45))</f>
        <v/>
      </c>
      <c r="R45" s="36" t="n"/>
      <c r="S45" s="42">
        <f>IF(OR(E45="INACTIVE",P45=""),0,IF(AO45="DISABLED",0,IF(AO45="FLAT",AR45,IF(AO45="MANUAL",IF(R45="",0,R45*AP45),IF(AO45="STEP",IF(Q45&lt;=AS45,Q45*AT45,IF(Q45&lt;=AU45,AS45*AT45+(Q45-AS45)*AV45,AS45*AT45+(AU45-AS45)*AV45+(Q45-AU45)*AX45)),MAX(Q45*AP45,AQ45))))))</f>
        <v/>
      </c>
      <c r="T45" s="42">
        <f>IF(OR(E45="INACTIVE",P45=""),0,IF(AY45="NONE",0,IF(AY45="FLAT",AZ45,IF(AY45="PER_UNIT",Q45*BA45,IF(AY45="MANUAL",IF(U45="",0,U45),0)))))</f>
        <v/>
      </c>
      <c r="U45" s="36" t="n"/>
      <c r="V45" s="36" t="n"/>
      <c r="W45" s="36" t="n"/>
      <c r="X45" s="42">
        <f>IF(E45="INACTIVE",0,D45+K45+L45+S45+T45+IF(V45="",0,V45)+IF(W45="",0,W45))</f>
        <v/>
      </c>
      <c r="Y45" s="36" t="n"/>
      <c r="Z45" s="42">
        <f>IF(E45="INACTIVE","_",IF(AND(G45&gt;0,H45&gt;0,H45&lt;G45),"[!]น้ำ reset ","")&amp;IF(AND(O45&gt;0,P45&gt;0,P45&lt;O45),"[!]ไฟ reset ","")&amp;IF(AND(F45="MANUAL",J45=""),"[X]units น้ำ ","")&amp;IF(AND(N45="MANUAL",R45=""),"[X]units ไฟ ","")&amp;IF(D45=0,"[!]ค่าเช่า=0",""))</f>
        <v/>
      </c>
      <c r="AA45" s="41">
        <f>IF(C45&lt;&gt;"",C45,CONFIG!$B$6)</f>
        <v/>
      </c>
      <c r="AB45" s="41">
        <f>IF(F45&lt;&gt;"",F45,IFERROR(VLOOKUP(AA45,RULES!$A:$C,3,0),CONFIG!$B$7))</f>
        <v/>
      </c>
      <c r="AC45" s="41">
        <f>IF(IFERROR(VLOOKUP(AA45,RULES!$A:$D,4,0),"")="",CONFIG!$B$10,VLOOKUP(AA45,RULES!$A:$D,4,0))</f>
        <v/>
      </c>
      <c r="AD45" s="41">
        <f>IF(IFERROR(VLOOKUP(AA45,RULES!$A:$E,5,0),"")="",CONFIG!$B$11,VLOOKUP(AA45,RULES!$A:$E,5,0))</f>
        <v/>
      </c>
      <c r="AE45" s="41">
        <f>IFERROR(VLOOKUP(AA45,RULES!$A:$F,6,0)*1,0)</f>
        <v/>
      </c>
      <c r="AF45" s="41">
        <f>IFERROR(VLOOKUP(AA45,RULES!$A:$G,7,0)*1,0)</f>
        <v/>
      </c>
      <c r="AG45" s="41">
        <f>IFERROR(VLOOKUP(AA45,RULES!$A:$H,8,0)*1,0)</f>
        <v/>
      </c>
      <c r="AH45" s="41">
        <f>IFERROR(VLOOKUP(AA45,RULES!$A:$I,9,0)*1,0)</f>
        <v/>
      </c>
      <c r="AI45" s="41">
        <f>IFERROR(VLOOKUP(AA45,RULES!$A:$J,10,0)*1,0)</f>
        <v/>
      </c>
      <c r="AJ45" s="41">
        <f>IFERROR(IF(VLOOKUP(AA45,RULES!$A:$K,11,0)="",999999,VLOOKUP(AA45,RULES!$A:$K,11,0)*1),999999)</f>
        <v/>
      </c>
      <c r="AK45" s="41">
        <f>IFERROR(VLOOKUP(AA45,RULES!$A:$L,12,0)*1,0)</f>
        <v/>
      </c>
      <c r="AL45" s="41">
        <f>IFERROR(VLOOKUP(AA45,RULES!$A:$M,13,0),"NONE")</f>
        <v/>
      </c>
      <c r="AM45" s="41">
        <f>IFERROR(VLOOKUP(AA45,RULES!$A:$N,14,0)*1,0)</f>
        <v/>
      </c>
      <c r="AN45" s="41">
        <f>IFERROR(VLOOKUP(AA45,RULES!$A:$O,15,0)*1,0)</f>
        <v/>
      </c>
      <c r="AO45" s="41">
        <f>IF(N45&lt;&gt;"",N45,IFERROR(VLOOKUP(AA45,RULES!$A:$P,16,0),CONFIG!$B$8))</f>
        <v/>
      </c>
      <c r="AP45" s="41">
        <f>IF(IFERROR(VLOOKUP(AA45,RULES!$A:$Q,17,0),"")="",CONFIG!$B$13,VLOOKUP(AA45,RULES!$A:$Q,17,0))</f>
        <v/>
      </c>
      <c r="AQ45" s="41">
        <f>IF(IFERROR(VLOOKUP(AA45,RULES!$A:$R,18,0),"")="",CONFIG!$B$14,VLOOKUP(AA45,RULES!$A:$R,18,0))</f>
        <v/>
      </c>
      <c r="AR45" s="41">
        <f>IFERROR(VLOOKUP(AA45,RULES!$A:$S,19,0)*1,0)</f>
        <v/>
      </c>
      <c r="AS45" s="41">
        <f>IFERROR(VLOOKUP(AA45,RULES!$A:$T,20,0)*1,0)</f>
        <v/>
      </c>
      <c r="AT45" s="41">
        <f>IFERROR(VLOOKUP(AA45,RULES!$A:$U,21,0)*1,0)</f>
        <v/>
      </c>
      <c r="AU45" s="41">
        <f>IFERROR(VLOOKUP(AA45,RULES!$A:$V,22,0)*1,0)</f>
        <v/>
      </c>
      <c r="AV45" s="41">
        <f>IFERROR(VLOOKUP(AA45,RULES!$A:$W,23,0)*1,0)</f>
        <v/>
      </c>
      <c r="AW45" s="41">
        <f>IFERROR(IF(VLOOKUP(AA45,RULES!$A:$X,24,0)="",999999,VLOOKUP(AA45,RULES!$A:$X,24,0)*1),999999)</f>
        <v/>
      </c>
      <c r="AX45" s="41">
        <f>IFERROR(VLOOKUP(AA45,RULES!$A:$Y,25,0)*1,0)</f>
        <v/>
      </c>
      <c r="AY45" s="41">
        <f>IFERROR(VLOOKUP(AA45,RULES!$A:$Z,26,0),"NONE")</f>
        <v/>
      </c>
      <c r="AZ45" s="41">
        <f>IFERROR(VLOOKUP(AA45,RULES!$A:$AA,27,0)*1,0)</f>
        <v/>
      </c>
      <c r="BA45" s="41">
        <f>IFERROR(VLOOKUP(AA45,RULES!$A:$AB,28,0)*1,0)</f>
        <v/>
      </c>
    </row>
    <row r="46" ht="22" customHeight="1">
      <c r="A46" s="43" t="inlineStr">
        <is>
          <t>Summary Floor 5</t>
        </is>
      </c>
      <c r="B46" s="46" t="n"/>
      <c r="C46" s="44" t="n"/>
      <c r="D46" s="44" t="n"/>
      <c r="E46" s="43">
        <f>COUNTIF(E4:E35,"ACTIVE")&amp;" / "&amp;COUNTIF(E4:E35,"INACTIVE")</f>
        <v/>
      </c>
      <c r="F46" s="44" t="n"/>
      <c r="G46" s="44" t="n"/>
      <c r="H46" s="44" t="n"/>
      <c r="I46" s="44" t="n"/>
      <c r="J46" s="44" t="n"/>
      <c r="K46" s="45">
        <f>SUM(K4:K35)</f>
        <v/>
      </c>
      <c r="L46" s="45">
        <f>SUM(L4:L35)</f>
        <v/>
      </c>
      <c r="M46" s="44" t="n"/>
      <c r="N46" s="44" t="n"/>
      <c r="O46" s="44" t="n"/>
      <c r="P46" s="44" t="n"/>
      <c r="Q46" s="44" t="n"/>
      <c r="R46" s="44" t="n"/>
      <c r="S46" s="45">
        <f>SUM(S4:S35)</f>
        <v/>
      </c>
      <c r="T46" s="45">
        <f>SUM(T4:T35)</f>
        <v/>
      </c>
      <c r="U46" s="44" t="n"/>
      <c r="V46" s="44" t="n"/>
      <c r="W46" s="44" t="n"/>
      <c r="X46" s="45">
        <f>SUM(X4:X35)</f>
        <v/>
      </c>
      <c r="Y46" s="44" t="n"/>
      <c r="Z46" s="44" t="n"/>
    </row>
  </sheetData>
  <mergeCells count="3">
    <mergeCell ref="A1:Z1"/>
    <mergeCell ref="A36:B36"/>
    <mergeCell ref="A46:B46"/>
  </mergeCells>
  <conditionalFormatting sqref="A4:Z46">
    <cfRule type="expression" priority="22" dxfId="11">
      <formula>=$E4="INACTIVE"</formula>
    </cfRule>
  </conditionalFormatting>
  <conditionalFormatting sqref="E4:E46">
    <cfRule type="expression" priority="23" dxfId="12">
      <formula>=E4="ACTIVE"</formula>
    </cfRule>
    <cfRule type="expression" priority="24" dxfId="13">
      <formula>=E4="INACTIVE"</formula>
    </cfRule>
  </conditionalFormatting>
  <conditionalFormatting sqref="F4:F46">
    <cfRule type="expression" priority="25" dxfId="14">
      <formula>=F4="NORMAL"</formula>
    </cfRule>
    <cfRule type="expression" priority="26" dxfId="15">
      <formula>=F4="MANUAL"</formula>
    </cfRule>
    <cfRule type="expression" priority="27" dxfId="16">
      <formula>=F4="DISABLED"</formula>
    </cfRule>
    <cfRule type="expression" priority="28" dxfId="17">
      <formula>=F4="FLAT"</formula>
    </cfRule>
    <cfRule type="expression" priority="29" dxfId="18">
      <formula>=F4="STEP"</formula>
    </cfRule>
  </conditionalFormatting>
  <conditionalFormatting sqref="N4:N46">
    <cfRule type="expression" priority="30" dxfId="14">
      <formula>=N4="NORMAL"</formula>
    </cfRule>
    <cfRule type="expression" priority="31" dxfId="15">
      <formula>=N4="MANUAL"</formula>
    </cfRule>
    <cfRule type="expression" priority="32" dxfId="16">
      <formula>=N4="DISABLED"</formula>
    </cfRule>
    <cfRule type="expression" priority="33" dxfId="17">
      <formula>=N4="FLAT"</formula>
    </cfRule>
    <cfRule type="expression" priority="34" dxfId="18">
      <formula>=N4="STEP"</formula>
    </cfRule>
  </conditionalFormatting>
  <conditionalFormatting sqref="Z4:Z46">
    <cfRule type="expression" priority="35" dxfId="19">
      <formula>=ISNUMBER(SEARCH("[X]",Z4))</formula>
    </cfRule>
    <cfRule type="expression" priority="36" dxfId="20">
      <formula>=ISNUMBER(SEARCH("[!]",Z4))</formula>
    </cfRule>
    <cfRule type="expression" priority="37" dxfId="16">
      <formula>=Z4="_"</formula>
    </cfRule>
    <cfRule type="expression" priority="38" dxfId="14">
      <formula>=AND(Z4="",E4="ACTIVE")</formula>
    </cfRule>
  </conditionalFormatting>
  <conditionalFormatting sqref="B4:B46">
    <cfRule type="expression" priority="39" dxfId="21">
      <formula>=B4&lt;&gt;""</formula>
    </cfRule>
  </conditionalFormatting>
  <conditionalFormatting sqref="C4:C46">
    <cfRule type="expression" priority="40" dxfId="21">
      <formula>=AND(C4&lt;&gt;"",C4&lt;&gt;"DEFAULT")</formula>
    </cfRule>
  </conditionalFormatting>
  <conditionalFormatting sqref="J4:J46">
    <cfRule type="expression" priority="41" dxfId="19">
      <formula>=AND(AB4="MANUAL",J4="")</formula>
    </cfRule>
  </conditionalFormatting>
  <conditionalFormatting sqref="R4:R46">
    <cfRule type="expression" priority="42" dxfId="19">
      <formula>=AND(AO4="MANUAL",R4="")</formula>
    </cfRule>
  </conditionalFormatting>
  <dataValidations count="4">
    <dataValidation sqref="B4:B45" showDropDown="0" showInputMessage="0" showErrorMessage="0" allowBlank="0" type="list">
      <formula1>=ACCOUNTS!$A$2:$A$30</formula1>
    </dataValidation>
    <dataValidation sqref="C4:C45" showDropDown="0" showInputMessage="0" showErrorMessage="0" allowBlank="0" type="list">
      <formula1>=RULES!$A$2:$A$50</formula1>
    </dataValidation>
    <dataValidation sqref="F4:F45" showDropDown="0" showInputMessage="0" showErrorMessage="0" allowBlank="0" type="list">
      <formula1>"NORMAL,MANUAL,DISABLED,FLAT,STEP"</formula1>
    </dataValidation>
    <dataValidation sqref="N4:N45" showDropDown="0" showInputMessage="0" showErrorMessage="0" allowBlank="0" type="list">
      <formula1>"NORMAL,MANUAL,DISABLED,FLAT,STEP"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46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1" customWidth="1" min="12" max="12"/>
    <col width="11" customWidth="1" min="13" max="13"/>
    <col width="10" customWidth="1" min="14" max="14"/>
    <col width="8" customWidth="1" min="15" max="15"/>
    <col width="8" customWidth="1" min="16" max="16"/>
    <col width="8" customWidth="1" min="17" max="17"/>
    <col width="10" customWidth="1" min="18" max="18"/>
    <col width="10" customWidth="1" min="19" max="19"/>
    <col width="11" customWidth="1" min="20" max="20"/>
    <col width="11" customWidth="1" min="21" max="21"/>
    <col width="9" customWidth="1" min="22" max="22"/>
    <col width="9" customWidth="1" min="23" max="23"/>
    <col width="11" customWidth="1" min="24" max="24"/>
    <col width="16" customWidth="1" min="25" max="25"/>
    <col width="22" customWidth="1" min="26" max="26"/>
    <col hidden="1" width="0.5" customWidth="1" min="27" max="27"/>
    <col hidden="1" width="0.5" customWidth="1" min="28" max="28"/>
    <col hidden="1" width="0.5" customWidth="1" min="29" max="29"/>
    <col hidden="1" width="0.5" customWidth="1" min="30" max="30"/>
    <col hidden="1" width="0.5" customWidth="1" min="31" max="31"/>
    <col hidden="1" width="0.5" customWidth="1" min="32" max="32"/>
    <col hidden="1" width="0.5" customWidth="1" min="33" max="33"/>
    <col hidden="1" width="0.5" customWidth="1" min="34" max="34"/>
    <col hidden="1" width="0.5" customWidth="1" min="35" max="35"/>
    <col hidden="1" width="0.5" customWidth="1" min="36" max="36"/>
    <col hidden="1" width="0.5" customWidth="1" min="37" max="37"/>
    <col hidden="1" width="0.5" customWidth="1" min="38" max="38"/>
    <col hidden="1" width="0.5" customWidth="1" min="39" max="39"/>
    <col hidden="1" width="0.5" customWidth="1" min="40" max="40"/>
    <col hidden="1" width="0.5" customWidth="1" min="41" max="41"/>
    <col hidden="1" width="0.5" customWidth="1" min="42" max="42"/>
    <col hidden="1" width="0.5" customWidth="1" min="43" max="43"/>
    <col hidden="1" width="0.5" customWidth="1" min="44" max="44"/>
    <col hidden="1" width="0.5" customWidth="1" min="45" max="45"/>
    <col hidden="1" width="0.5" customWidth="1" min="46" max="46"/>
    <col hidden="1" width="0.5" customWidth="1" min="47" max="47"/>
    <col hidden="1" width="0.5" customWidth="1" min="48" max="48"/>
    <col hidden="1" width="0.5" customWidth="1" min="49" max="49"/>
    <col hidden="1" width="0.5" customWidth="1" min="50" max="50"/>
    <col hidden="1" width="0.5" customWidth="1" min="51" max="51"/>
    <col hidden="1" width="0.5" customWidth="1" min="52" max="52"/>
    <col hidden="1" width="0.5" customWidth="1" min="53" max="53"/>
  </cols>
  <sheetData>
    <row r="1" ht="28" customHeight="1">
      <c r="A1" s="1" t="inlineStr">
        <is>
          <t>ข้อมูลบิล ชั้น 6</t>
        </is>
      </c>
    </row>
    <row r="2" ht="20" customHeight="1">
      <c r="A2" s="9" t="inlineStr">
        <is>
          <t>room</t>
        </is>
      </c>
      <c r="B2" s="9" t="inlineStr">
        <is>
          <t>account_id</t>
        </is>
      </c>
      <c r="C2" s="9" t="inlineStr">
        <is>
          <t>rule_code</t>
        </is>
      </c>
      <c r="D2" s="9" t="inlineStr">
        <is>
          <t>rent_amount</t>
        </is>
      </c>
      <c r="E2" s="9" t="inlineStr">
        <is>
          <t>room_status</t>
        </is>
      </c>
      <c r="F2" s="9" t="inlineStr">
        <is>
          <t>water_mode</t>
        </is>
      </c>
      <c r="G2" s="9" t="inlineStr">
        <is>
          <t>water_prev</t>
        </is>
      </c>
      <c r="H2" s="9" t="inlineStr">
        <is>
          <t>water_curr</t>
        </is>
      </c>
      <c r="I2" s="9" t="inlineStr">
        <is>
          <t>water_units</t>
        </is>
      </c>
      <c r="J2" s="9" t="inlineStr">
        <is>
          <t>water_units_manual</t>
        </is>
      </c>
      <c r="K2" s="9" t="inlineStr">
        <is>
          <t>water_charge</t>
        </is>
      </c>
      <c r="L2" s="9" t="inlineStr">
        <is>
          <t>water_fee</t>
        </is>
      </c>
      <c r="M2" s="9" t="inlineStr">
        <is>
          <t>water_fee_manual</t>
        </is>
      </c>
      <c r="N2" s="9" t="inlineStr">
        <is>
          <t>electric_mode</t>
        </is>
      </c>
      <c r="O2" s="9" t="inlineStr">
        <is>
          <t>electric_prev</t>
        </is>
      </c>
      <c r="P2" s="9" t="inlineStr">
        <is>
          <t>electric_curr</t>
        </is>
      </c>
      <c r="Q2" s="9" t="inlineStr">
        <is>
          <t>electric_units</t>
        </is>
      </c>
      <c r="R2" s="9" t="inlineStr">
        <is>
          <t>electric_units_manual</t>
        </is>
      </c>
      <c r="S2" s="9" t="inlineStr">
        <is>
          <t>electric_charge</t>
        </is>
      </c>
      <c r="T2" s="9" t="inlineStr">
        <is>
          <t>electric_fee</t>
        </is>
      </c>
      <c r="U2" s="9" t="inlineStr">
        <is>
          <t>electric_fee_manual</t>
        </is>
      </c>
      <c r="V2" s="9" t="inlineStr">
        <is>
          <t>furniture_fee</t>
        </is>
      </c>
      <c r="W2" s="9" t="inlineStr">
        <is>
          <t>other_fee</t>
        </is>
      </c>
      <c r="X2" s="9" t="inlineStr">
        <is>
          <t>total_due</t>
        </is>
      </c>
      <c r="Y2" s="9" t="inlineStr">
        <is>
          <t>note</t>
        </is>
      </c>
      <c r="Z2" s="9" t="inlineStr">
        <is>
          <t>check_notes</t>
        </is>
      </c>
      <c r="AA2" s="21" t="inlineStr">
        <is>
          <t>_helpers (hidden)</t>
        </is>
      </c>
    </row>
    <row r="3" ht="22" customHeight="1">
      <c r="A3" s="10" t="inlineStr">
        <is>
          <t>เลขห้อง</t>
        </is>
      </c>
      <c r="B3" s="10" t="inlineStr">
        <is>
          <t>บัญชีรับเงิน</t>
        </is>
      </c>
      <c r="C3" s="10" t="inlineStr">
        <is>
          <t>กฎ billing</t>
        </is>
      </c>
      <c r="D3" s="10" t="inlineStr">
        <is>
          <t>ค่าเช่า (กรอกเอง)</t>
        </is>
      </c>
      <c r="E3" s="10" t="inlineStr">
        <is>
          <t>สถานะ</t>
        </is>
      </c>
      <c r="F3" s="10" t="inlineStr">
        <is>
          <t>โหมดน้ำ</t>
        </is>
      </c>
      <c r="G3" s="10" t="inlineStr">
        <is>
          <t>น้ำก่อน</t>
        </is>
      </c>
      <c r="H3" s="10" t="inlineStr">
        <is>
          <t>น้ำหลัง</t>
        </is>
      </c>
      <c r="I3" s="10" t="inlineStr">
        <is>
          <t>ใช้น้ำ</t>
        </is>
      </c>
      <c r="J3" s="10" t="inlineStr">
        <is>
          <t>units น้ำ(manual)</t>
        </is>
      </c>
      <c r="K3" s="10" t="inlineStr">
        <is>
          <t>ค่าน้ำ</t>
        </is>
      </c>
      <c r="L3" s="10" t="inlineStr">
        <is>
          <t>ค่าบริการน้ำ</t>
        </is>
      </c>
      <c r="M3" s="10" t="inlineStr">
        <is>
          <t>ค่าบริการน้ำ(M)</t>
        </is>
      </c>
      <c r="N3" s="10" t="inlineStr">
        <is>
          <t>โหมดไฟ</t>
        </is>
      </c>
      <c r="O3" s="10" t="inlineStr">
        <is>
          <t>ไฟก่อน</t>
        </is>
      </c>
      <c r="P3" s="10" t="inlineStr">
        <is>
          <t>ไฟหลัง</t>
        </is>
      </c>
      <c r="Q3" s="10" t="inlineStr">
        <is>
          <t>ใช้ไฟ</t>
        </is>
      </c>
      <c r="R3" s="10" t="inlineStr">
        <is>
          <t>units ไฟ(manual)</t>
        </is>
      </c>
      <c r="S3" s="10" t="inlineStr">
        <is>
          <t>ค่าไฟ</t>
        </is>
      </c>
      <c r="T3" s="10" t="inlineStr">
        <is>
          <t>ค่าบริการไฟ</t>
        </is>
      </c>
      <c r="U3" s="10" t="inlineStr">
        <is>
          <t>ค่าบริการไฟ(M)</t>
        </is>
      </c>
      <c r="V3" s="10" t="inlineStr">
        <is>
          <t>ค่าเฟอร์</t>
        </is>
      </c>
      <c r="W3" s="10" t="inlineStr">
        <is>
          <t>อื่นๆ</t>
        </is>
      </c>
      <c r="X3" s="10" t="inlineStr">
        <is>
          <t>รวมเงิน</t>
        </is>
      </c>
      <c r="Y3" s="10" t="inlineStr">
        <is>
          <t>หมายเหตุ</t>
        </is>
      </c>
      <c r="Z3" s="10" t="inlineStr">
        <is>
          <t>ตรวจสอบ</t>
        </is>
      </c>
    </row>
    <row r="4" ht="17" customHeight="1">
      <c r="A4" s="22" t="inlineStr">
        <is>
          <t>3601</t>
        </is>
      </c>
      <c r="B4" s="48" t="inlineStr">
        <is>
          <t>ACC006</t>
        </is>
      </c>
      <c r="C4" s="48" t="inlineStr">
        <is>
          <t>DEFAULT</t>
        </is>
      </c>
      <c r="D4" s="47" t="n"/>
      <c r="E4" s="22">
        <f>IF(OR(D4="",D4=0),"INACTIVE","ACTIVE")</f>
        <v/>
      </c>
      <c r="F4" s="48" t="inlineStr">
        <is>
          <t>NORMAL</t>
        </is>
      </c>
      <c r="G4" s="25" t="n"/>
      <c r="H4" s="25" t="n"/>
      <c r="I4" s="26">
        <f>IF(OR(E4="INACTIVE",H4=""),0,MAX(0,H4-G4))</f>
        <v/>
      </c>
      <c r="J4" s="23" t="n"/>
      <c r="K4" s="26">
        <f>IF(OR(E4="INACTIVE",H4=""),0,IF(AB4="DISABLED",0,IF(AB4="FLAT",AE4,IF(AB4="MANUAL",IF(J4="",0,J4*AC4),IF(AB4="STEP",IF(I4&lt;=AF4,I4*AG4,IF(I4&lt;=AH4,AF4*AG4+(I4-AF4)*AI4,AF4*AG4+(AH4-AF4)*AI4+(I4-AH4)*AK4)),MAX(I4*AC4,AD4))))))</f>
        <v/>
      </c>
      <c r="L4" s="26">
        <f>IF(OR(E4="INACTIVE",H4=""),0,IF(AL4="NONE",0,IF(AL4="FLAT",AM4,IF(AL4="PER_UNIT",I4*AN4,IF(AL4="MANUAL",IF(M4="",0,M4),0)))))</f>
        <v/>
      </c>
      <c r="M4" s="23" t="n"/>
      <c r="N4" s="48" t="inlineStr">
        <is>
          <t>NORMAL</t>
        </is>
      </c>
      <c r="O4" s="25" t="n"/>
      <c r="P4" s="25" t="n"/>
      <c r="Q4" s="26">
        <f>IF(OR(E4="INACTIVE",P4=""),0,MAX(0,P4-O4))</f>
        <v/>
      </c>
      <c r="R4" s="23" t="n"/>
      <c r="S4" s="26">
        <f>IF(OR(E4="INACTIVE",P4=""),0,IF(AO4="DISABLED",0,IF(AO4="FLAT",AR4,IF(AO4="MANUAL",IF(R4="",0,R4*AP4),IF(AO4="STEP",IF(Q4&lt;=AS4,Q4*AT4,IF(Q4&lt;=AU4,AS4*AT4+(Q4-AS4)*AV4,AS4*AT4+(AU4-AS4)*AV4+(Q4-AU4)*AX4)),MAX(Q4*AP4,AQ4))))))</f>
        <v/>
      </c>
      <c r="T4" s="26">
        <f>IF(OR(E4="INACTIVE",P4=""),0,IF(AY4="NONE",0,IF(AY4="FLAT",AZ4,IF(AY4="PER_UNIT",Q4*BA4,IF(AY4="MANUAL",IF(U4="",0,U4),0)))))</f>
        <v/>
      </c>
      <c r="U4" s="23" t="n"/>
      <c r="V4" s="25" t="n"/>
      <c r="W4" s="25" t="n"/>
      <c r="X4" s="26">
        <f>IF(E4="INACTIVE",0,D4+K4+L4+S4+T4+IF(V4="",0,V4)+IF(W4="",0,W4))</f>
        <v/>
      </c>
      <c r="Y4" s="27" t="n"/>
      <c r="Z4" s="28">
        <f>IF(E4="INACTIVE","_",IF(AND(G4&gt;0,H4&gt;0,H4&lt;G4),"[!]น้ำ reset ","")&amp;IF(AND(O4&gt;0,P4&gt;0,P4&lt;O4),"[!]ไฟ reset ","")&amp;IF(AND(F4="MANUAL",J4=""),"[X]units น้ำ ","")&amp;IF(AND(N4="MANUAL",R4=""),"[X]units ไฟ ","")&amp;IF(D4=0,"[!]ค่าเช่า=0",""))</f>
        <v/>
      </c>
      <c r="AA4" s="29">
        <f>IF(C4&lt;&gt;"",C4,CONFIG!$B$6)</f>
        <v/>
      </c>
      <c r="AB4" s="29">
        <f>IF(F4&lt;&gt;"",F4,IFERROR(VLOOKUP(AA4,RULES!$A:$C,3,0),CONFIG!$B$7))</f>
        <v/>
      </c>
      <c r="AC4" s="29">
        <f>IF(IFERROR(VLOOKUP(AA4,RULES!$A:$D,4,0),"")="",CONFIG!$B$10,VLOOKUP(AA4,RULES!$A:$D,4,0))</f>
        <v/>
      </c>
      <c r="AD4" s="29">
        <f>IF(IFERROR(VLOOKUP(AA4,RULES!$A:$E,5,0),"")="",CONFIG!$B$11,VLOOKUP(AA4,RULES!$A:$E,5,0))</f>
        <v/>
      </c>
      <c r="AE4" s="29">
        <f>IFERROR(VLOOKUP(AA4,RULES!$A:$F,6,0)*1,0)</f>
        <v/>
      </c>
      <c r="AF4" s="29">
        <f>IFERROR(VLOOKUP(AA4,RULES!$A:$G,7,0)*1,0)</f>
        <v/>
      </c>
      <c r="AG4" s="29">
        <f>IFERROR(VLOOKUP(AA4,RULES!$A:$H,8,0)*1,0)</f>
        <v/>
      </c>
      <c r="AH4" s="29">
        <f>IFERROR(VLOOKUP(AA4,RULES!$A:$I,9,0)*1,0)</f>
        <v/>
      </c>
      <c r="AI4" s="29">
        <f>IFERROR(VLOOKUP(AA4,RULES!$A:$J,10,0)*1,0)</f>
        <v/>
      </c>
      <c r="AJ4" s="29">
        <f>IFERROR(IF(VLOOKUP(AA4,RULES!$A:$K,11,0)="",999999,VLOOKUP(AA4,RULES!$A:$K,11,0)*1),999999)</f>
        <v/>
      </c>
      <c r="AK4" s="29">
        <f>IFERROR(VLOOKUP(AA4,RULES!$A:$L,12,0)*1,0)</f>
        <v/>
      </c>
      <c r="AL4" s="29">
        <f>IFERROR(VLOOKUP(AA4,RULES!$A:$M,13,0),"NONE")</f>
        <v/>
      </c>
      <c r="AM4" s="29">
        <f>IFERROR(VLOOKUP(AA4,RULES!$A:$N,14,0)*1,0)</f>
        <v/>
      </c>
      <c r="AN4" s="29">
        <f>IFERROR(VLOOKUP(AA4,RULES!$A:$O,15,0)*1,0)</f>
        <v/>
      </c>
      <c r="AO4" s="29">
        <f>IF(N4&lt;&gt;"",N4,IFERROR(VLOOKUP(AA4,RULES!$A:$P,16,0),CONFIG!$B$8))</f>
        <v/>
      </c>
      <c r="AP4" s="29">
        <f>IF(IFERROR(VLOOKUP(AA4,RULES!$A:$Q,17,0),"")="",CONFIG!$B$13,VLOOKUP(AA4,RULES!$A:$Q,17,0))</f>
        <v/>
      </c>
      <c r="AQ4" s="29">
        <f>IF(IFERROR(VLOOKUP(AA4,RULES!$A:$R,18,0),"")="",CONFIG!$B$14,VLOOKUP(AA4,RULES!$A:$R,18,0))</f>
        <v/>
      </c>
      <c r="AR4" s="29">
        <f>IFERROR(VLOOKUP(AA4,RULES!$A:$S,19,0)*1,0)</f>
        <v/>
      </c>
      <c r="AS4" s="29">
        <f>IFERROR(VLOOKUP(AA4,RULES!$A:$T,20,0)*1,0)</f>
        <v/>
      </c>
      <c r="AT4" s="29">
        <f>IFERROR(VLOOKUP(AA4,RULES!$A:$U,21,0)*1,0)</f>
        <v/>
      </c>
      <c r="AU4" s="29">
        <f>IFERROR(VLOOKUP(AA4,RULES!$A:$V,22,0)*1,0)</f>
        <v/>
      </c>
      <c r="AV4" s="29">
        <f>IFERROR(VLOOKUP(AA4,RULES!$A:$W,23,0)*1,0)</f>
        <v/>
      </c>
      <c r="AW4" s="29">
        <f>IFERROR(IF(VLOOKUP(AA4,RULES!$A:$X,24,0)="",999999,VLOOKUP(AA4,RULES!$A:$X,24,0)*1),999999)</f>
        <v/>
      </c>
      <c r="AX4" s="29">
        <f>IFERROR(VLOOKUP(AA4,RULES!$A:$Y,25,0)*1,0)</f>
        <v/>
      </c>
      <c r="AY4" s="29">
        <f>IFERROR(VLOOKUP(AA4,RULES!$A:$Z,26,0),"NONE")</f>
        <v/>
      </c>
      <c r="AZ4" s="29">
        <f>IFERROR(VLOOKUP(AA4,RULES!$A:$AA,27,0)*1,0)</f>
        <v/>
      </c>
      <c r="BA4" s="29">
        <f>IFERROR(VLOOKUP(AA4,RULES!$A:$AB,28,0)*1,0)</f>
        <v/>
      </c>
    </row>
    <row r="5" ht="17" customHeight="1">
      <c r="A5" s="22" t="inlineStr">
        <is>
          <t>3602</t>
        </is>
      </c>
      <c r="B5" s="48" t="inlineStr">
        <is>
          <t>ACC006</t>
        </is>
      </c>
      <c r="C5" s="48" t="inlineStr">
        <is>
          <t>DEFAULT</t>
        </is>
      </c>
      <c r="D5" s="47" t="n"/>
      <c r="E5" s="22">
        <f>IF(OR(D5="",D5=0),"INACTIVE","ACTIVE")</f>
        <v/>
      </c>
      <c r="F5" s="48" t="inlineStr">
        <is>
          <t>NORMAL</t>
        </is>
      </c>
      <c r="G5" s="25" t="n"/>
      <c r="H5" s="25" t="n"/>
      <c r="I5" s="26">
        <f>IF(OR(E5="INACTIVE",H5=""),0,MAX(0,H5-G5))</f>
        <v/>
      </c>
      <c r="J5" s="23" t="n"/>
      <c r="K5" s="26">
        <f>IF(OR(E5="INACTIVE",H5=""),0,IF(AB5="DISABLED",0,IF(AB5="FLAT",AE5,IF(AB5="MANUAL",IF(J5="",0,J5*AC5),IF(AB5="STEP",IF(I5&lt;=AF5,I5*AG5,IF(I5&lt;=AH5,AF5*AG5+(I5-AF5)*AI5,AF5*AG5+(AH5-AF5)*AI5+(I5-AH5)*AK5)),MAX(I5*AC5,AD5))))))</f>
        <v/>
      </c>
      <c r="L5" s="26">
        <f>IF(OR(E5="INACTIVE",H5=""),0,IF(AL5="NONE",0,IF(AL5="FLAT",AM5,IF(AL5="PER_UNIT",I5*AN5,IF(AL5="MANUAL",IF(M5="",0,M5),0)))))</f>
        <v/>
      </c>
      <c r="M5" s="23" t="n"/>
      <c r="N5" s="48" t="inlineStr">
        <is>
          <t>NORMAL</t>
        </is>
      </c>
      <c r="O5" s="25" t="n"/>
      <c r="P5" s="25" t="n"/>
      <c r="Q5" s="26">
        <f>IF(OR(E5="INACTIVE",P5=""),0,MAX(0,P5-O5))</f>
        <v/>
      </c>
      <c r="R5" s="23" t="n"/>
      <c r="S5" s="26">
        <f>IF(OR(E5="INACTIVE",P5=""),0,IF(AO5="DISABLED",0,IF(AO5="FLAT",AR5,IF(AO5="MANUAL",IF(R5="",0,R5*AP5),IF(AO5="STEP",IF(Q5&lt;=AS5,Q5*AT5,IF(Q5&lt;=AU5,AS5*AT5+(Q5-AS5)*AV5,AS5*AT5+(AU5-AS5)*AV5+(Q5-AU5)*AX5)),MAX(Q5*AP5,AQ5))))))</f>
        <v/>
      </c>
      <c r="T5" s="26">
        <f>IF(OR(E5="INACTIVE",P5=""),0,IF(AY5="NONE",0,IF(AY5="FLAT",AZ5,IF(AY5="PER_UNIT",Q5*BA5,IF(AY5="MANUAL",IF(U5="",0,U5),0)))))</f>
        <v/>
      </c>
      <c r="U5" s="23" t="n"/>
      <c r="V5" s="25" t="n"/>
      <c r="W5" s="25" t="n"/>
      <c r="X5" s="26">
        <f>IF(E5="INACTIVE",0,D5+K5+L5+S5+T5+IF(V5="",0,V5)+IF(W5="",0,W5))</f>
        <v/>
      </c>
      <c r="Y5" s="27" t="n"/>
      <c r="Z5" s="28">
        <f>IF(E5="INACTIVE","_",IF(AND(G5&gt;0,H5&gt;0,H5&lt;G5),"[!]น้ำ reset ","")&amp;IF(AND(O5&gt;0,P5&gt;0,P5&lt;O5),"[!]ไฟ reset ","")&amp;IF(AND(F5="MANUAL",J5=""),"[X]units น้ำ ","")&amp;IF(AND(N5="MANUAL",R5=""),"[X]units ไฟ ","")&amp;IF(D5=0,"[!]ค่าเช่า=0",""))</f>
        <v/>
      </c>
      <c r="AA5" s="29">
        <f>IF(C5&lt;&gt;"",C5,CONFIG!$B$6)</f>
        <v/>
      </c>
      <c r="AB5" s="29">
        <f>IF(F5&lt;&gt;"",F5,IFERROR(VLOOKUP(AA5,RULES!$A:$C,3,0),CONFIG!$B$7))</f>
        <v/>
      </c>
      <c r="AC5" s="29">
        <f>IF(IFERROR(VLOOKUP(AA5,RULES!$A:$D,4,0),"")="",CONFIG!$B$10,VLOOKUP(AA5,RULES!$A:$D,4,0))</f>
        <v/>
      </c>
      <c r="AD5" s="29">
        <f>IF(IFERROR(VLOOKUP(AA5,RULES!$A:$E,5,0),"")="",CONFIG!$B$11,VLOOKUP(AA5,RULES!$A:$E,5,0))</f>
        <v/>
      </c>
      <c r="AE5" s="29">
        <f>IFERROR(VLOOKUP(AA5,RULES!$A:$F,6,0)*1,0)</f>
        <v/>
      </c>
      <c r="AF5" s="29">
        <f>IFERROR(VLOOKUP(AA5,RULES!$A:$G,7,0)*1,0)</f>
        <v/>
      </c>
      <c r="AG5" s="29">
        <f>IFERROR(VLOOKUP(AA5,RULES!$A:$H,8,0)*1,0)</f>
        <v/>
      </c>
      <c r="AH5" s="29">
        <f>IFERROR(VLOOKUP(AA5,RULES!$A:$I,9,0)*1,0)</f>
        <v/>
      </c>
      <c r="AI5" s="29">
        <f>IFERROR(VLOOKUP(AA5,RULES!$A:$J,10,0)*1,0)</f>
        <v/>
      </c>
      <c r="AJ5" s="29">
        <f>IFERROR(IF(VLOOKUP(AA5,RULES!$A:$K,11,0)="",999999,VLOOKUP(AA5,RULES!$A:$K,11,0)*1),999999)</f>
        <v/>
      </c>
      <c r="AK5" s="29">
        <f>IFERROR(VLOOKUP(AA5,RULES!$A:$L,12,0)*1,0)</f>
        <v/>
      </c>
      <c r="AL5" s="29">
        <f>IFERROR(VLOOKUP(AA5,RULES!$A:$M,13,0),"NONE")</f>
        <v/>
      </c>
      <c r="AM5" s="29">
        <f>IFERROR(VLOOKUP(AA5,RULES!$A:$N,14,0)*1,0)</f>
        <v/>
      </c>
      <c r="AN5" s="29">
        <f>IFERROR(VLOOKUP(AA5,RULES!$A:$O,15,0)*1,0)</f>
        <v/>
      </c>
      <c r="AO5" s="29">
        <f>IF(N5&lt;&gt;"",N5,IFERROR(VLOOKUP(AA5,RULES!$A:$P,16,0),CONFIG!$B$8))</f>
        <v/>
      </c>
      <c r="AP5" s="29">
        <f>IF(IFERROR(VLOOKUP(AA5,RULES!$A:$Q,17,0),"")="",CONFIG!$B$13,VLOOKUP(AA5,RULES!$A:$Q,17,0))</f>
        <v/>
      </c>
      <c r="AQ5" s="29">
        <f>IF(IFERROR(VLOOKUP(AA5,RULES!$A:$R,18,0),"")="",CONFIG!$B$14,VLOOKUP(AA5,RULES!$A:$R,18,0))</f>
        <v/>
      </c>
      <c r="AR5" s="29">
        <f>IFERROR(VLOOKUP(AA5,RULES!$A:$S,19,0)*1,0)</f>
        <v/>
      </c>
      <c r="AS5" s="29">
        <f>IFERROR(VLOOKUP(AA5,RULES!$A:$T,20,0)*1,0)</f>
        <v/>
      </c>
      <c r="AT5" s="29">
        <f>IFERROR(VLOOKUP(AA5,RULES!$A:$U,21,0)*1,0)</f>
        <v/>
      </c>
      <c r="AU5" s="29">
        <f>IFERROR(VLOOKUP(AA5,RULES!$A:$V,22,0)*1,0)</f>
        <v/>
      </c>
      <c r="AV5" s="29">
        <f>IFERROR(VLOOKUP(AA5,RULES!$A:$W,23,0)*1,0)</f>
        <v/>
      </c>
      <c r="AW5" s="29">
        <f>IFERROR(IF(VLOOKUP(AA5,RULES!$A:$X,24,0)="",999999,VLOOKUP(AA5,RULES!$A:$X,24,0)*1),999999)</f>
        <v/>
      </c>
      <c r="AX5" s="29">
        <f>IFERROR(VLOOKUP(AA5,RULES!$A:$Y,25,0)*1,0)</f>
        <v/>
      </c>
      <c r="AY5" s="29">
        <f>IFERROR(VLOOKUP(AA5,RULES!$A:$Z,26,0),"NONE")</f>
        <v/>
      </c>
      <c r="AZ5" s="29">
        <f>IFERROR(VLOOKUP(AA5,RULES!$A:$AA,27,0)*1,0)</f>
        <v/>
      </c>
      <c r="BA5" s="29">
        <f>IFERROR(VLOOKUP(AA5,RULES!$A:$AB,28,0)*1,0)</f>
        <v/>
      </c>
    </row>
    <row r="6" ht="17" customHeight="1">
      <c r="A6" s="22" t="inlineStr">
        <is>
          <t>3603</t>
        </is>
      </c>
      <c r="B6" s="48" t="inlineStr">
        <is>
          <t>ACC006</t>
        </is>
      </c>
      <c r="C6" s="48" t="inlineStr">
        <is>
          <t>DEFAULT</t>
        </is>
      </c>
      <c r="D6" s="47" t="n"/>
      <c r="E6" s="22">
        <f>IF(OR(D6="",D6=0),"INACTIVE","ACTIVE")</f>
        <v/>
      </c>
      <c r="F6" s="48" t="inlineStr">
        <is>
          <t>NORMAL</t>
        </is>
      </c>
      <c r="G6" s="25" t="n"/>
      <c r="H6" s="25" t="n"/>
      <c r="I6" s="26">
        <f>IF(OR(E6="INACTIVE",H6=""),0,MAX(0,H6-G6))</f>
        <v/>
      </c>
      <c r="J6" s="23" t="n"/>
      <c r="K6" s="26">
        <f>IF(OR(E6="INACTIVE",H6=""),0,IF(AB6="DISABLED",0,IF(AB6="FLAT",AE6,IF(AB6="MANUAL",IF(J6="",0,J6*AC6),IF(AB6="STEP",IF(I6&lt;=AF6,I6*AG6,IF(I6&lt;=AH6,AF6*AG6+(I6-AF6)*AI6,AF6*AG6+(AH6-AF6)*AI6+(I6-AH6)*AK6)),MAX(I6*AC6,AD6))))))</f>
        <v/>
      </c>
      <c r="L6" s="26">
        <f>IF(OR(E6="INACTIVE",H6=""),0,IF(AL6="NONE",0,IF(AL6="FLAT",AM6,IF(AL6="PER_UNIT",I6*AN6,IF(AL6="MANUAL",IF(M6="",0,M6),0)))))</f>
        <v/>
      </c>
      <c r="M6" s="23" t="n"/>
      <c r="N6" s="48" t="inlineStr">
        <is>
          <t>NORMAL</t>
        </is>
      </c>
      <c r="O6" s="25" t="n"/>
      <c r="P6" s="25" t="n"/>
      <c r="Q6" s="26">
        <f>IF(OR(E6="INACTIVE",P6=""),0,MAX(0,P6-O6))</f>
        <v/>
      </c>
      <c r="R6" s="23" t="n"/>
      <c r="S6" s="26">
        <f>IF(OR(E6="INACTIVE",P6=""),0,IF(AO6="DISABLED",0,IF(AO6="FLAT",AR6,IF(AO6="MANUAL",IF(R6="",0,R6*AP6),IF(AO6="STEP",IF(Q6&lt;=AS6,Q6*AT6,IF(Q6&lt;=AU6,AS6*AT6+(Q6-AS6)*AV6,AS6*AT6+(AU6-AS6)*AV6+(Q6-AU6)*AX6)),MAX(Q6*AP6,AQ6))))))</f>
        <v/>
      </c>
      <c r="T6" s="26">
        <f>IF(OR(E6="INACTIVE",P6=""),0,IF(AY6="NONE",0,IF(AY6="FLAT",AZ6,IF(AY6="PER_UNIT",Q6*BA6,IF(AY6="MANUAL",IF(U6="",0,U6),0)))))</f>
        <v/>
      </c>
      <c r="U6" s="23" t="n"/>
      <c r="V6" s="25" t="n"/>
      <c r="W6" s="25" t="n"/>
      <c r="X6" s="26">
        <f>IF(E6="INACTIVE",0,D6+K6+L6+S6+T6+IF(V6="",0,V6)+IF(W6="",0,W6))</f>
        <v/>
      </c>
      <c r="Y6" s="27" t="n"/>
      <c r="Z6" s="28">
        <f>IF(E6="INACTIVE","_",IF(AND(G6&gt;0,H6&gt;0,H6&lt;G6),"[!]น้ำ reset ","")&amp;IF(AND(O6&gt;0,P6&gt;0,P6&lt;O6),"[!]ไฟ reset ","")&amp;IF(AND(F6="MANUAL",J6=""),"[X]units น้ำ ","")&amp;IF(AND(N6="MANUAL",R6=""),"[X]units ไฟ ","")&amp;IF(D6=0,"[!]ค่าเช่า=0",""))</f>
        <v/>
      </c>
      <c r="AA6" s="29">
        <f>IF(C6&lt;&gt;"",C6,CONFIG!$B$6)</f>
        <v/>
      </c>
      <c r="AB6" s="29">
        <f>IF(F6&lt;&gt;"",F6,IFERROR(VLOOKUP(AA6,RULES!$A:$C,3,0),CONFIG!$B$7))</f>
        <v/>
      </c>
      <c r="AC6" s="29">
        <f>IF(IFERROR(VLOOKUP(AA6,RULES!$A:$D,4,0),"")="",CONFIG!$B$10,VLOOKUP(AA6,RULES!$A:$D,4,0))</f>
        <v/>
      </c>
      <c r="AD6" s="29">
        <f>IF(IFERROR(VLOOKUP(AA6,RULES!$A:$E,5,0),"")="",CONFIG!$B$11,VLOOKUP(AA6,RULES!$A:$E,5,0))</f>
        <v/>
      </c>
      <c r="AE6" s="29">
        <f>IFERROR(VLOOKUP(AA6,RULES!$A:$F,6,0)*1,0)</f>
        <v/>
      </c>
      <c r="AF6" s="29">
        <f>IFERROR(VLOOKUP(AA6,RULES!$A:$G,7,0)*1,0)</f>
        <v/>
      </c>
      <c r="AG6" s="29">
        <f>IFERROR(VLOOKUP(AA6,RULES!$A:$H,8,0)*1,0)</f>
        <v/>
      </c>
      <c r="AH6" s="29">
        <f>IFERROR(VLOOKUP(AA6,RULES!$A:$I,9,0)*1,0)</f>
        <v/>
      </c>
      <c r="AI6" s="29">
        <f>IFERROR(VLOOKUP(AA6,RULES!$A:$J,10,0)*1,0)</f>
        <v/>
      </c>
      <c r="AJ6" s="29">
        <f>IFERROR(IF(VLOOKUP(AA6,RULES!$A:$K,11,0)="",999999,VLOOKUP(AA6,RULES!$A:$K,11,0)*1),999999)</f>
        <v/>
      </c>
      <c r="AK6" s="29">
        <f>IFERROR(VLOOKUP(AA6,RULES!$A:$L,12,0)*1,0)</f>
        <v/>
      </c>
      <c r="AL6" s="29">
        <f>IFERROR(VLOOKUP(AA6,RULES!$A:$M,13,0),"NONE")</f>
        <v/>
      </c>
      <c r="AM6" s="29">
        <f>IFERROR(VLOOKUP(AA6,RULES!$A:$N,14,0)*1,0)</f>
        <v/>
      </c>
      <c r="AN6" s="29">
        <f>IFERROR(VLOOKUP(AA6,RULES!$A:$O,15,0)*1,0)</f>
        <v/>
      </c>
      <c r="AO6" s="29">
        <f>IF(N6&lt;&gt;"",N6,IFERROR(VLOOKUP(AA6,RULES!$A:$P,16,0),CONFIG!$B$8))</f>
        <v/>
      </c>
      <c r="AP6" s="29">
        <f>IF(IFERROR(VLOOKUP(AA6,RULES!$A:$Q,17,0),"")="",CONFIG!$B$13,VLOOKUP(AA6,RULES!$A:$Q,17,0))</f>
        <v/>
      </c>
      <c r="AQ6" s="29">
        <f>IF(IFERROR(VLOOKUP(AA6,RULES!$A:$R,18,0),"")="",CONFIG!$B$14,VLOOKUP(AA6,RULES!$A:$R,18,0))</f>
        <v/>
      </c>
      <c r="AR6" s="29">
        <f>IFERROR(VLOOKUP(AA6,RULES!$A:$S,19,0)*1,0)</f>
        <v/>
      </c>
      <c r="AS6" s="29">
        <f>IFERROR(VLOOKUP(AA6,RULES!$A:$T,20,0)*1,0)</f>
        <v/>
      </c>
      <c r="AT6" s="29">
        <f>IFERROR(VLOOKUP(AA6,RULES!$A:$U,21,0)*1,0)</f>
        <v/>
      </c>
      <c r="AU6" s="29">
        <f>IFERROR(VLOOKUP(AA6,RULES!$A:$V,22,0)*1,0)</f>
        <v/>
      </c>
      <c r="AV6" s="29">
        <f>IFERROR(VLOOKUP(AA6,RULES!$A:$W,23,0)*1,0)</f>
        <v/>
      </c>
      <c r="AW6" s="29">
        <f>IFERROR(IF(VLOOKUP(AA6,RULES!$A:$X,24,0)="",999999,VLOOKUP(AA6,RULES!$A:$X,24,0)*1),999999)</f>
        <v/>
      </c>
      <c r="AX6" s="29">
        <f>IFERROR(VLOOKUP(AA6,RULES!$A:$Y,25,0)*1,0)</f>
        <v/>
      </c>
      <c r="AY6" s="29">
        <f>IFERROR(VLOOKUP(AA6,RULES!$A:$Z,26,0),"NONE")</f>
        <v/>
      </c>
      <c r="AZ6" s="29">
        <f>IFERROR(VLOOKUP(AA6,RULES!$A:$AA,27,0)*1,0)</f>
        <v/>
      </c>
      <c r="BA6" s="29">
        <f>IFERROR(VLOOKUP(AA6,RULES!$A:$AB,28,0)*1,0)</f>
        <v/>
      </c>
    </row>
    <row r="7" ht="17" customHeight="1">
      <c r="A7" s="22" t="inlineStr">
        <is>
          <t>3604</t>
        </is>
      </c>
      <c r="B7" s="48" t="inlineStr">
        <is>
          <t>ACC006</t>
        </is>
      </c>
      <c r="C7" s="48" t="inlineStr">
        <is>
          <t>DEFAULT</t>
        </is>
      </c>
      <c r="D7" s="47" t="n"/>
      <c r="E7" s="22">
        <f>IF(OR(D7="",D7=0),"INACTIVE","ACTIVE")</f>
        <v/>
      </c>
      <c r="F7" s="48" t="inlineStr">
        <is>
          <t>NORMAL</t>
        </is>
      </c>
      <c r="G7" s="25" t="n"/>
      <c r="H7" s="25" t="n"/>
      <c r="I7" s="26">
        <f>IF(OR(E7="INACTIVE",H7=""),0,MAX(0,H7-G7))</f>
        <v/>
      </c>
      <c r="J7" s="23" t="n"/>
      <c r="K7" s="26">
        <f>IF(OR(E7="INACTIVE",H7=""),0,IF(AB7="DISABLED",0,IF(AB7="FLAT",AE7,IF(AB7="MANUAL",IF(J7="",0,J7*AC7),IF(AB7="STEP",IF(I7&lt;=AF7,I7*AG7,IF(I7&lt;=AH7,AF7*AG7+(I7-AF7)*AI7,AF7*AG7+(AH7-AF7)*AI7+(I7-AH7)*AK7)),MAX(I7*AC7,AD7))))))</f>
        <v/>
      </c>
      <c r="L7" s="26">
        <f>IF(OR(E7="INACTIVE",H7=""),0,IF(AL7="NONE",0,IF(AL7="FLAT",AM7,IF(AL7="PER_UNIT",I7*AN7,IF(AL7="MANUAL",IF(M7="",0,M7),0)))))</f>
        <v/>
      </c>
      <c r="M7" s="23" t="n"/>
      <c r="N7" s="48" t="inlineStr">
        <is>
          <t>NORMAL</t>
        </is>
      </c>
      <c r="O7" s="25" t="n"/>
      <c r="P7" s="25" t="n"/>
      <c r="Q7" s="26">
        <f>IF(OR(E7="INACTIVE",P7=""),0,MAX(0,P7-O7))</f>
        <v/>
      </c>
      <c r="R7" s="23" t="n"/>
      <c r="S7" s="26">
        <f>IF(OR(E7="INACTIVE",P7=""),0,IF(AO7="DISABLED",0,IF(AO7="FLAT",AR7,IF(AO7="MANUAL",IF(R7="",0,R7*AP7),IF(AO7="STEP",IF(Q7&lt;=AS7,Q7*AT7,IF(Q7&lt;=AU7,AS7*AT7+(Q7-AS7)*AV7,AS7*AT7+(AU7-AS7)*AV7+(Q7-AU7)*AX7)),MAX(Q7*AP7,AQ7))))))</f>
        <v/>
      </c>
      <c r="T7" s="26">
        <f>IF(OR(E7="INACTIVE",P7=""),0,IF(AY7="NONE",0,IF(AY7="FLAT",AZ7,IF(AY7="PER_UNIT",Q7*BA7,IF(AY7="MANUAL",IF(U7="",0,U7),0)))))</f>
        <v/>
      </c>
      <c r="U7" s="23" t="n"/>
      <c r="V7" s="25" t="n"/>
      <c r="W7" s="25" t="n"/>
      <c r="X7" s="26">
        <f>IF(E7="INACTIVE",0,D7+K7+L7+S7+T7+IF(V7="",0,V7)+IF(W7="",0,W7))</f>
        <v/>
      </c>
      <c r="Y7" s="27" t="n"/>
      <c r="Z7" s="28">
        <f>IF(E7="INACTIVE","_",IF(AND(G7&gt;0,H7&gt;0,H7&lt;G7),"[!]น้ำ reset ","")&amp;IF(AND(O7&gt;0,P7&gt;0,P7&lt;O7),"[!]ไฟ reset ","")&amp;IF(AND(F7="MANUAL",J7=""),"[X]units น้ำ ","")&amp;IF(AND(N7="MANUAL",R7=""),"[X]units ไฟ ","")&amp;IF(D7=0,"[!]ค่าเช่า=0",""))</f>
        <v/>
      </c>
      <c r="AA7" s="29">
        <f>IF(C7&lt;&gt;"",C7,CONFIG!$B$6)</f>
        <v/>
      </c>
      <c r="AB7" s="29">
        <f>IF(F7&lt;&gt;"",F7,IFERROR(VLOOKUP(AA7,RULES!$A:$C,3,0),CONFIG!$B$7))</f>
        <v/>
      </c>
      <c r="AC7" s="29">
        <f>IF(IFERROR(VLOOKUP(AA7,RULES!$A:$D,4,0),"")="",CONFIG!$B$10,VLOOKUP(AA7,RULES!$A:$D,4,0))</f>
        <v/>
      </c>
      <c r="AD7" s="29">
        <f>IF(IFERROR(VLOOKUP(AA7,RULES!$A:$E,5,0),"")="",CONFIG!$B$11,VLOOKUP(AA7,RULES!$A:$E,5,0))</f>
        <v/>
      </c>
      <c r="AE7" s="29">
        <f>IFERROR(VLOOKUP(AA7,RULES!$A:$F,6,0)*1,0)</f>
        <v/>
      </c>
      <c r="AF7" s="29">
        <f>IFERROR(VLOOKUP(AA7,RULES!$A:$G,7,0)*1,0)</f>
        <v/>
      </c>
      <c r="AG7" s="29">
        <f>IFERROR(VLOOKUP(AA7,RULES!$A:$H,8,0)*1,0)</f>
        <v/>
      </c>
      <c r="AH7" s="29">
        <f>IFERROR(VLOOKUP(AA7,RULES!$A:$I,9,0)*1,0)</f>
        <v/>
      </c>
      <c r="AI7" s="29">
        <f>IFERROR(VLOOKUP(AA7,RULES!$A:$J,10,0)*1,0)</f>
        <v/>
      </c>
      <c r="AJ7" s="29">
        <f>IFERROR(IF(VLOOKUP(AA7,RULES!$A:$K,11,0)="",999999,VLOOKUP(AA7,RULES!$A:$K,11,0)*1),999999)</f>
        <v/>
      </c>
      <c r="AK7" s="29">
        <f>IFERROR(VLOOKUP(AA7,RULES!$A:$L,12,0)*1,0)</f>
        <v/>
      </c>
      <c r="AL7" s="29">
        <f>IFERROR(VLOOKUP(AA7,RULES!$A:$M,13,0),"NONE")</f>
        <v/>
      </c>
      <c r="AM7" s="29">
        <f>IFERROR(VLOOKUP(AA7,RULES!$A:$N,14,0)*1,0)</f>
        <v/>
      </c>
      <c r="AN7" s="29">
        <f>IFERROR(VLOOKUP(AA7,RULES!$A:$O,15,0)*1,0)</f>
        <v/>
      </c>
      <c r="AO7" s="29">
        <f>IF(N7&lt;&gt;"",N7,IFERROR(VLOOKUP(AA7,RULES!$A:$P,16,0),CONFIG!$B$8))</f>
        <v/>
      </c>
      <c r="AP7" s="29">
        <f>IF(IFERROR(VLOOKUP(AA7,RULES!$A:$Q,17,0),"")="",CONFIG!$B$13,VLOOKUP(AA7,RULES!$A:$Q,17,0))</f>
        <v/>
      </c>
      <c r="AQ7" s="29">
        <f>IF(IFERROR(VLOOKUP(AA7,RULES!$A:$R,18,0),"")="",CONFIG!$B$14,VLOOKUP(AA7,RULES!$A:$R,18,0))</f>
        <v/>
      </c>
      <c r="AR7" s="29">
        <f>IFERROR(VLOOKUP(AA7,RULES!$A:$S,19,0)*1,0)</f>
        <v/>
      </c>
      <c r="AS7" s="29">
        <f>IFERROR(VLOOKUP(AA7,RULES!$A:$T,20,0)*1,0)</f>
        <v/>
      </c>
      <c r="AT7" s="29">
        <f>IFERROR(VLOOKUP(AA7,RULES!$A:$U,21,0)*1,0)</f>
        <v/>
      </c>
      <c r="AU7" s="29">
        <f>IFERROR(VLOOKUP(AA7,RULES!$A:$V,22,0)*1,0)</f>
        <v/>
      </c>
      <c r="AV7" s="29">
        <f>IFERROR(VLOOKUP(AA7,RULES!$A:$W,23,0)*1,0)</f>
        <v/>
      </c>
      <c r="AW7" s="29">
        <f>IFERROR(IF(VLOOKUP(AA7,RULES!$A:$X,24,0)="",999999,VLOOKUP(AA7,RULES!$A:$X,24,0)*1),999999)</f>
        <v/>
      </c>
      <c r="AX7" s="29">
        <f>IFERROR(VLOOKUP(AA7,RULES!$A:$Y,25,0)*1,0)</f>
        <v/>
      </c>
      <c r="AY7" s="29">
        <f>IFERROR(VLOOKUP(AA7,RULES!$A:$Z,26,0),"NONE")</f>
        <v/>
      </c>
      <c r="AZ7" s="29">
        <f>IFERROR(VLOOKUP(AA7,RULES!$A:$AA,27,0)*1,0)</f>
        <v/>
      </c>
      <c r="BA7" s="29">
        <f>IFERROR(VLOOKUP(AA7,RULES!$A:$AB,28,0)*1,0)</f>
        <v/>
      </c>
    </row>
    <row r="8" ht="17" customHeight="1">
      <c r="A8" s="22" t="inlineStr">
        <is>
          <t>3605</t>
        </is>
      </c>
      <c r="B8" s="48" t="inlineStr">
        <is>
          <t>ACC006</t>
        </is>
      </c>
      <c r="C8" s="48" t="inlineStr">
        <is>
          <t>DEFAULT</t>
        </is>
      </c>
      <c r="D8" s="47" t="n"/>
      <c r="E8" s="22">
        <f>IF(OR(D8="",D8=0),"INACTIVE","ACTIVE")</f>
        <v/>
      </c>
      <c r="F8" s="48" t="inlineStr">
        <is>
          <t>NORMAL</t>
        </is>
      </c>
      <c r="G8" s="25" t="n"/>
      <c r="H8" s="25" t="n"/>
      <c r="I8" s="26">
        <f>IF(OR(E8="INACTIVE",H8=""),0,MAX(0,H8-G8))</f>
        <v/>
      </c>
      <c r="J8" s="23" t="n"/>
      <c r="K8" s="26">
        <f>IF(OR(E8="INACTIVE",H8=""),0,IF(AB8="DISABLED",0,IF(AB8="FLAT",AE8,IF(AB8="MANUAL",IF(J8="",0,J8*AC8),IF(AB8="STEP",IF(I8&lt;=AF8,I8*AG8,IF(I8&lt;=AH8,AF8*AG8+(I8-AF8)*AI8,AF8*AG8+(AH8-AF8)*AI8+(I8-AH8)*AK8)),MAX(I8*AC8,AD8))))))</f>
        <v/>
      </c>
      <c r="L8" s="26">
        <f>IF(OR(E8="INACTIVE",H8=""),0,IF(AL8="NONE",0,IF(AL8="FLAT",AM8,IF(AL8="PER_UNIT",I8*AN8,IF(AL8="MANUAL",IF(M8="",0,M8),0)))))</f>
        <v/>
      </c>
      <c r="M8" s="23" t="n"/>
      <c r="N8" s="48" t="inlineStr">
        <is>
          <t>NORMAL</t>
        </is>
      </c>
      <c r="O8" s="25" t="n"/>
      <c r="P8" s="25" t="n"/>
      <c r="Q8" s="26">
        <f>IF(OR(E8="INACTIVE",P8=""),0,MAX(0,P8-O8))</f>
        <v/>
      </c>
      <c r="R8" s="23" t="n"/>
      <c r="S8" s="26">
        <f>IF(OR(E8="INACTIVE",P8=""),0,IF(AO8="DISABLED",0,IF(AO8="FLAT",AR8,IF(AO8="MANUAL",IF(R8="",0,R8*AP8),IF(AO8="STEP",IF(Q8&lt;=AS8,Q8*AT8,IF(Q8&lt;=AU8,AS8*AT8+(Q8-AS8)*AV8,AS8*AT8+(AU8-AS8)*AV8+(Q8-AU8)*AX8)),MAX(Q8*AP8,AQ8))))))</f>
        <v/>
      </c>
      <c r="T8" s="26">
        <f>IF(OR(E8="INACTIVE",P8=""),0,IF(AY8="NONE",0,IF(AY8="FLAT",AZ8,IF(AY8="PER_UNIT",Q8*BA8,IF(AY8="MANUAL",IF(U8="",0,U8),0)))))</f>
        <v/>
      </c>
      <c r="U8" s="23" t="n"/>
      <c r="V8" s="25" t="n"/>
      <c r="W8" s="25" t="n"/>
      <c r="X8" s="26">
        <f>IF(E8="INACTIVE",0,D8+K8+L8+S8+T8+IF(V8="",0,V8)+IF(W8="",0,W8))</f>
        <v/>
      </c>
      <c r="Y8" s="27" t="n"/>
      <c r="Z8" s="28">
        <f>IF(E8="INACTIVE","_",IF(AND(G8&gt;0,H8&gt;0,H8&lt;G8),"[!]น้ำ reset ","")&amp;IF(AND(O8&gt;0,P8&gt;0,P8&lt;O8),"[!]ไฟ reset ","")&amp;IF(AND(F8="MANUAL",J8=""),"[X]units น้ำ ","")&amp;IF(AND(N8="MANUAL",R8=""),"[X]units ไฟ ","")&amp;IF(D8=0,"[!]ค่าเช่า=0",""))</f>
        <v/>
      </c>
      <c r="AA8" s="29">
        <f>IF(C8&lt;&gt;"",C8,CONFIG!$B$6)</f>
        <v/>
      </c>
      <c r="AB8" s="29">
        <f>IF(F8&lt;&gt;"",F8,IFERROR(VLOOKUP(AA8,RULES!$A:$C,3,0),CONFIG!$B$7))</f>
        <v/>
      </c>
      <c r="AC8" s="29">
        <f>IF(IFERROR(VLOOKUP(AA8,RULES!$A:$D,4,0),"")="",CONFIG!$B$10,VLOOKUP(AA8,RULES!$A:$D,4,0))</f>
        <v/>
      </c>
      <c r="AD8" s="29">
        <f>IF(IFERROR(VLOOKUP(AA8,RULES!$A:$E,5,0),"")="",CONFIG!$B$11,VLOOKUP(AA8,RULES!$A:$E,5,0))</f>
        <v/>
      </c>
      <c r="AE8" s="29">
        <f>IFERROR(VLOOKUP(AA8,RULES!$A:$F,6,0)*1,0)</f>
        <v/>
      </c>
      <c r="AF8" s="29">
        <f>IFERROR(VLOOKUP(AA8,RULES!$A:$G,7,0)*1,0)</f>
        <v/>
      </c>
      <c r="AG8" s="29">
        <f>IFERROR(VLOOKUP(AA8,RULES!$A:$H,8,0)*1,0)</f>
        <v/>
      </c>
      <c r="AH8" s="29">
        <f>IFERROR(VLOOKUP(AA8,RULES!$A:$I,9,0)*1,0)</f>
        <v/>
      </c>
      <c r="AI8" s="29">
        <f>IFERROR(VLOOKUP(AA8,RULES!$A:$J,10,0)*1,0)</f>
        <v/>
      </c>
      <c r="AJ8" s="29">
        <f>IFERROR(IF(VLOOKUP(AA8,RULES!$A:$K,11,0)="",999999,VLOOKUP(AA8,RULES!$A:$K,11,0)*1),999999)</f>
        <v/>
      </c>
      <c r="AK8" s="29">
        <f>IFERROR(VLOOKUP(AA8,RULES!$A:$L,12,0)*1,0)</f>
        <v/>
      </c>
      <c r="AL8" s="29">
        <f>IFERROR(VLOOKUP(AA8,RULES!$A:$M,13,0),"NONE")</f>
        <v/>
      </c>
      <c r="AM8" s="29">
        <f>IFERROR(VLOOKUP(AA8,RULES!$A:$N,14,0)*1,0)</f>
        <v/>
      </c>
      <c r="AN8" s="29">
        <f>IFERROR(VLOOKUP(AA8,RULES!$A:$O,15,0)*1,0)</f>
        <v/>
      </c>
      <c r="AO8" s="29">
        <f>IF(N8&lt;&gt;"",N8,IFERROR(VLOOKUP(AA8,RULES!$A:$P,16,0),CONFIG!$B$8))</f>
        <v/>
      </c>
      <c r="AP8" s="29">
        <f>IF(IFERROR(VLOOKUP(AA8,RULES!$A:$Q,17,0),"")="",CONFIG!$B$13,VLOOKUP(AA8,RULES!$A:$Q,17,0))</f>
        <v/>
      </c>
      <c r="AQ8" s="29">
        <f>IF(IFERROR(VLOOKUP(AA8,RULES!$A:$R,18,0),"")="",CONFIG!$B$14,VLOOKUP(AA8,RULES!$A:$R,18,0))</f>
        <v/>
      </c>
      <c r="AR8" s="29">
        <f>IFERROR(VLOOKUP(AA8,RULES!$A:$S,19,0)*1,0)</f>
        <v/>
      </c>
      <c r="AS8" s="29">
        <f>IFERROR(VLOOKUP(AA8,RULES!$A:$T,20,0)*1,0)</f>
        <v/>
      </c>
      <c r="AT8" s="29">
        <f>IFERROR(VLOOKUP(AA8,RULES!$A:$U,21,0)*1,0)</f>
        <v/>
      </c>
      <c r="AU8" s="29">
        <f>IFERROR(VLOOKUP(AA8,RULES!$A:$V,22,0)*1,0)</f>
        <v/>
      </c>
      <c r="AV8" s="29">
        <f>IFERROR(VLOOKUP(AA8,RULES!$A:$W,23,0)*1,0)</f>
        <v/>
      </c>
      <c r="AW8" s="29">
        <f>IFERROR(IF(VLOOKUP(AA8,RULES!$A:$X,24,0)="",999999,VLOOKUP(AA8,RULES!$A:$X,24,0)*1),999999)</f>
        <v/>
      </c>
      <c r="AX8" s="29">
        <f>IFERROR(VLOOKUP(AA8,RULES!$A:$Y,25,0)*1,0)</f>
        <v/>
      </c>
      <c r="AY8" s="29">
        <f>IFERROR(VLOOKUP(AA8,RULES!$A:$Z,26,0),"NONE")</f>
        <v/>
      </c>
      <c r="AZ8" s="29">
        <f>IFERROR(VLOOKUP(AA8,RULES!$A:$AA,27,0)*1,0)</f>
        <v/>
      </c>
      <c r="BA8" s="29">
        <f>IFERROR(VLOOKUP(AA8,RULES!$A:$AB,28,0)*1,0)</f>
        <v/>
      </c>
    </row>
    <row r="9" ht="17" customHeight="1">
      <c r="A9" s="22" t="inlineStr">
        <is>
          <t>3606</t>
        </is>
      </c>
      <c r="B9" s="48" t="inlineStr">
        <is>
          <t>ACC006</t>
        </is>
      </c>
      <c r="C9" s="48" t="inlineStr">
        <is>
          <t>DEFAULT</t>
        </is>
      </c>
      <c r="D9" s="47" t="n"/>
      <c r="E9" s="22">
        <f>IF(OR(D9="",D9=0),"INACTIVE","ACTIVE")</f>
        <v/>
      </c>
      <c r="F9" s="48" t="inlineStr">
        <is>
          <t>NORMAL</t>
        </is>
      </c>
      <c r="G9" s="25" t="n"/>
      <c r="H9" s="25" t="n"/>
      <c r="I9" s="26">
        <f>IF(OR(E9="INACTIVE",H9=""),0,MAX(0,H9-G9))</f>
        <v/>
      </c>
      <c r="J9" s="23" t="n"/>
      <c r="K9" s="26">
        <f>IF(OR(E9="INACTIVE",H9=""),0,IF(AB9="DISABLED",0,IF(AB9="FLAT",AE9,IF(AB9="MANUAL",IF(J9="",0,J9*AC9),IF(AB9="STEP",IF(I9&lt;=AF9,I9*AG9,IF(I9&lt;=AH9,AF9*AG9+(I9-AF9)*AI9,AF9*AG9+(AH9-AF9)*AI9+(I9-AH9)*AK9)),MAX(I9*AC9,AD9))))))</f>
        <v/>
      </c>
      <c r="L9" s="26">
        <f>IF(OR(E9="INACTIVE",H9=""),0,IF(AL9="NONE",0,IF(AL9="FLAT",AM9,IF(AL9="PER_UNIT",I9*AN9,IF(AL9="MANUAL",IF(M9="",0,M9),0)))))</f>
        <v/>
      </c>
      <c r="M9" s="23" t="n"/>
      <c r="N9" s="48" t="inlineStr">
        <is>
          <t>NORMAL</t>
        </is>
      </c>
      <c r="O9" s="25" t="n"/>
      <c r="P9" s="25" t="n"/>
      <c r="Q9" s="26">
        <f>IF(OR(E9="INACTIVE",P9=""),0,MAX(0,P9-O9))</f>
        <v/>
      </c>
      <c r="R9" s="23" t="n"/>
      <c r="S9" s="26">
        <f>IF(OR(E9="INACTIVE",P9=""),0,IF(AO9="DISABLED",0,IF(AO9="FLAT",AR9,IF(AO9="MANUAL",IF(R9="",0,R9*AP9),IF(AO9="STEP",IF(Q9&lt;=AS9,Q9*AT9,IF(Q9&lt;=AU9,AS9*AT9+(Q9-AS9)*AV9,AS9*AT9+(AU9-AS9)*AV9+(Q9-AU9)*AX9)),MAX(Q9*AP9,AQ9))))))</f>
        <v/>
      </c>
      <c r="T9" s="26">
        <f>IF(OR(E9="INACTIVE",P9=""),0,IF(AY9="NONE",0,IF(AY9="FLAT",AZ9,IF(AY9="PER_UNIT",Q9*BA9,IF(AY9="MANUAL",IF(U9="",0,U9),0)))))</f>
        <v/>
      </c>
      <c r="U9" s="23" t="n"/>
      <c r="V9" s="25" t="n"/>
      <c r="W9" s="25" t="n"/>
      <c r="X9" s="26">
        <f>IF(E9="INACTIVE",0,D9+K9+L9+S9+T9+IF(V9="",0,V9)+IF(W9="",0,W9))</f>
        <v/>
      </c>
      <c r="Y9" s="27" t="n"/>
      <c r="Z9" s="28">
        <f>IF(E9="INACTIVE","_",IF(AND(G9&gt;0,H9&gt;0,H9&lt;G9),"[!]น้ำ reset ","")&amp;IF(AND(O9&gt;0,P9&gt;0,P9&lt;O9),"[!]ไฟ reset ","")&amp;IF(AND(F9="MANUAL",J9=""),"[X]units น้ำ ","")&amp;IF(AND(N9="MANUAL",R9=""),"[X]units ไฟ ","")&amp;IF(D9=0,"[!]ค่าเช่า=0",""))</f>
        <v/>
      </c>
      <c r="AA9" s="29">
        <f>IF(C9&lt;&gt;"",C9,CONFIG!$B$6)</f>
        <v/>
      </c>
      <c r="AB9" s="29">
        <f>IF(F9&lt;&gt;"",F9,IFERROR(VLOOKUP(AA9,RULES!$A:$C,3,0),CONFIG!$B$7))</f>
        <v/>
      </c>
      <c r="AC9" s="29">
        <f>IF(IFERROR(VLOOKUP(AA9,RULES!$A:$D,4,0),"")="",CONFIG!$B$10,VLOOKUP(AA9,RULES!$A:$D,4,0))</f>
        <v/>
      </c>
      <c r="AD9" s="29">
        <f>IF(IFERROR(VLOOKUP(AA9,RULES!$A:$E,5,0),"")="",CONFIG!$B$11,VLOOKUP(AA9,RULES!$A:$E,5,0))</f>
        <v/>
      </c>
      <c r="AE9" s="29">
        <f>IFERROR(VLOOKUP(AA9,RULES!$A:$F,6,0)*1,0)</f>
        <v/>
      </c>
      <c r="AF9" s="29">
        <f>IFERROR(VLOOKUP(AA9,RULES!$A:$G,7,0)*1,0)</f>
        <v/>
      </c>
      <c r="AG9" s="29">
        <f>IFERROR(VLOOKUP(AA9,RULES!$A:$H,8,0)*1,0)</f>
        <v/>
      </c>
      <c r="AH9" s="29">
        <f>IFERROR(VLOOKUP(AA9,RULES!$A:$I,9,0)*1,0)</f>
        <v/>
      </c>
      <c r="AI9" s="29">
        <f>IFERROR(VLOOKUP(AA9,RULES!$A:$J,10,0)*1,0)</f>
        <v/>
      </c>
      <c r="AJ9" s="29">
        <f>IFERROR(IF(VLOOKUP(AA9,RULES!$A:$K,11,0)="",999999,VLOOKUP(AA9,RULES!$A:$K,11,0)*1),999999)</f>
        <v/>
      </c>
      <c r="AK9" s="29">
        <f>IFERROR(VLOOKUP(AA9,RULES!$A:$L,12,0)*1,0)</f>
        <v/>
      </c>
      <c r="AL9" s="29">
        <f>IFERROR(VLOOKUP(AA9,RULES!$A:$M,13,0),"NONE")</f>
        <v/>
      </c>
      <c r="AM9" s="29">
        <f>IFERROR(VLOOKUP(AA9,RULES!$A:$N,14,0)*1,0)</f>
        <v/>
      </c>
      <c r="AN9" s="29">
        <f>IFERROR(VLOOKUP(AA9,RULES!$A:$O,15,0)*1,0)</f>
        <v/>
      </c>
      <c r="AO9" s="29">
        <f>IF(N9&lt;&gt;"",N9,IFERROR(VLOOKUP(AA9,RULES!$A:$P,16,0),CONFIG!$B$8))</f>
        <v/>
      </c>
      <c r="AP9" s="29">
        <f>IF(IFERROR(VLOOKUP(AA9,RULES!$A:$Q,17,0),"")="",CONFIG!$B$13,VLOOKUP(AA9,RULES!$A:$Q,17,0))</f>
        <v/>
      </c>
      <c r="AQ9" s="29">
        <f>IF(IFERROR(VLOOKUP(AA9,RULES!$A:$R,18,0),"")="",CONFIG!$B$14,VLOOKUP(AA9,RULES!$A:$R,18,0))</f>
        <v/>
      </c>
      <c r="AR9" s="29">
        <f>IFERROR(VLOOKUP(AA9,RULES!$A:$S,19,0)*1,0)</f>
        <v/>
      </c>
      <c r="AS9" s="29">
        <f>IFERROR(VLOOKUP(AA9,RULES!$A:$T,20,0)*1,0)</f>
        <v/>
      </c>
      <c r="AT9" s="29">
        <f>IFERROR(VLOOKUP(AA9,RULES!$A:$U,21,0)*1,0)</f>
        <v/>
      </c>
      <c r="AU9" s="29">
        <f>IFERROR(VLOOKUP(AA9,RULES!$A:$V,22,0)*1,0)</f>
        <v/>
      </c>
      <c r="AV9" s="29">
        <f>IFERROR(VLOOKUP(AA9,RULES!$A:$W,23,0)*1,0)</f>
        <v/>
      </c>
      <c r="AW9" s="29">
        <f>IFERROR(IF(VLOOKUP(AA9,RULES!$A:$X,24,0)="",999999,VLOOKUP(AA9,RULES!$A:$X,24,0)*1),999999)</f>
        <v/>
      </c>
      <c r="AX9" s="29">
        <f>IFERROR(VLOOKUP(AA9,RULES!$A:$Y,25,0)*1,0)</f>
        <v/>
      </c>
      <c r="AY9" s="29">
        <f>IFERROR(VLOOKUP(AA9,RULES!$A:$Z,26,0),"NONE")</f>
        <v/>
      </c>
      <c r="AZ9" s="29">
        <f>IFERROR(VLOOKUP(AA9,RULES!$A:$AA,27,0)*1,0)</f>
        <v/>
      </c>
      <c r="BA9" s="29">
        <f>IFERROR(VLOOKUP(AA9,RULES!$A:$AB,28,0)*1,0)</f>
        <v/>
      </c>
    </row>
    <row r="10" ht="17" customHeight="1">
      <c r="A10" s="22" t="inlineStr">
        <is>
          <t>3607</t>
        </is>
      </c>
      <c r="B10" s="48" t="inlineStr">
        <is>
          <t>ACC006</t>
        </is>
      </c>
      <c r="C10" s="48" t="inlineStr">
        <is>
          <t>DEFAULT</t>
        </is>
      </c>
      <c r="D10" s="47" t="n"/>
      <c r="E10" s="22">
        <f>IF(OR(D10="",D10=0),"INACTIVE","ACTIVE")</f>
        <v/>
      </c>
      <c r="F10" s="48" t="inlineStr">
        <is>
          <t>NORMAL</t>
        </is>
      </c>
      <c r="G10" s="25" t="n"/>
      <c r="H10" s="25" t="n"/>
      <c r="I10" s="26">
        <f>IF(OR(E10="INACTIVE",H10=""),0,MAX(0,H10-G10))</f>
        <v/>
      </c>
      <c r="J10" s="23" t="n"/>
      <c r="K10" s="26">
        <f>IF(OR(E10="INACTIVE",H10=""),0,IF(AB10="DISABLED",0,IF(AB10="FLAT",AE10,IF(AB10="MANUAL",IF(J10="",0,J10*AC10),IF(AB10="STEP",IF(I10&lt;=AF10,I10*AG10,IF(I10&lt;=AH10,AF10*AG10+(I10-AF10)*AI10,AF10*AG10+(AH10-AF10)*AI10+(I10-AH10)*AK10)),MAX(I10*AC10,AD10))))))</f>
        <v/>
      </c>
      <c r="L10" s="26">
        <f>IF(OR(E10="INACTIVE",H10=""),0,IF(AL10="NONE",0,IF(AL10="FLAT",AM10,IF(AL10="PER_UNIT",I10*AN10,IF(AL10="MANUAL",IF(M10="",0,M10),0)))))</f>
        <v/>
      </c>
      <c r="M10" s="23" t="n"/>
      <c r="N10" s="48" t="inlineStr">
        <is>
          <t>NORMAL</t>
        </is>
      </c>
      <c r="O10" s="25" t="n"/>
      <c r="P10" s="25" t="n"/>
      <c r="Q10" s="26">
        <f>IF(OR(E10="INACTIVE",P10=""),0,MAX(0,P10-O10))</f>
        <v/>
      </c>
      <c r="R10" s="23" t="n"/>
      <c r="S10" s="26">
        <f>IF(OR(E10="INACTIVE",P10=""),0,IF(AO10="DISABLED",0,IF(AO10="FLAT",AR10,IF(AO10="MANUAL",IF(R10="",0,R10*AP10),IF(AO10="STEP",IF(Q10&lt;=AS10,Q10*AT10,IF(Q10&lt;=AU10,AS10*AT10+(Q10-AS10)*AV10,AS10*AT10+(AU10-AS10)*AV10+(Q10-AU10)*AX10)),MAX(Q10*AP10,AQ10))))))</f>
        <v/>
      </c>
      <c r="T10" s="26">
        <f>IF(OR(E10="INACTIVE",P10=""),0,IF(AY10="NONE",0,IF(AY10="FLAT",AZ10,IF(AY10="PER_UNIT",Q10*BA10,IF(AY10="MANUAL",IF(U10="",0,U10),0)))))</f>
        <v/>
      </c>
      <c r="U10" s="23" t="n"/>
      <c r="V10" s="25" t="n"/>
      <c r="W10" s="25" t="n"/>
      <c r="X10" s="26">
        <f>IF(E10="INACTIVE",0,D10+K10+L10+S10+T10+IF(V10="",0,V10)+IF(W10="",0,W10))</f>
        <v/>
      </c>
      <c r="Y10" s="27" t="n"/>
      <c r="Z10" s="28">
        <f>IF(E10="INACTIVE","_",IF(AND(G10&gt;0,H10&gt;0,H10&lt;G10),"[!]น้ำ reset ","")&amp;IF(AND(O10&gt;0,P10&gt;0,P10&lt;O10),"[!]ไฟ reset ","")&amp;IF(AND(F10="MANUAL",J10=""),"[X]units น้ำ ","")&amp;IF(AND(N10="MANUAL",R10=""),"[X]units ไฟ ","")&amp;IF(D10=0,"[!]ค่าเช่า=0",""))</f>
        <v/>
      </c>
      <c r="AA10" s="29">
        <f>IF(C10&lt;&gt;"",C10,CONFIG!$B$6)</f>
        <v/>
      </c>
      <c r="AB10" s="29">
        <f>IF(F10&lt;&gt;"",F10,IFERROR(VLOOKUP(AA10,RULES!$A:$C,3,0),CONFIG!$B$7))</f>
        <v/>
      </c>
      <c r="AC10" s="29">
        <f>IF(IFERROR(VLOOKUP(AA10,RULES!$A:$D,4,0),"")="",CONFIG!$B$10,VLOOKUP(AA10,RULES!$A:$D,4,0))</f>
        <v/>
      </c>
      <c r="AD10" s="29">
        <f>IF(IFERROR(VLOOKUP(AA10,RULES!$A:$E,5,0),"")="",CONFIG!$B$11,VLOOKUP(AA10,RULES!$A:$E,5,0))</f>
        <v/>
      </c>
      <c r="AE10" s="29">
        <f>IFERROR(VLOOKUP(AA10,RULES!$A:$F,6,0)*1,0)</f>
        <v/>
      </c>
      <c r="AF10" s="29">
        <f>IFERROR(VLOOKUP(AA10,RULES!$A:$G,7,0)*1,0)</f>
        <v/>
      </c>
      <c r="AG10" s="29">
        <f>IFERROR(VLOOKUP(AA10,RULES!$A:$H,8,0)*1,0)</f>
        <v/>
      </c>
      <c r="AH10" s="29">
        <f>IFERROR(VLOOKUP(AA10,RULES!$A:$I,9,0)*1,0)</f>
        <v/>
      </c>
      <c r="AI10" s="29">
        <f>IFERROR(VLOOKUP(AA10,RULES!$A:$J,10,0)*1,0)</f>
        <v/>
      </c>
      <c r="AJ10" s="29">
        <f>IFERROR(IF(VLOOKUP(AA10,RULES!$A:$K,11,0)="",999999,VLOOKUP(AA10,RULES!$A:$K,11,0)*1),999999)</f>
        <v/>
      </c>
      <c r="AK10" s="29">
        <f>IFERROR(VLOOKUP(AA10,RULES!$A:$L,12,0)*1,0)</f>
        <v/>
      </c>
      <c r="AL10" s="29">
        <f>IFERROR(VLOOKUP(AA10,RULES!$A:$M,13,0),"NONE")</f>
        <v/>
      </c>
      <c r="AM10" s="29">
        <f>IFERROR(VLOOKUP(AA10,RULES!$A:$N,14,0)*1,0)</f>
        <v/>
      </c>
      <c r="AN10" s="29">
        <f>IFERROR(VLOOKUP(AA10,RULES!$A:$O,15,0)*1,0)</f>
        <v/>
      </c>
      <c r="AO10" s="29">
        <f>IF(N10&lt;&gt;"",N10,IFERROR(VLOOKUP(AA10,RULES!$A:$P,16,0),CONFIG!$B$8))</f>
        <v/>
      </c>
      <c r="AP10" s="29">
        <f>IF(IFERROR(VLOOKUP(AA10,RULES!$A:$Q,17,0),"")="",CONFIG!$B$13,VLOOKUP(AA10,RULES!$A:$Q,17,0))</f>
        <v/>
      </c>
      <c r="AQ10" s="29">
        <f>IF(IFERROR(VLOOKUP(AA10,RULES!$A:$R,18,0),"")="",CONFIG!$B$14,VLOOKUP(AA10,RULES!$A:$R,18,0))</f>
        <v/>
      </c>
      <c r="AR10" s="29">
        <f>IFERROR(VLOOKUP(AA10,RULES!$A:$S,19,0)*1,0)</f>
        <v/>
      </c>
      <c r="AS10" s="29">
        <f>IFERROR(VLOOKUP(AA10,RULES!$A:$T,20,0)*1,0)</f>
        <v/>
      </c>
      <c r="AT10" s="29">
        <f>IFERROR(VLOOKUP(AA10,RULES!$A:$U,21,0)*1,0)</f>
        <v/>
      </c>
      <c r="AU10" s="29">
        <f>IFERROR(VLOOKUP(AA10,RULES!$A:$V,22,0)*1,0)</f>
        <v/>
      </c>
      <c r="AV10" s="29">
        <f>IFERROR(VLOOKUP(AA10,RULES!$A:$W,23,0)*1,0)</f>
        <v/>
      </c>
      <c r="AW10" s="29">
        <f>IFERROR(IF(VLOOKUP(AA10,RULES!$A:$X,24,0)="",999999,VLOOKUP(AA10,RULES!$A:$X,24,0)*1),999999)</f>
        <v/>
      </c>
      <c r="AX10" s="29">
        <f>IFERROR(VLOOKUP(AA10,RULES!$A:$Y,25,0)*1,0)</f>
        <v/>
      </c>
      <c r="AY10" s="29">
        <f>IFERROR(VLOOKUP(AA10,RULES!$A:$Z,26,0),"NONE")</f>
        <v/>
      </c>
      <c r="AZ10" s="29">
        <f>IFERROR(VLOOKUP(AA10,RULES!$A:$AA,27,0)*1,0)</f>
        <v/>
      </c>
      <c r="BA10" s="29">
        <f>IFERROR(VLOOKUP(AA10,RULES!$A:$AB,28,0)*1,0)</f>
        <v/>
      </c>
    </row>
    <row r="11" ht="17" customHeight="1">
      <c r="A11" s="22" t="inlineStr">
        <is>
          <t>3608</t>
        </is>
      </c>
      <c r="B11" s="48" t="inlineStr">
        <is>
          <t>ACC006</t>
        </is>
      </c>
      <c r="C11" s="48" t="inlineStr">
        <is>
          <t>DEFAULT</t>
        </is>
      </c>
      <c r="D11" s="47" t="n"/>
      <c r="E11" s="22">
        <f>IF(OR(D11="",D11=0),"INACTIVE","ACTIVE")</f>
        <v/>
      </c>
      <c r="F11" s="48" t="inlineStr">
        <is>
          <t>NORMAL</t>
        </is>
      </c>
      <c r="G11" s="25" t="n"/>
      <c r="H11" s="25" t="n"/>
      <c r="I11" s="26">
        <f>IF(OR(E11="INACTIVE",H11=""),0,MAX(0,H11-G11))</f>
        <v/>
      </c>
      <c r="J11" s="23" t="n"/>
      <c r="K11" s="26">
        <f>IF(OR(E11="INACTIVE",H11=""),0,IF(AB11="DISABLED",0,IF(AB11="FLAT",AE11,IF(AB11="MANUAL",IF(J11="",0,J11*AC11),IF(AB11="STEP",IF(I11&lt;=AF11,I11*AG11,IF(I11&lt;=AH11,AF11*AG11+(I11-AF11)*AI11,AF11*AG11+(AH11-AF11)*AI11+(I11-AH11)*AK11)),MAX(I11*AC11,AD11))))))</f>
        <v/>
      </c>
      <c r="L11" s="26">
        <f>IF(OR(E11="INACTIVE",H11=""),0,IF(AL11="NONE",0,IF(AL11="FLAT",AM11,IF(AL11="PER_UNIT",I11*AN11,IF(AL11="MANUAL",IF(M11="",0,M11),0)))))</f>
        <v/>
      </c>
      <c r="M11" s="23" t="n"/>
      <c r="N11" s="48" t="inlineStr">
        <is>
          <t>NORMAL</t>
        </is>
      </c>
      <c r="O11" s="25" t="n"/>
      <c r="P11" s="25" t="n"/>
      <c r="Q11" s="26">
        <f>IF(OR(E11="INACTIVE",P11=""),0,MAX(0,P11-O11))</f>
        <v/>
      </c>
      <c r="R11" s="23" t="n"/>
      <c r="S11" s="26">
        <f>IF(OR(E11="INACTIVE",P11=""),0,IF(AO11="DISABLED",0,IF(AO11="FLAT",AR11,IF(AO11="MANUAL",IF(R11="",0,R11*AP11),IF(AO11="STEP",IF(Q11&lt;=AS11,Q11*AT11,IF(Q11&lt;=AU11,AS11*AT11+(Q11-AS11)*AV11,AS11*AT11+(AU11-AS11)*AV11+(Q11-AU11)*AX11)),MAX(Q11*AP11,AQ11))))))</f>
        <v/>
      </c>
      <c r="T11" s="26">
        <f>IF(OR(E11="INACTIVE",P11=""),0,IF(AY11="NONE",0,IF(AY11="FLAT",AZ11,IF(AY11="PER_UNIT",Q11*BA11,IF(AY11="MANUAL",IF(U11="",0,U11),0)))))</f>
        <v/>
      </c>
      <c r="U11" s="23" t="n"/>
      <c r="V11" s="25" t="n"/>
      <c r="W11" s="25" t="n"/>
      <c r="X11" s="26">
        <f>IF(E11="INACTIVE",0,D11+K11+L11+S11+T11+IF(V11="",0,V11)+IF(W11="",0,W11))</f>
        <v/>
      </c>
      <c r="Y11" s="27" t="n"/>
      <c r="Z11" s="28">
        <f>IF(E11="INACTIVE","_",IF(AND(G11&gt;0,H11&gt;0,H11&lt;G11),"[!]น้ำ reset ","")&amp;IF(AND(O11&gt;0,P11&gt;0,P11&lt;O11),"[!]ไฟ reset ","")&amp;IF(AND(F11="MANUAL",J11=""),"[X]units น้ำ ","")&amp;IF(AND(N11="MANUAL",R11=""),"[X]units ไฟ ","")&amp;IF(D11=0,"[!]ค่าเช่า=0",""))</f>
        <v/>
      </c>
      <c r="AA11" s="29">
        <f>IF(C11&lt;&gt;"",C11,CONFIG!$B$6)</f>
        <v/>
      </c>
      <c r="AB11" s="29">
        <f>IF(F11&lt;&gt;"",F11,IFERROR(VLOOKUP(AA11,RULES!$A:$C,3,0),CONFIG!$B$7))</f>
        <v/>
      </c>
      <c r="AC11" s="29">
        <f>IF(IFERROR(VLOOKUP(AA11,RULES!$A:$D,4,0),"")="",CONFIG!$B$10,VLOOKUP(AA11,RULES!$A:$D,4,0))</f>
        <v/>
      </c>
      <c r="AD11" s="29">
        <f>IF(IFERROR(VLOOKUP(AA11,RULES!$A:$E,5,0),"")="",CONFIG!$B$11,VLOOKUP(AA11,RULES!$A:$E,5,0))</f>
        <v/>
      </c>
      <c r="AE11" s="29">
        <f>IFERROR(VLOOKUP(AA11,RULES!$A:$F,6,0)*1,0)</f>
        <v/>
      </c>
      <c r="AF11" s="29">
        <f>IFERROR(VLOOKUP(AA11,RULES!$A:$G,7,0)*1,0)</f>
        <v/>
      </c>
      <c r="AG11" s="29">
        <f>IFERROR(VLOOKUP(AA11,RULES!$A:$H,8,0)*1,0)</f>
        <v/>
      </c>
      <c r="AH11" s="29">
        <f>IFERROR(VLOOKUP(AA11,RULES!$A:$I,9,0)*1,0)</f>
        <v/>
      </c>
      <c r="AI11" s="29">
        <f>IFERROR(VLOOKUP(AA11,RULES!$A:$J,10,0)*1,0)</f>
        <v/>
      </c>
      <c r="AJ11" s="29">
        <f>IFERROR(IF(VLOOKUP(AA11,RULES!$A:$K,11,0)="",999999,VLOOKUP(AA11,RULES!$A:$K,11,0)*1),999999)</f>
        <v/>
      </c>
      <c r="AK11" s="29">
        <f>IFERROR(VLOOKUP(AA11,RULES!$A:$L,12,0)*1,0)</f>
        <v/>
      </c>
      <c r="AL11" s="29">
        <f>IFERROR(VLOOKUP(AA11,RULES!$A:$M,13,0),"NONE")</f>
        <v/>
      </c>
      <c r="AM11" s="29">
        <f>IFERROR(VLOOKUP(AA11,RULES!$A:$N,14,0)*1,0)</f>
        <v/>
      </c>
      <c r="AN11" s="29">
        <f>IFERROR(VLOOKUP(AA11,RULES!$A:$O,15,0)*1,0)</f>
        <v/>
      </c>
      <c r="AO11" s="29">
        <f>IF(N11&lt;&gt;"",N11,IFERROR(VLOOKUP(AA11,RULES!$A:$P,16,0),CONFIG!$B$8))</f>
        <v/>
      </c>
      <c r="AP11" s="29">
        <f>IF(IFERROR(VLOOKUP(AA11,RULES!$A:$Q,17,0),"")="",CONFIG!$B$13,VLOOKUP(AA11,RULES!$A:$Q,17,0))</f>
        <v/>
      </c>
      <c r="AQ11" s="29">
        <f>IF(IFERROR(VLOOKUP(AA11,RULES!$A:$R,18,0),"")="",CONFIG!$B$14,VLOOKUP(AA11,RULES!$A:$R,18,0))</f>
        <v/>
      </c>
      <c r="AR11" s="29">
        <f>IFERROR(VLOOKUP(AA11,RULES!$A:$S,19,0)*1,0)</f>
        <v/>
      </c>
      <c r="AS11" s="29">
        <f>IFERROR(VLOOKUP(AA11,RULES!$A:$T,20,0)*1,0)</f>
        <v/>
      </c>
      <c r="AT11" s="29">
        <f>IFERROR(VLOOKUP(AA11,RULES!$A:$U,21,0)*1,0)</f>
        <v/>
      </c>
      <c r="AU11" s="29">
        <f>IFERROR(VLOOKUP(AA11,RULES!$A:$V,22,0)*1,0)</f>
        <v/>
      </c>
      <c r="AV11" s="29">
        <f>IFERROR(VLOOKUP(AA11,RULES!$A:$W,23,0)*1,0)</f>
        <v/>
      </c>
      <c r="AW11" s="29">
        <f>IFERROR(IF(VLOOKUP(AA11,RULES!$A:$X,24,0)="",999999,VLOOKUP(AA11,RULES!$A:$X,24,0)*1),999999)</f>
        <v/>
      </c>
      <c r="AX11" s="29">
        <f>IFERROR(VLOOKUP(AA11,RULES!$A:$Y,25,0)*1,0)</f>
        <v/>
      </c>
      <c r="AY11" s="29">
        <f>IFERROR(VLOOKUP(AA11,RULES!$A:$Z,26,0),"NONE")</f>
        <v/>
      </c>
      <c r="AZ11" s="29">
        <f>IFERROR(VLOOKUP(AA11,RULES!$A:$AA,27,0)*1,0)</f>
        <v/>
      </c>
      <c r="BA11" s="29">
        <f>IFERROR(VLOOKUP(AA11,RULES!$A:$AB,28,0)*1,0)</f>
        <v/>
      </c>
    </row>
    <row r="12" ht="17" customHeight="1">
      <c r="A12" s="22" t="inlineStr">
        <is>
          <t>3609</t>
        </is>
      </c>
      <c r="B12" s="48" t="inlineStr">
        <is>
          <t>ACC006</t>
        </is>
      </c>
      <c r="C12" s="48" t="inlineStr">
        <is>
          <t>DEFAULT</t>
        </is>
      </c>
      <c r="D12" s="47" t="n"/>
      <c r="E12" s="22">
        <f>IF(OR(D12="",D12=0),"INACTIVE","ACTIVE")</f>
        <v/>
      </c>
      <c r="F12" s="48" t="inlineStr">
        <is>
          <t>NORMAL</t>
        </is>
      </c>
      <c r="G12" s="25" t="n"/>
      <c r="H12" s="25" t="n"/>
      <c r="I12" s="26">
        <f>IF(OR(E12="INACTIVE",H12=""),0,MAX(0,H12-G12))</f>
        <v/>
      </c>
      <c r="J12" s="23" t="n"/>
      <c r="K12" s="26">
        <f>IF(OR(E12="INACTIVE",H12=""),0,IF(AB12="DISABLED",0,IF(AB12="FLAT",AE12,IF(AB12="MANUAL",IF(J12="",0,J12*AC12),IF(AB12="STEP",IF(I12&lt;=AF12,I12*AG12,IF(I12&lt;=AH12,AF12*AG12+(I12-AF12)*AI12,AF12*AG12+(AH12-AF12)*AI12+(I12-AH12)*AK12)),MAX(I12*AC12,AD12))))))</f>
        <v/>
      </c>
      <c r="L12" s="26">
        <f>IF(OR(E12="INACTIVE",H12=""),0,IF(AL12="NONE",0,IF(AL12="FLAT",AM12,IF(AL12="PER_UNIT",I12*AN12,IF(AL12="MANUAL",IF(M12="",0,M12),0)))))</f>
        <v/>
      </c>
      <c r="M12" s="23" t="n"/>
      <c r="N12" s="48" t="inlineStr">
        <is>
          <t>NORMAL</t>
        </is>
      </c>
      <c r="O12" s="25" t="n"/>
      <c r="P12" s="25" t="n"/>
      <c r="Q12" s="26">
        <f>IF(OR(E12="INACTIVE",P12=""),0,MAX(0,P12-O12))</f>
        <v/>
      </c>
      <c r="R12" s="23" t="n"/>
      <c r="S12" s="26">
        <f>IF(OR(E12="INACTIVE",P12=""),0,IF(AO12="DISABLED",0,IF(AO12="FLAT",AR12,IF(AO12="MANUAL",IF(R12="",0,R12*AP12),IF(AO12="STEP",IF(Q12&lt;=AS12,Q12*AT12,IF(Q12&lt;=AU12,AS12*AT12+(Q12-AS12)*AV12,AS12*AT12+(AU12-AS12)*AV12+(Q12-AU12)*AX12)),MAX(Q12*AP12,AQ12))))))</f>
        <v/>
      </c>
      <c r="T12" s="26">
        <f>IF(OR(E12="INACTIVE",P12=""),0,IF(AY12="NONE",0,IF(AY12="FLAT",AZ12,IF(AY12="PER_UNIT",Q12*BA12,IF(AY12="MANUAL",IF(U12="",0,U12),0)))))</f>
        <v/>
      </c>
      <c r="U12" s="23" t="n"/>
      <c r="V12" s="25" t="n"/>
      <c r="W12" s="25" t="n"/>
      <c r="X12" s="26">
        <f>IF(E12="INACTIVE",0,D12+K12+L12+S12+T12+IF(V12="",0,V12)+IF(W12="",0,W12))</f>
        <v/>
      </c>
      <c r="Y12" s="27" t="n"/>
      <c r="Z12" s="28">
        <f>IF(E12="INACTIVE","_",IF(AND(G12&gt;0,H12&gt;0,H12&lt;G12),"[!]น้ำ reset ","")&amp;IF(AND(O12&gt;0,P12&gt;0,P12&lt;O12),"[!]ไฟ reset ","")&amp;IF(AND(F12="MANUAL",J12=""),"[X]units น้ำ ","")&amp;IF(AND(N12="MANUAL",R12=""),"[X]units ไฟ ","")&amp;IF(D12=0,"[!]ค่าเช่า=0",""))</f>
        <v/>
      </c>
      <c r="AA12" s="29">
        <f>IF(C12&lt;&gt;"",C12,CONFIG!$B$6)</f>
        <v/>
      </c>
      <c r="AB12" s="29">
        <f>IF(F12&lt;&gt;"",F12,IFERROR(VLOOKUP(AA12,RULES!$A:$C,3,0),CONFIG!$B$7))</f>
        <v/>
      </c>
      <c r="AC12" s="29">
        <f>IF(IFERROR(VLOOKUP(AA12,RULES!$A:$D,4,0),"")="",CONFIG!$B$10,VLOOKUP(AA12,RULES!$A:$D,4,0))</f>
        <v/>
      </c>
      <c r="AD12" s="29">
        <f>IF(IFERROR(VLOOKUP(AA12,RULES!$A:$E,5,0),"")="",CONFIG!$B$11,VLOOKUP(AA12,RULES!$A:$E,5,0))</f>
        <v/>
      </c>
      <c r="AE12" s="29">
        <f>IFERROR(VLOOKUP(AA12,RULES!$A:$F,6,0)*1,0)</f>
        <v/>
      </c>
      <c r="AF12" s="29">
        <f>IFERROR(VLOOKUP(AA12,RULES!$A:$G,7,0)*1,0)</f>
        <v/>
      </c>
      <c r="AG12" s="29">
        <f>IFERROR(VLOOKUP(AA12,RULES!$A:$H,8,0)*1,0)</f>
        <v/>
      </c>
      <c r="AH12" s="29">
        <f>IFERROR(VLOOKUP(AA12,RULES!$A:$I,9,0)*1,0)</f>
        <v/>
      </c>
      <c r="AI12" s="29">
        <f>IFERROR(VLOOKUP(AA12,RULES!$A:$J,10,0)*1,0)</f>
        <v/>
      </c>
      <c r="AJ12" s="29">
        <f>IFERROR(IF(VLOOKUP(AA12,RULES!$A:$K,11,0)="",999999,VLOOKUP(AA12,RULES!$A:$K,11,0)*1),999999)</f>
        <v/>
      </c>
      <c r="AK12" s="29">
        <f>IFERROR(VLOOKUP(AA12,RULES!$A:$L,12,0)*1,0)</f>
        <v/>
      </c>
      <c r="AL12" s="29">
        <f>IFERROR(VLOOKUP(AA12,RULES!$A:$M,13,0),"NONE")</f>
        <v/>
      </c>
      <c r="AM12" s="29">
        <f>IFERROR(VLOOKUP(AA12,RULES!$A:$N,14,0)*1,0)</f>
        <v/>
      </c>
      <c r="AN12" s="29">
        <f>IFERROR(VLOOKUP(AA12,RULES!$A:$O,15,0)*1,0)</f>
        <v/>
      </c>
      <c r="AO12" s="29">
        <f>IF(N12&lt;&gt;"",N12,IFERROR(VLOOKUP(AA12,RULES!$A:$P,16,0),CONFIG!$B$8))</f>
        <v/>
      </c>
      <c r="AP12" s="29">
        <f>IF(IFERROR(VLOOKUP(AA12,RULES!$A:$Q,17,0),"")="",CONFIG!$B$13,VLOOKUP(AA12,RULES!$A:$Q,17,0))</f>
        <v/>
      </c>
      <c r="AQ12" s="29">
        <f>IF(IFERROR(VLOOKUP(AA12,RULES!$A:$R,18,0),"")="",CONFIG!$B$14,VLOOKUP(AA12,RULES!$A:$R,18,0))</f>
        <v/>
      </c>
      <c r="AR12" s="29">
        <f>IFERROR(VLOOKUP(AA12,RULES!$A:$S,19,0)*1,0)</f>
        <v/>
      </c>
      <c r="AS12" s="29">
        <f>IFERROR(VLOOKUP(AA12,RULES!$A:$T,20,0)*1,0)</f>
        <v/>
      </c>
      <c r="AT12" s="29">
        <f>IFERROR(VLOOKUP(AA12,RULES!$A:$U,21,0)*1,0)</f>
        <v/>
      </c>
      <c r="AU12" s="29">
        <f>IFERROR(VLOOKUP(AA12,RULES!$A:$V,22,0)*1,0)</f>
        <v/>
      </c>
      <c r="AV12" s="29">
        <f>IFERROR(VLOOKUP(AA12,RULES!$A:$W,23,0)*1,0)</f>
        <v/>
      </c>
      <c r="AW12" s="29">
        <f>IFERROR(IF(VLOOKUP(AA12,RULES!$A:$X,24,0)="",999999,VLOOKUP(AA12,RULES!$A:$X,24,0)*1),999999)</f>
        <v/>
      </c>
      <c r="AX12" s="29">
        <f>IFERROR(VLOOKUP(AA12,RULES!$A:$Y,25,0)*1,0)</f>
        <v/>
      </c>
      <c r="AY12" s="29">
        <f>IFERROR(VLOOKUP(AA12,RULES!$A:$Z,26,0),"NONE")</f>
        <v/>
      </c>
      <c r="AZ12" s="29">
        <f>IFERROR(VLOOKUP(AA12,RULES!$A:$AA,27,0)*1,0)</f>
        <v/>
      </c>
      <c r="BA12" s="29">
        <f>IFERROR(VLOOKUP(AA12,RULES!$A:$AB,28,0)*1,0)</f>
        <v/>
      </c>
    </row>
    <row r="13" ht="17" customHeight="1">
      <c r="A13" s="22" t="inlineStr">
        <is>
          <t>3610</t>
        </is>
      </c>
      <c r="B13" s="48" t="inlineStr">
        <is>
          <t>ACC006</t>
        </is>
      </c>
      <c r="C13" s="48" t="inlineStr">
        <is>
          <t>DEFAULT</t>
        </is>
      </c>
      <c r="D13" s="47" t="n"/>
      <c r="E13" s="22">
        <f>IF(OR(D13="",D13=0),"INACTIVE","ACTIVE")</f>
        <v/>
      </c>
      <c r="F13" s="48" t="inlineStr">
        <is>
          <t>NORMAL</t>
        </is>
      </c>
      <c r="G13" s="25" t="n"/>
      <c r="H13" s="25" t="n"/>
      <c r="I13" s="26">
        <f>IF(OR(E13="INACTIVE",H13=""),0,MAX(0,H13-G13))</f>
        <v/>
      </c>
      <c r="J13" s="23" t="n"/>
      <c r="K13" s="26">
        <f>IF(OR(E13="INACTIVE",H13=""),0,IF(AB13="DISABLED",0,IF(AB13="FLAT",AE13,IF(AB13="MANUAL",IF(J13="",0,J13*AC13),IF(AB13="STEP",IF(I13&lt;=AF13,I13*AG13,IF(I13&lt;=AH13,AF13*AG13+(I13-AF13)*AI13,AF13*AG13+(AH13-AF13)*AI13+(I13-AH13)*AK13)),MAX(I13*AC13,AD13))))))</f>
        <v/>
      </c>
      <c r="L13" s="26">
        <f>IF(OR(E13="INACTIVE",H13=""),0,IF(AL13="NONE",0,IF(AL13="FLAT",AM13,IF(AL13="PER_UNIT",I13*AN13,IF(AL13="MANUAL",IF(M13="",0,M13),0)))))</f>
        <v/>
      </c>
      <c r="M13" s="23" t="n"/>
      <c r="N13" s="48" t="inlineStr">
        <is>
          <t>NORMAL</t>
        </is>
      </c>
      <c r="O13" s="25" t="n"/>
      <c r="P13" s="25" t="n"/>
      <c r="Q13" s="26">
        <f>IF(OR(E13="INACTIVE",P13=""),0,MAX(0,P13-O13))</f>
        <v/>
      </c>
      <c r="R13" s="23" t="n"/>
      <c r="S13" s="26">
        <f>IF(OR(E13="INACTIVE",P13=""),0,IF(AO13="DISABLED",0,IF(AO13="FLAT",AR13,IF(AO13="MANUAL",IF(R13="",0,R13*AP13),IF(AO13="STEP",IF(Q13&lt;=AS13,Q13*AT13,IF(Q13&lt;=AU13,AS13*AT13+(Q13-AS13)*AV13,AS13*AT13+(AU13-AS13)*AV13+(Q13-AU13)*AX13)),MAX(Q13*AP13,AQ13))))))</f>
        <v/>
      </c>
      <c r="T13" s="26">
        <f>IF(OR(E13="INACTIVE",P13=""),0,IF(AY13="NONE",0,IF(AY13="FLAT",AZ13,IF(AY13="PER_UNIT",Q13*BA13,IF(AY13="MANUAL",IF(U13="",0,U13),0)))))</f>
        <v/>
      </c>
      <c r="U13" s="23" t="n"/>
      <c r="V13" s="25" t="n"/>
      <c r="W13" s="25" t="n"/>
      <c r="X13" s="26">
        <f>IF(E13="INACTIVE",0,D13+K13+L13+S13+T13+IF(V13="",0,V13)+IF(W13="",0,W13))</f>
        <v/>
      </c>
      <c r="Y13" s="27" t="n"/>
      <c r="Z13" s="28">
        <f>IF(E13="INACTIVE","_",IF(AND(G13&gt;0,H13&gt;0,H13&lt;G13),"[!]น้ำ reset ","")&amp;IF(AND(O13&gt;0,P13&gt;0,P13&lt;O13),"[!]ไฟ reset ","")&amp;IF(AND(F13="MANUAL",J13=""),"[X]units น้ำ ","")&amp;IF(AND(N13="MANUAL",R13=""),"[X]units ไฟ ","")&amp;IF(D13=0,"[!]ค่าเช่า=0",""))</f>
        <v/>
      </c>
      <c r="AA13" s="29">
        <f>IF(C13&lt;&gt;"",C13,CONFIG!$B$6)</f>
        <v/>
      </c>
      <c r="AB13" s="29">
        <f>IF(F13&lt;&gt;"",F13,IFERROR(VLOOKUP(AA13,RULES!$A:$C,3,0),CONFIG!$B$7))</f>
        <v/>
      </c>
      <c r="AC13" s="29">
        <f>IF(IFERROR(VLOOKUP(AA13,RULES!$A:$D,4,0),"")="",CONFIG!$B$10,VLOOKUP(AA13,RULES!$A:$D,4,0))</f>
        <v/>
      </c>
      <c r="AD13" s="29">
        <f>IF(IFERROR(VLOOKUP(AA13,RULES!$A:$E,5,0),"")="",CONFIG!$B$11,VLOOKUP(AA13,RULES!$A:$E,5,0))</f>
        <v/>
      </c>
      <c r="AE13" s="29">
        <f>IFERROR(VLOOKUP(AA13,RULES!$A:$F,6,0)*1,0)</f>
        <v/>
      </c>
      <c r="AF13" s="29">
        <f>IFERROR(VLOOKUP(AA13,RULES!$A:$G,7,0)*1,0)</f>
        <v/>
      </c>
      <c r="AG13" s="29">
        <f>IFERROR(VLOOKUP(AA13,RULES!$A:$H,8,0)*1,0)</f>
        <v/>
      </c>
      <c r="AH13" s="29">
        <f>IFERROR(VLOOKUP(AA13,RULES!$A:$I,9,0)*1,0)</f>
        <v/>
      </c>
      <c r="AI13" s="29">
        <f>IFERROR(VLOOKUP(AA13,RULES!$A:$J,10,0)*1,0)</f>
        <v/>
      </c>
      <c r="AJ13" s="29">
        <f>IFERROR(IF(VLOOKUP(AA13,RULES!$A:$K,11,0)="",999999,VLOOKUP(AA13,RULES!$A:$K,11,0)*1),999999)</f>
        <v/>
      </c>
      <c r="AK13" s="29">
        <f>IFERROR(VLOOKUP(AA13,RULES!$A:$L,12,0)*1,0)</f>
        <v/>
      </c>
      <c r="AL13" s="29">
        <f>IFERROR(VLOOKUP(AA13,RULES!$A:$M,13,0),"NONE")</f>
        <v/>
      </c>
      <c r="AM13" s="29">
        <f>IFERROR(VLOOKUP(AA13,RULES!$A:$N,14,0)*1,0)</f>
        <v/>
      </c>
      <c r="AN13" s="29">
        <f>IFERROR(VLOOKUP(AA13,RULES!$A:$O,15,0)*1,0)</f>
        <v/>
      </c>
      <c r="AO13" s="29">
        <f>IF(N13&lt;&gt;"",N13,IFERROR(VLOOKUP(AA13,RULES!$A:$P,16,0),CONFIG!$B$8))</f>
        <v/>
      </c>
      <c r="AP13" s="29">
        <f>IF(IFERROR(VLOOKUP(AA13,RULES!$A:$Q,17,0),"")="",CONFIG!$B$13,VLOOKUP(AA13,RULES!$A:$Q,17,0))</f>
        <v/>
      </c>
      <c r="AQ13" s="29">
        <f>IF(IFERROR(VLOOKUP(AA13,RULES!$A:$R,18,0),"")="",CONFIG!$B$14,VLOOKUP(AA13,RULES!$A:$R,18,0))</f>
        <v/>
      </c>
      <c r="AR13" s="29">
        <f>IFERROR(VLOOKUP(AA13,RULES!$A:$S,19,0)*1,0)</f>
        <v/>
      </c>
      <c r="AS13" s="29">
        <f>IFERROR(VLOOKUP(AA13,RULES!$A:$T,20,0)*1,0)</f>
        <v/>
      </c>
      <c r="AT13" s="29">
        <f>IFERROR(VLOOKUP(AA13,RULES!$A:$U,21,0)*1,0)</f>
        <v/>
      </c>
      <c r="AU13" s="29">
        <f>IFERROR(VLOOKUP(AA13,RULES!$A:$V,22,0)*1,0)</f>
        <v/>
      </c>
      <c r="AV13" s="29">
        <f>IFERROR(VLOOKUP(AA13,RULES!$A:$W,23,0)*1,0)</f>
        <v/>
      </c>
      <c r="AW13" s="29">
        <f>IFERROR(IF(VLOOKUP(AA13,RULES!$A:$X,24,0)="",999999,VLOOKUP(AA13,RULES!$A:$X,24,0)*1),999999)</f>
        <v/>
      </c>
      <c r="AX13" s="29">
        <f>IFERROR(VLOOKUP(AA13,RULES!$A:$Y,25,0)*1,0)</f>
        <v/>
      </c>
      <c r="AY13" s="29">
        <f>IFERROR(VLOOKUP(AA13,RULES!$A:$Z,26,0),"NONE")</f>
        <v/>
      </c>
      <c r="AZ13" s="29">
        <f>IFERROR(VLOOKUP(AA13,RULES!$A:$AA,27,0)*1,0)</f>
        <v/>
      </c>
      <c r="BA13" s="29">
        <f>IFERROR(VLOOKUP(AA13,RULES!$A:$AB,28,0)*1,0)</f>
        <v/>
      </c>
    </row>
    <row r="14" ht="17" customHeight="1">
      <c r="A14" s="22" t="inlineStr">
        <is>
          <t>3611</t>
        </is>
      </c>
      <c r="B14" s="48" t="inlineStr">
        <is>
          <t>ACC006</t>
        </is>
      </c>
      <c r="C14" s="48" t="inlineStr">
        <is>
          <t>DEFAULT</t>
        </is>
      </c>
      <c r="D14" s="47" t="n"/>
      <c r="E14" s="22">
        <f>IF(OR(D14="",D14=0),"INACTIVE","ACTIVE")</f>
        <v/>
      </c>
      <c r="F14" s="48" t="inlineStr">
        <is>
          <t>NORMAL</t>
        </is>
      </c>
      <c r="G14" s="25" t="n"/>
      <c r="H14" s="25" t="n"/>
      <c r="I14" s="26">
        <f>IF(OR(E14="INACTIVE",H14=""),0,MAX(0,H14-G14))</f>
        <v/>
      </c>
      <c r="J14" s="23" t="n"/>
      <c r="K14" s="26">
        <f>IF(OR(E14="INACTIVE",H14=""),0,IF(AB14="DISABLED",0,IF(AB14="FLAT",AE14,IF(AB14="MANUAL",IF(J14="",0,J14*AC14),IF(AB14="STEP",IF(I14&lt;=AF14,I14*AG14,IF(I14&lt;=AH14,AF14*AG14+(I14-AF14)*AI14,AF14*AG14+(AH14-AF14)*AI14+(I14-AH14)*AK14)),MAX(I14*AC14,AD14))))))</f>
        <v/>
      </c>
      <c r="L14" s="26">
        <f>IF(OR(E14="INACTIVE",H14=""),0,IF(AL14="NONE",0,IF(AL14="FLAT",AM14,IF(AL14="PER_UNIT",I14*AN14,IF(AL14="MANUAL",IF(M14="",0,M14),0)))))</f>
        <v/>
      </c>
      <c r="M14" s="23" t="n"/>
      <c r="N14" s="48" t="inlineStr">
        <is>
          <t>NORMAL</t>
        </is>
      </c>
      <c r="O14" s="25" t="n"/>
      <c r="P14" s="25" t="n"/>
      <c r="Q14" s="26">
        <f>IF(OR(E14="INACTIVE",P14=""),0,MAX(0,P14-O14))</f>
        <v/>
      </c>
      <c r="R14" s="23" t="n"/>
      <c r="S14" s="26">
        <f>IF(OR(E14="INACTIVE",P14=""),0,IF(AO14="DISABLED",0,IF(AO14="FLAT",AR14,IF(AO14="MANUAL",IF(R14="",0,R14*AP14),IF(AO14="STEP",IF(Q14&lt;=AS14,Q14*AT14,IF(Q14&lt;=AU14,AS14*AT14+(Q14-AS14)*AV14,AS14*AT14+(AU14-AS14)*AV14+(Q14-AU14)*AX14)),MAX(Q14*AP14,AQ14))))))</f>
        <v/>
      </c>
      <c r="T14" s="26">
        <f>IF(OR(E14="INACTIVE",P14=""),0,IF(AY14="NONE",0,IF(AY14="FLAT",AZ14,IF(AY14="PER_UNIT",Q14*BA14,IF(AY14="MANUAL",IF(U14="",0,U14),0)))))</f>
        <v/>
      </c>
      <c r="U14" s="23" t="n"/>
      <c r="V14" s="25" t="n"/>
      <c r="W14" s="25" t="n"/>
      <c r="X14" s="26">
        <f>IF(E14="INACTIVE",0,D14+K14+L14+S14+T14+IF(V14="",0,V14)+IF(W14="",0,W14))</f>
        <v/>
      </c>
      <c r="Y14" s="27" t="n"/>
      <c r="Z14" s="28">
        <f>IF(E14="INACTIVE","_",IF(AND(G14&gt;0,H14&gt;0,H14&lt;G14),"[!]น้ำ reset ","")&amp;IF(AND(O14&gt;0,P14&gt;0,P14&lt;O14),"[!]ไฟ reset ","")&amp;IF(AND(F14="MANUAL",J14=""),"[X]units น้ำ ","")&amp;IF(AND(N14="MANUAL",R14=""),"[X]units ไฟ ","")&amp;IF(D14=0,"[!]ค่าเช่า=0",""))</f>
        <v/>
      </c>
      <c r="AA14" s="29">
        <f>IF(C14&lt;&gt;"",C14,CONFIG!$B$6)</f>
        <v/>
      </c>
      <c r="AB14" s="29">
        <f>IF(F14&lt;&gt;"",F14,IFERROR(VLOOKUP(AA14,RULES!$A:$C,3,0),CONFIG!$B$7))</f>
        <v/>
      </c>
      <c r="AC14" s="29">
        <f>IF(IFERROR(VLOOKUP(AA14,RULES!$A:$D,4,0),"")="",CONFIG!$B$10,VLOOKUP(AA14,RULES!$A:$D,4,0))</f>
        <v/>
      </c>
      <c r="AD14" s="29">
        <f>IF(IFERROR(VLOOKUP(AA14,RULES!$A:$E,5,0),"")="",CONFIG!$B$11,VLOOKUP(AA14,RULES!$A:$E,5,0))</f>
        <v/>
      </c>
      <c r="AE14" s="29">
        <f>IFERROR(VLOOKUP(AA14,RULES!$A:$F,6,0)*1,0)</f>
        <v/>
      </c>
      <c r="AF14" s="29">
        <f>IFERROR(VLOOKUP(AA14,RULES!$A:$G,7,0)*1,0)</f>
        <v/>
      </c>
      <c r="AG14" s="29">
        <f>IFERROR(VLOOKUP(AA14,RULES!$A:$H,8,0)*1,0)</f>
        <v/>
      </c>
      <c r="AH14" s="29">
        <f>IFERROR(VLOOKUP(AA14,RULES!$A:$I,9,0)*1,0)</f>
        <v/>
      </c>
      <c r="AI14" s="29">
        <f>IFERROR(VLOOKUP(AA14,RULES!$A:$J,10,0)*1,0)</f>
        <v/>
      </c>
      <c r="AJ14" s="29">
        <f>IFERROR(IF(VLOOKUP(AA14,RULES!$A:$K,11,0)="",999999,VLOOKUP(AA14,RULES!$A:$K,11,0)*1),999999)</f>
        <v/>
      </c>
      <c r="AK14" s="29">
        <f>IFERROR(VLOOKUP(AA14,RULES!$A:$L,12,0)*1,0)</f>
        <v/>
      </c>
      <c r="AL14" s="29">
        <f>IFERROR(VLOOKUP(AA14,RULES!$A:$M,13,0),"NONE")</f>
        <v/>
      </c>
      <c r="AM14" s="29">
        <f>IFERROR(VLOOKUP(AA14,RULES!$A:$N,14,0)*1,0)</f>
        <v/>
      </c>
      <c r="AN14" s="29">
        <f>IFERROR(VLOOKUP(AA14,RULES!$A:$O,15,0)*1,0)</f>
        <v/>
      </c>
      <c r="AO14" s="29">
        <f>IF(N14&lt;&gt;"",N14,IFERROR(VLOOKUP(AA14,RULES!$A:$P,16,0),CONFIG!$B$8))</f>
        <v/>
      </c>
      <c r="AP14" s="29">
        <f>IF(IFERROR(VLOOKUP(AA14,RULES!$A:$Q,17,0),"")="",CONFIG!$B$13,VLOOKUP(AA14,RULES!$A:$Q,17,0))</f>
        <v/>
      </c>
      <c r="AQ14" s="29">
        <f>IF(IFERROR(VLOOKUP(AA14,RULES!$A:$R,18,0),"")="",CONFIG!$B$14,VLOOKUP(AA14,RULES!$A:$R,18,0))</f>
        <v/>
      </c>
      <c r="AR14" s="29">
        <f>IFERROR(VLOOKUP(AA14,RULES!$A:$S,19,0)*1,0)</f>
        <v/>
      </c>
      <c r="AS14" s="29">
        <f>IFERROR(VLOOKUP(AA14,RULES!$A:$T,20,0)*1,0)</f>
        <v/>
      </c>
      <c r="AT14" s="29">
        <f>IFERROR(VLOOKUP(AA14,RULES!$A:$U,21,0)*1,0)</f>
        <v/>
      </c>
      <c r="AU14" s="29">
        <f>IFERROR(VLOOKUP(AA14,RULES!$A:$V,22,0)*1,0)</f>
        <v/>
      </c>
      <c r="AV14" s="29">
        <f>IFERROR(VLOOKUP(AA14,RULES!$A:$W,23,0)*1,0)</f>
        <v/>
      </c>
      <c r="AW14" s="29">
        <f>IFERROR(IF(VLOOKUP(AA14,RULES!$A:$X,24,0)="",999999,VLOOKUP(AA14,RULES!$A:$X,24,0)*1),999999)</f>
        <v/>
      </c>
      <c r="AX14" s="29">
        <f>IFERROR(VLOOKUP(AA14,RULES!$A:$Y,25,0)*1,0)</f>
        <v/>
      </c>
      <c r="AY14" s="29">
        <f>IFERROR(VLOOKUP(AA14,RULES!$A:$Z,26,0),"NONE")</f>
        <v/>
      </c>
      <c r="AZ14" s="29">
        <f>IFERROR(VLOOKUP(AA14,RULES!$A:$AA,27,0)*1,0)</f>
        <v/>
      </c>
      <c r="BA14" s="29">
        <f>IFERROR(VLOOKUP(AA14,RULES!$A:$AB,28,0)*1,0)</f>
        <v/>
      </c>
    </row>
    <row r="15" ht="17" customHeight="1">
      <c r="A15" s="22" t="inlineStr">
        <is>
          <t>3612</t>
        </is>
      </c>
      <c r="B15" s="48" t="inlineStr">
        <is>
          <t>ACC006</t>
        </is>
      </c>
      <c r="C15" s="48" t="inlineStr">
        <is>
          <t>DEFAULT</t>
        </is>
      </c>
      <c r="D15" s="47" t="n"/>
      <c r="E15" s="22">
        <f>IF(OR(D15="",D15=0),"INACTIVE","ACTIVE")</f>
        <v/>
      </c>
      <c r="F15" s="48" t="inlineStr">
        <is>
          <t>NORMAL</t>
        </is>
      </c>
      <c r="G15" s="25" t="n"/>
      <c r="H15" s="25" t="n"/>
      <c r="I15" s="26">
        <f>IF(OR(E15="INACTIVE",H15=""),0,MAX(0,H15-G15))</f>
        <v/>
      </c>
      <c r="J15" s="23" t="n"/>
      <c r="K15" s="26">
        <f>IF(OR(E15="INACTIVE",H15=""),0,IF(AB15="DISABLED",0,IF(AB15="FLAT",AE15,IF(AB15="MANUAL",IF(J15="",0,J15*AC15),IF(AB15="STEP",IF(I15&lt;=AF15,I15*AG15,IF(I15&lt;=AH15,AF15*AG15+(I15-AF15)*AI15,AF15*AG15+(AH15-AF15)*AI15+(I15-AH15)*AK15)),MAX(I15*AC15,AD15))))))</f>
        <v/>
      </c>
      <c r="L15" s="26">
        <f>IF(OR(E15="INACTIVE",H15=""),0,IF(AL15="NONE",0,IF(AL15="FLAT",AM15,IF(AL15="PER_UNIT",I15*AN15,IF(AL15="MANUAL",IF(M15="",0,M15),0)))))</f>
        <v/>
      </c>
      <c r="M15" s="23" t="n"/>
      <c r="N15" s="48" t="inlineStr">
        <is>
          <t>NORMAL</t>
        </is>
      </c>
      <c r="O15" s="25" t="n"/>
      <c r="P15" s="25" t="n"/>
      <c r="Q15" s="26">
        <f>IF(OR(E15="INACTIVE",P15=""),0,MAX(0,P15-O15))</f>
        <v/>
      </c>
      <c r="R15" s="23" t="n"/>
      <c r="S15" s="26">
        <f>IF(OR(E15="INACTIVE",P15=""),0,IF(AO15="DISABLED",0,IF(AO15="FLAT",AR15,IF(AO15="MANUAL",IF(R15="",0,R15*AP15),IF(AO15="STEP",IF(Q15&lt;=AS15,Q15*AT15,IF(Q15&lt;=AU15,AS15*AT15+(Q15-AS15)*AV15,AS15*AT15+(AU15-AS15)*AV15+(Q15-AU15)*AX15)),MAX(Q15*AP15,AQ15))))))</f>
        <v/>
      </c>
      <c r="T15" s="26">
        <f>IF(OR(E15="INACTIVE",P15=""),0,IF(AY15="NONE",0,IF(AY15="FLAT",AZ15,IF(AY15="PER_UNIT",Q15*BA15,IF(AY15="MANUAL",IF(U15="",0,U15),0)))))</f>
        <v/>
      </c>
      <c r="U15" s="23" t="n"/>
      <c r="V15" s="25" t="n"/>
      <c r="W15" s="25" t="n"/>
      <c r="X15" s="26">
        <f>IF(E15="INACTIVE",0,D15+K15+L15+S15+T15+IF(V15="",0,V15)+IF(W15="",0,W15))</f>
        <v/>
      </c>
      <c r="Y15" s="27" t="n"/>
      <c r="Z15" s="28">
        <f>IF(E15="INACTIVE","_",IF(AND(G15&gt;0,H15&gt;0,H15&lt;G15),"[!]น้ำ reset ","")&amp;IF(AND(O15&gt;0,P15&gt;0,P15&lt;O15),"[!]ไฟ reset ","")&amp;IF(AND(F15="MANUAL",J15=""),"[X]units น้ำ ","")&amp;IF(AND(N15="MANUAL",R15=""),"[X]units ไฟ ","")&amp;IF(D15=0,"[!]ค่าเช่า=0",""))</f>
        <v/>
      </c>
      <c r="AA15" s="29">
        <f>IF(C15&lt;&gt;"",C15,CONFIG!$B$6)</f>
        <v/>
      </c>
      <c r="AB15" s="29">
        <f>IF(F15&lt;&gt;"",F15,IFERROR(VLOOKUP(AA15,RULES!$A:$C,3,0),CONFIG!$B$7))</f>
        <v/>
      </c>
      <c r="AC15" s="29">
        <f>IF(IFERROR(VLOOKUP(AA15,RULES!$A:$D,4,0),"")="",CONFIG!$B$10,VLOOKUP(AA15,RULES!$A:$D,4,0))</f>
        <v/>
      </c>
      <c r="AD15" s="29">
        <f>IF(IFERROR(VLOOKUP(AA15,RULES!$A:$E,5,0),"")="",CONFIG!$B$11,VLOOKUP(AA15,RULES!$A:$E,5,0))</f>
        <v/>
      </c>
      <c r="AE15" s="29">
        <f>IFERROR(VLOOKUP(AA15,RULES!$A:$F,6,0)*1,0)</f>
        <v/>
      </c>
      <c r="AF15" s="29">
        <f>IFERROR(VLOOKUP(AA15,RULES!$A:$G,7,0)*1,0)</f>
        <v/>
      </c>
      <c r="AG15" s="29">
        <f>IFERROR(VLOOKUP(AA15,RULES!$A:$H,8,0)*1,0)</f>
        <v/>
      </c>
      <c r="AH15" s="29">
        <f>IFERROR(VLOOKUP(AA15,RULES!$A:$I,9,0)*1,0)</f>
        <v/>
      </c>
      <c r="AI15" s="29">
        <f>IFERROR(VLOOKUP(AA15,RULES!$A:$J,10,0)*1,0)</f>
        <v/>
      </c>
      <c r="AJ15" s="29">
        <f>IFERROR(IF(VLOOKUP(AA15,RULES!$A:$K,11,0)="",999999,VLOOKUP(AA15,RULES!$A:$K,11,0)*1),999999)</f>
        <v/>
      </c>
      <c r="AK15" s="29">
        <f>IFERROR(VLOOKUP(AA15,RULES!$A:$L,12,0)*1,0)</f>
        <v/>
      </c>
      <c r="AL15" s="29">
        <f>IFERROR(VLOOKUP(AA15,RULES!$A:$M,13,0),"NONE")</f>
        <v/>
      </c>
      <c r="AM15" s="29">
        <f>IFERROR(VLOOKUP(AA15,RULES!$A:$N,14,0)*1,0)</f>
        <v/>
      </c>
      <c r="AN15" s="29">
        <f>IFERROR(VLOOKUP(AA15,RULES!$A:$O,15,0)*1,0)</f>
        <v/>
      </c>
      <c r="AO15" s="29">
        <f>IF(N15&lt;&gt;"",N15,IFERROR(VLOOKUP(AA15,RULES!$A:$P,16,0),CONFIG!$B$8))</f>
        <v/>
      </c>
      <c r="AP15" s="29">
        <f>IF(IFERROR(VLOOKUP(AA15,RULES!$A:$Q,17,0),"")="",CONFIG!$B$13,VLOOKUP(AA15,RULES!$A:$Q,17,0))</f>
        <v/>
      </c>
      <c r="AQ15" s="29">
        <f>IF(IFERROR(VLOOKUP(AA15,RULES!$A:$R,18,0),"")="",CONFIG!$B$14,VLOOKUP(AA15,RULES!$A:$R,18,0))</f>
        <v/>
      </c>
      <c r="AR15" s="29">
        <f>IFERROR(VLOOKUP(AA15,RULES!$A:$S,19,0)*1,0)</f>
        <v/>
      </c>
      <c r="AS15" s="29">
        <f>IFERROR(VLOOKUP(AA15,RULES!$A:$T,20,0)*1,0)</f>
        <v/>
      </c>
      <c r="AT15" s="29">
        <f>IFERROR(VLOOKUP(AA15,RULES!$A:$U,21,0)*1,0)</f>
        <v/>
      </c>
      <c r="AU15" s="29">
        <f>IFERROR(VLOOKUP(AA15,RULES!$A:$V,22,0)*1,0)</f>
        <v/>
      </c>
      <c r="AV15" s="29">
        <f>IFERROR(VLOOKUP(AA15,RULES!$A:$W,23,0)*1,0)</f>
        <v/>
      </c>
      <c r="AW15" s="29">
        <f>IFERROR(IF(VLOOKUP(AA15,RULES!$A:$X,24,0)="",999999,VLOOKUP(AA15,RULES!$A:$X,24,0)*1),999999)</f>
        <v/>
      </c>
      <c r="AX15" s="29">
        <f>IFERROR(VLOOKUP(AA15,RULES!$A:$Y,25,0)*1,0)</f>
        <v/>
      </c>
      <c r="AY15" s="29">
        <f>IFERROR(VLOOKUP(AA15,RULES!$A:$Z,26,0),"NONE")</f>
        <v/>
      </c>
      <c r="AZ15" s="29">
        <f>IFERROR(VLOOKUP(AA15,RULES!$A:$AA,27,0)*1,0)</f>
        <v/>
      </c>
      <c r="BA15" s="29">
        <f>IFERROR(VLOOKUP(AA15,RULES!$A:$AB,28,0)*1,0)</f>
        <v/>
      </c>
    </row>
    <row r="16" ht="17" customHeight="1">
      <c r="A16" s="22" t="inlineStr">
        <is>
          <t>3613</t>
        </is>
      </c>
      <c r="B16" s="48" t="inlineStr">
        <is>
          <t>ACC006</t>
        </is>
      </c>
      <c r="C16" s="48" t="inlineStr">
        <is>
          <t>DEFAULT</t>
        </is>
      </c>
      <c r="D16" s="47" t="n"/>
      <c r="E16" s="22">
        <f>IF(OR(D16="",D16=0),"INACTIVE","ACTIVE")</f>
        <v/>
      </c>
      <c r="F16" s="48" t="inlineStr">
        <is>
          <t>NORMAL</t>
        </is>
      </c>
      <c r="G16" s="25" t="n"/>
      <c r="H16" s="25" t="n"/>
      <c r="I16" s="26">
        <f>IF(OR(E16="INACTIVE",H16=""),0,MAX(0,H16-G16))</f>
        <v/>
      </c>
      <c r="J16" s="23" t="n"/>
      <c r="K16" s="26">
        <f>IF(OR(E16="INACTIVE",H16=""),0,IF(AB16="DISABLED",0,IF(AB16="FLAT",AE16,IF(AB16="MANUAL",IF(J16="",0,J16*AC16),IF(AB16="STEP",IF(I16&lt;=AF16,I16*AG16,IF(I16&lt;=AH16,AF16*AG16+(I16-AF16)*AI16,AF16*AG16+(AH16-AF16)*AI16+(I16-AH16)*AK16)),MAX(I16*AC16,AD16))))))</f>
        <v/>
      </c>
      <c r="L16" s="26">
        <f>IF(OR(E16="INACTIVE",H16=""),0,IF(AL16="NONE",0,IF(AL16="FLAT",AM16,IF(AL16="PER_UNIT",I16*AN16,IF(AL16="MANUAL",IF(M16="",0,M16),0)))))</f>
        <v/>
      </c>
      <c r="M16" s="23" t="n"/>
      <c r="N16" s="48" t="inlineStr">
        <is>
          <t>NORMAL</t>
        </is>
      </c>
      <c r="O16" s="25" t="n"/>
      <c r="P16" s="25" t="n"/>
      <c r="Q16" s="26">
        <f>IF(OR(E16="INACTIVE",P16=""),0,MAX(0,P16-O16))</f>
        <v/>
      </c>
      <c r="R16" s="23" t="n"/>
      <c r="S16" s="26">
        <f>IF(OR(E16="INACTIVE",P16=""),0,IF(AO16="DISABLED",0,IF(AO16="FLAT",AR16,IF(AO16="MANUAL",IF(R16="",0,R16*AP16),IF(AO16="STEP",IF(Q16&lt;=AS16,Q16*AT16,IF(Q16&lt;=AU16,AS16*AT16+(Q16-AS16)*AV16,AS16*AT16+(AU16-AS16)*AV16+(Q16-AU16)*AX16)),MAX(Q16*AP16,AQ16))))))</f>
        <v/>
      </c>
      <c r="T16" s="26">
        <f>IF(OR(E16="INACTIVE",P16=""),0,IF(AY16="NONE",0,IF(AY16="FLAT",AZ16,IF(AY16="PER_UNIT",Q16*BA16,IF(AY16="MANUAL",IF(U16="",0,U16),0)))))</f>
        <v/>
      </c>
      <c r="U16" s="23" t="n"/>
      <c r="V16" s="25" t="n"/>
      <c r="W16" s="25" t="n"/>
      <c r="X16" s="26">
        <f>IF(E16="INACTIVE",0,D16+K16+L16+S16+T16+IF(V16="",0,V16)+IF(W16="",0,W16))</f>
        <v/>
      </c>
      <c r="Y16" s="27" t="n"/>
      <c r="Z16" s="28">
        <f>IF(E16="INACTIVE","_",IF(AND(G16&gt;0,H16&gt;0,H16&lt;G16),"[!]น้ำ reset ","")&amp;IF(AND(O16&gt;0,P16&gt;0,P16&lt;O16),"[!]ไฟ reset ","")&amp;IF(AND(F16="MANUAL",J16=""),"[X]units น้ำ ","")&amp;IF(AND(N16="MANUAL",R16=""),"[X]units ไฟ ","")&amp;IF(D16=0,"[!]ค่าเช่า=0",""))</f>
        <v/>
      </c>
      <c r="AA16" s="29">
        <f>IF(C16&lt;&gt;"",C16,CONFIG!$B$6)</f>
        <v/>
      </c>
      <c r="AB16" s="29">
        <f>IF(F16&lt;&gt;"",F16,IFERROR(VLOOKUP(AA16,RULES!$A:$C,3,0),CONFIG!$B$7))</f>
        <v/>
      </c>
      <c r="AC16" s="29">
        <f>IF(IFERROR(VLOOKUP(AA16,RULES!$A:$D,4,0),"")="",CONFIG!$B$10,VLOOKUP(AA16,RULES!$A:$D,4,0))</f>
        <v/>
      </c>
      <c r="AD16" s="29">
        <f>IF(IFERROR(VLOOKUP(AA16,RULES!$A:$E,5,0),"")="",CONFIG!$B$11,VLOOKUP(AA16,RULES!$A:$E,5,0))</f>
        <v/>
      </c>
      <c r="AE16" s="29">
        <f>IFERROR(VLOOKUP(AA16,RULES!$A:$F,6,0)*1,0)</f>
        <v/>
      </c>
      <c r="AF16" s="29">
        <f>IFERROR(VLOOKUP(AA16,RULES!$A:$G,7,0)*1,0)</f>
        <v/>
      </c>
      <c r="AG16" s="29">
        <f>IFERROR(VLOOKUP(AA16,RULES!$A:$H,8,0)*1,0)</f>
        <v/>
      </c>
      <c r="AH16" s="29">
        <f>IFERROR(VLOOKUP(AA16,RULES!$A:$I,9,0)*1,0)</f>
        <v/>
      </c>
      <c r="AI16" s="29">
        <f>IFERROR(VLOOKUP(AA16,RULES!$A:$J,10,0)*1,0)</f>
        <v/>
      </c>
      <c r="AJ16" s="29">
        <f>IFERROR(IF(VLOOKUP(AA16,RULES!$A:$K,11,0)="",999999,VLOOKUP(AA16,RULES!$A:$K,11,0)*1),999999)</f>
        <v/>
      </c>
      <c r="AK16" s="29">
        <f>IFERROR(VLOOKUP(AA16,RULES!$A:$L,12,0)*1,0)</f>
        <v/>
      </c>
      <c r="AL16" s="29">
        <f>IFERROR(VLOOKUP(AA16,RULES!$A:$M,13,0),"NONE")</f>
        <v/>
      </c>
      <c r="AM16" s="29">
        <f>IFERROR(VLOOKUP(AA16,RULES!$A:$N,14,0)*1,0)</f>
        <v/>
      </c>
      <c r="AN16" s="29">
        <f>IFERROR(VLOOKUP(AA16,RULES!$A:$O,15,0)*1,0)</f>
        <v/>
      </c>
      <c r="AO16" s="29">
        <f>IF(N16&lt;&gt;"",N16,IFERROR(VLOOKUP(AA16,RULES!$A:$P,16,0),CONFIG!$B$8))</f>
        <v/>
      </c>
      <c r="AP16" s="29">
        <f>IF(IFERROR(VLOOKUP(AA16,RULES!$A:$Q,17,0),"")="",CONFIG!$B$13,VLOOKUP(AA16,RULES!$A:$Q,17,0))</f>
        <v/>
      </c>
      <c r="AQ16" s="29">
        <f>IF(IFERROR(VLOOKUP(AA16,RULES!$A:$R,18,0),"")="",CONFIG!$B$14,VLOOKUP(AA16,RULES!$A:$R,18,0))</f>
        <v/>
      </c>
      <c r="AR16" s="29">
        <f>IFERROR(VLOOKUP(AA16,RULES!$A:$S,19,0)*1,0)</f>
        <v/>
      </c>
      <c r="AS16" s="29">
        <f>IFERROR(VLOOKUP(AA16,RULES!$A:$T,20,0)*1,0)</f>
        <v/>
      </c>
      <c r="AT16" s="29">
        <f>IFERROR(VLOOKUP(AA16,RULES!$A:$U,21,0)*1,0)</f>
        <v/>
      </c>
      <c r="AU16" s="29">
        <f>IFERROR(VLOOKUP(AA16,RULES!$A:$V,22,0)*1,0)</f>
        <v/>
      </c>
      <c r="AV16" s="29">
        <f>IFERROR(VLOOKUP(AA16,RULES!$A:$W,23,0)*1,0)</f>
        <v/>
      </c>
      <c r="AW16" s="29">
        <f>IFERROR(IF(VLOOKUP(AA16,RULES!$A:$X,24,0)="",999999,VLOOKUP(AA16,RULES!$A:$X,24,0)*1),999999)</f>
        <v/>
      </c>
      <c r="AX16" s="29">
        <f>IFERROR(VLOOKUP(AA16,RULES!$A:$Y,25,0)*1,0)</f>
        <v/>
      </c>
      <c r="AY16" s="29">
        <f>IFERROR(VLOOKUP(AA16,RULES!$A:$Z,26,0),"NONE")</f>
        <v/>
      </c>
      <c r="AZ16" s="29">
        <f>IFERROR(VLOOKUP(AA16,RULES!$A:$AA,27,0)*1,0)</f>
        <v/>
      </c>
      <c r="BA16" s="29">
        <f>IFERROR(VLOOKUP(AA16,RULES!$A:$AB,28,0)*1,0)</f>
        <v/>
      </c>
    </row>
    <row r="17" ht="17" customHeight="1">
      <c r="A17" s="22" t="inlineStr">
        <is>
          <t>3614</t>
        </is>
      </c>
      <c r="B17" s="48" t="inlineStr">
        <is>
          <t>ACC006</t>
        </is>
      </c>
      <c r="C17" s="48" t="inlineStr">
        <is>
          <t>DEFAULT</t>
        </is>
      </c>
      <c r="D17" s="47" t="n"/>
      <c r="E17" s="22">
        <f>IF(OR(D17="",D17=0),"INACTIVE","ACTIVE")</f>
        <v/>
      </c>
      <c r="F17" s="48" t="inlineStr">
        <is>
          <t>NORMAL</t>
        </is>
      </c>
      <c r="G17" s="25" t="n"/>
      <c r="H17" s="25" t="n"/>
      <c r="I17" s="26">
        <f>IF(OR(E17="INACTIVE",H17=""),0,MAX(0,H17-G17))</f>
        <v/>
      </c>
      <c r="J17" s="23" t="n"/>
      <c r="K17" s="26">
        <f>IF(OR(E17="INACTIVE",H17=""),0,IF(AB17="DISABLED",0,IF(AB17="FLAT",AE17,IF(AB17="MANUAL",IF(J17="",0,J17*AC17),IF(AB17="STEP",IF(I17&lt;=AF17,I17*AG17,IF(I17&lt;=AH17,AF17*AG17+(I17-AF17)*AI17,AF17*AG17+(AH17-AF17)*AI17+(I17-AH17)*AK17)),MAX(I17*AC17,AD17))))))</f>
        <v/>
      </c>
      <c r="L17" s="26">
        <f>IF(OR(E17="INACTIVE",H17=""),0,IF(AL17="NONE",0,IF(AL17="FLAT",AM17,IF(AL17="PER_UNIT",I17*AN17,IF(AL17="MANUAL",IF(M17="",0,M17),0)))))</f>
        <v/>
      </c>
      <c r="M17" s="23" t="n"/>
      <c r="N17" s="48" t="inlineStr">
        <is>
          <t>NORMAL</t>
        </is>
      </c>
      <c r="O17" s="25" t="n"/>
      <c r="P17" s="25" t="n"/>
      <c r="Q17" s="26">
        <f>IF(OR(E17="INACTIVE",P17=""),0,MAX(0,P17-O17))</f>
        <v/>
      </c>
      <c r="R17" s="23" t="n"/>
      <c r="S17" s="26">
        <f>IF(OR(E17="INACTIVE",P17=""),0,IF(AO17="DISABLED",0,IF(AO17="FLAT",AR17,IF(AO17="MANUAL",IF(R17="",0,R17*AP17),IF(AO17="STEP",IF(Q17&lt;=AS17,Q17*AT17,IF(Q17&lt;=AU17,AS17*AT17+(Q17-AS17)*AV17,AS17*AT17+(AU17-AS17)*AV17+(Q17-AU17)*AX17)),MAX(Q17*AP17,AQ17))))))</f>
        <v/>
      </c>
      <c r="T17" s="26">
        <f>IF(OR(E17="INACTIVE",P17=""),0,IF(AY17="NONE",0,IF(AY17="FLAT",AZ17,IF(AY17="PER_UNIT",Q17*BA17,IF(AY17="MANUAL",IF(U17="",0,U17),0)))))</f>
        <v/>
      </c>
      <c r="U17" s="23" t="n"/>
      <c r="V17" s="25" t="n"/>
      <c r="W17" s="25" t="n"/>
      <c r="X17" s="26">
        <f>IF(E17="INACTIVE",0,D17+K17+L17+S17+T17+IF(V17="",0,V17)+IF(W17="",0,W17))</f>
        <v/>
      </c>
      <c r="Y17" s="27" t="n"/>
      <c r="Z17" s="28">
        <f>IF(E17="INACTIVE","_",IF(AND(G17&gt;0,H17&gt;0,H17&lt;G17),"[!]น้ำ reset ","")&amp;IF(AND(O17&gt;0,P17&gt;0,P17&lt;O17),"[!]ไฟ reset ","")&amp;IF(AND(F17="MANUAL",J17=""),"[X]units น้ำ ","")&amp;IF(AND(N17="MANUAL",R17=""),"[X]units ไฟ ","")&amp;IF(D17=0,"[!]ค่าเช่า=0",""))</f>
        <v/>
      </c>
      <c r="AA17" s="29">
        <f>IF(C17&lt;&gt;"",C17,CONFIG!$B$6)</f>
        <v/>
      </c>
      <c r="AB17" s="29">
        <f>IF(F17&lt;&gt;"",F17,IFERROR(VLOOKUP(AA17,RULES!$A:$C,3,0),CONFIG!$B$7))</f>
        <v/>
      </c>
      <c r="AC17" s="29">
        <f>IF(IFERROR(VLOOKUP(AA17,RULES!$A:$D,4,0),"")="",CONFIG!$B$10,VLOOKUP(AA17,RULES!$A:$D,4,0))</f>
        <v/>
      </c>
      <c r="AD17" s="29">
        <f>IF(IFERROR(VLOOKUP(AA17,RULES!$A:$E,5,0),"")="",CONFIG!$B$11,VLOOKUP(AA17,RULES!$A:$E,5,0))</f>
        <v/>
      </c>
      <c r="AE17" s="29">
        <f>IFERROR(VLOOKUP(AA17,RULES!$A:$F,6,0)*1,0)</f>
        <v/>
      </c>
      <c r="AF17" s="29">
        <f>IFERROR(VLOOKUP(AA17,RULES!$A:$G,7,0)*1,0)</f>
        <v/>
      </c>
      <c r="AG17" s="29">
        <f>IFERROR(VLOOKUP(AA17,RULES!$A:$H,8,0)*1,0)</f>
        <v/>
      </c>
      <c r="AH17" s="29">
        <f>IFERROR(VLOOKUP(AA17,RULES!$A:$I,9,0)*1,0)</f>
        <v/>
      </c>
      <c r="AI17" s="29">
        <f>IFERROR(VLOOKUP(AA17,RULES!$A:$J,10,0)*1,0)</f>
        <v/>
      </c>
      <c r="AJ17" s="29">
        <f>IFERROR(IF(VLOOKUP(AA17,RULES!$A:$K,11,0)="",999999,VLOOKUP(AA17,RULES!$A:$K,11,0)*1),999999)</f>
        <v/>
      </c>
      <c r="AK17" s="29">
        <f>IFERROR(VLOOKUP(AA17,RULES!$A:$L,12,0)*1,0)</f>
        <v/>
      </c>
      <c r="AL17" s="29">
        <f>IFERROR(VLOOKUP(AA17,RULES!$A:$M,13,0),"NONE")</f>
        <v/>
      </c>
      <c r="AM17" s="29">
        <f>IFERROR(VLOOKUP(AA17,RULES!$A:$N,14,0)*1,0)</f>
        <v/>
      </c>
      <c r="AN17" s="29">
        <f>IFERROR(VLOOKUP(AA17,RULES!$A:$O,15,0)*1,0)</f>
        <v/>
      </c>
      <c r="AO17" s="29">
        <f>IF(N17&lt;&gt;"",N17,IFERROR(VLOOKUP(AA17,RULES!$A:$P,16,0),CONFIG!$B$8))</f>
        <v/>
      </c>
      <c r="AP17" s="29">
        <f>IF(IFERROR(VLOOKUP(AA17,RULES!$A:$Q,17,0),"")="",CONFIG!$B$13,VLOOKUP(AA17,RULES!$A:$Q,17,0))</f>
        <v/>
      </c>
      <c r="AQ17" s="29">
        <f>IF(IFERROR(VLOOKUP(AA17,RULES!$A:$R,18,0),"")="",CONFIG!$B$14,VLOOKUP(AA17,RULES!$A:$R,18,0))</f>
        <v/>
      </c>
      <c r="AR17" s="29">
        <f>IFERROR(VLOOKUP(AA17,RULES!$A:$S,19,0)*1,0)</f>
        <v/>
      </c>
      <c r="AS17" s="29">
        <f>IFERROR(VLOOKUP(AA17,RULES!$A:$T,20,0)*1,0)</f>
        <v/>
      </c>
      <c r="AT17" s="29">
        <f>IFERROR(VLOOKUP(AA17,RULES!$A:$U,21,0)*1,0)</f>
        <v/>
      </c>
      <c r="AU17" s="29">
        <f>IFERROR(VLOOKUP(AA17,RULES!$A:$V,22,0)*1,0)</f>
        <v/>
      </c>
      <c r="AV17" s="29">
        <f>IFERROR(VLOOKUP(AA17,RULES!$A:$W,23,0)*1,0)</f>
        <v/>
      </c>
      <c r="AW17" s="29">
        <f>IFERROR(IF(VLOOKUP(AA17,RULES!$A:$X,24,0)="",999999,VLOOKUP(AA17,RULES!$A:$X,24,0)*1),999999)</f>
        <v/>
      </c>
      <c r="AX17" s="29">
        <f>IFERROR(VLOOKUP(AA17,RULES!$A:$Y,25,0)*1,0)</f>
        <v/>
      </c>
      <c r="AY17" s="29">
        <f>IFERROR(VLOOKUP(AA17,RULES!$A:$Z,26,0),"NONE")</f>
        <v/>
      </c>
      <c r="AZ17" s="29">
        <f>IFERROR(VLOOKUP(AA17,RULES!$A:$AA,27,0)*1,0)</f>
        <v/>
      </c>
      <c r="BA17" s="29">
        <f>IFERROR(VLOOKUP(AA17,RULES!$A:$AB,28,0)*1,0)</f>
        <v/>
      </c>
    </row>
    <row r="18" ht="17" customHeight="1">
      <c r="A18" s="22" t="inlineStr">
        <is>
          <t>3615</t>
        </is>
      </c>
      <c r="B18" s="48" t="inlineStr">
        <is>
          <t>ACC006</t>
        </is>
      </c>
      <c r="C18" s="48" t="inlineStr">
        <is>
          <t>DEFAULT</t>
        </is>
      </c>
      <c r="D18" s="47" t="n"/>
      <c r="E18" s="22">
        <f>IF(OR(D18="",D18=0),"INACTIVE","ACTIVE")</f>
        <v/>
      </c>
      <c r="F18" s="48" t="inlineStr">
        <is>
          <t>NORMAL</t>
        </is>
      </c>
      <c r="G18" s="25" t="n"/>
      <c r="H18" s="25" t="n"/>
      <c r="I18" s="26">
        <f>IF(OR(E18="INACTIVE",H18=""),0,MAX(0,H18-G18))</f>
        <v/>
      </c>
      <c r="J18" s="23" t="n"/>
      <c r="K18" s="26">
        <f>IF(OR(E18="INACTIVE",H18=""),0,IF(AB18="DISABLED",0,IF(AB18="FLAT",AE18,IF(AB18="MANUAL",IF(J18="",0,J18*AC18),IF(AB18="STEP",IF(I18&lt;=AF18,I18*AG18,IF(I18&lt;=AH18,AF18*AG18+(I18-AF18)*AI18,AF18*AG18+(AH18-AF18)*AI18+(I18-AH18)*AK18)),MAX(I18*AC18,AD18))))))</f>
        <v/>
      </c>
      <c r="L18" s="26">
        <f>IF(OR(E18="INACTIVE",H18=""),0,IF(AL18="NONE",0,IF(AL18="FLAT",AM18,IF(AL18="PER_UNIT",I18*AN18,IF(AL18="MANUAL",IF(M18="",0,M18),0)))))</f>
        <v/>
      </c>
      <c r="M18" s="23" t="n"/>
      <c r="N18" s="48" t="inlineStr">
        <is>
          <t>NORMAL</t>
        </is>
      </c>
      <c r="O18" s="25" t="n"/>
      <c r="P18" s="25" t="n"/>
      <c r="Q18" s="26">
        <f>IF(OR(E18="INACTIVE",P18=""),0,MAX(0,P18-O18))</f>
        <v/>
      </c>
      <c r="R18" s="23" t="n"/>
      <c r="S18" s="26">
        <f>IF(OR(E18="INACTIVE",P18=""),0,IF(AO18="DISABLED",0,IF(AO18="FLAT",AR18,IF(AO18="MANUAL",IF(R18="",0,R18*AP18),IF(AO18="STEP",IF(Q18&lt;=AS18,Q18*AT18,IF(Q18&lt;=AU18,AS18*AT18+(Q18-AS18)*AV18,AS18*AT18+(AU18-AS18)*AV18+(Q18-AU18)*AX18)),MAX(Q18*AP18,AQ18))))))</f>
        <v/>
      </c>
      <c r="T18" s="26">
        <f>IF(OR(E18="INACTIVE",P18=""),0,IF(AY18="NONE",0,IF(AY18="FLAT",AZ18,IF(AY18="PER_UNIT",Q18*BA18,IF(AY18="MANUAL",IF(U18="",0,U18),0)))))</f>
        <v/>
      </c>
      <c r="U18" s="23" t="n"/>
      <c r="V18" s="25" t="n"/>
      <c r="W18" s="25" t="n"/>
      <c r="X18" s="26">
        <f>IF(E18="INACTIVE",0,D18+K18+L18+S18+T18+IF(V18="",0,V18)+IF(W18="",0,W18))</f>
        <v/>
      </c>
      <c r="Y18" s="27" t="n"/>
      <c r="Z18" s="28">
        <f>IF(E18="INACTIVE","_",IF(AND(G18&gt;0,H18&gt;0,H18&lt;G18),"[!]น้ำ reset ","")&amp;IF(AND(O18&gt;0,P18&gt;0,P18&lt;O18),"[!]ไฟ reset ","")&amp;IF(AND(F18="MANUAL",J18=""),"[X]units น้ำ ","")&amp;IF(AND(N18="MANUAL",R18=""),"[X]units ไฟ ","")&amp;IF(D18=0,"[!]ค่าเช่า=0",""))</f>
        <v/>
      </c>
      <c r="AA18" s="29">
        <f>IF(C18&lt;&gt;"",C18,CONFIG!$B$6)</f>
        <v/>
      </c>
      <c r="AB18" s="29">
        <f>IF(F18&lt;&gt;"",F18,IFERROR(VLOOKUP(AA18,RULES!$A:$C,3,0),CONFIG!$B$7))</f>
        <v/>
      </c>
      <c r="AC18" s="29">
        <f>IF(IFERROR(VLOOKUP(AA18,RULES!$A:$D,4,0),"")="",CONFIG!$B$10,VLOOKUP(AA18,RULES!$A:$D,4,0))</f>
        <v/>
      </c>
      <c r="AD18" s="29">
        <f>IF(IFERROR(VLOOKUP(AA18,RULES!$A:$E,5,0),"")="",CONFIG!$B$11,VLOOKUP(AA18,RULES!$A:$E,5,0))</f>
        <v/>
      </c>
      <c r="AE18" s="29">
        <f>IFERROR(VLOOKUP(AA18,RULES!$A:$F,6,0)*1,0)</f>
        <v/>
      </c>
      <c r="AF18" s="29">
        <f>IFERROR(VLOOKUP(AA18,RULES!$A:$G,7,0)*1,0)</f>
        <v/>
      </c>
      <c r="AG18" s="29">
        <f>IFERROR(VLOOKUP(AA18,RULES!$A:$H,8,0)*1,0)</f>
        <v/>
      </c>
      <c r="AH18" s="29">
        <f>IFERROR(VLOOKUP(AA18,RULES!$A:$I,9,0)*1,0)</f>
        <v/>
      </c>
      <c r="AI18" s="29">
        <f>IFERROR(VLOOKUP(AA18,RULES!$A:$J,10,0)*1,0)</f>
        <v/>
      </c>
      <c r="AJ18" s="29">
        <f>IFERROR(IF(VLOOKUP(AA18,RULES!$A:$K,11,0)="",999999,VLOOKUP(AA18,RULES!$A:$K,11,0)*1),999999)</f>
        <v/>
      </c>
      <c r="AK18" s="29">
        <f>IFERROR(VLOOKUP(AA18,RULES!$A:$L,12,0)*1,0)</f>
        <v/>
      </c>
      <c r="AL18" s="29">
        <f>IFERROR(VLOOKUP(AA18,RULES!$A:$M,13,0),"NONE")</f>
        <v/>
      </c>
      <c r="AM18" s="29">
        <f>IFERROR(VLOOKUP(AA18,RULES!$A:$N,14,0)*1,0)</f>
        <v/>
      </c>
      <c r="AN18" s="29">
        <f>IFERROR(VLOOKUP(AA18,RULES!$A:$O,15,0)*1,0)</f>
        <v/>
      </c>
      <c r="AO18" s="29">
        <f>IF(N18&lt;&gt;"",N18,IFERROR(VLOOKUP(AA18,RULES!$A:$P,16,0),CONFIG!$B$8))</f>
        <v/>
      </c>
      <c r="AP18" s="29">
        <f>IF(IFERROR(VLOOKUP(AA18,RULES!$A:$Q,17,0),"")="",CONFIG!$B$13,VLOOKUP(AA18,RULES!$A:$Q,17,0))</f>
        <v/>
      </c>
      <c r="AQ18" s="29">
        <f>IF(IFERROR(VLOOKUP(AA18,RULES!$A:$R,18,0),"")="",CONFIG!$B$14,VLOOKUP(AA18,RULES!$A:$R,18,0))</f>
        <v/>
      </c>
      <c r="AR18" s="29">
        <f>IFERROR(VLOOKUP(AA18,RULES!$A:$S,19,0)*1,0)</f>
        <v/>
      </c>
      <c r="AS18" s="29">
        <f>IFERROR(VLOOKUP(AA18,RULES!$A:$T,20,0)*1,0)</f>
        <v/>
      </c>
      <c r="AT18" s="29">
        <f>IFERROR(VLOOKUP(AA18,RULES!$A:$U,21,0)*1,0)</f>
        <v/>
      </c>
      <c r="AU18" s="29">
        <f>IFERROR(VLOOKUP(AA18,RULES!$A:$V,22,0)*1,0)</f>
        <v/>
      </c>
      <c r="AV18" s="29">
        <f>IFERROR(VLOOKUP(AA18,RULES!$A:$W,23,0)*1,0)</f>
        <v/>
      </c>
      <c r="AW18" s="29">
        <f>IFERROR(IF(VLOOKUP(AA18,RULES!$A:$X,24,0)="",999999,VLOOKUP(AA18,RULES!$A:$X,24,0)*1),999999)</f>
        <v/>
      </c>
      <c r="AX18" s="29">
        <f>IFERROR(VLOOKUP(AA18,RULES!$A:$Y,25,0)*1,0)</f>
        <v/>
      </c>
      <c r="AY18" s="29">
        <f>IFERROR(VLOOKUP(AA18,RULES!$A:$Z,26,0),"NONE")</f>
        <v/>
      </c>
      <c r="AZ18" s="29">
        <f>IFERROR(VLOOKUP(AA18,RULES!$A:$AA,27,0)*1,0)</f>
        <v/>
      </c>
      <c r="BA18" s="29">
        <f>IFERROR(VLOOKUP(AA18,RULES!$A:$AB,28,0)*1,0)</f>
        <v/>
      </c>
    </row>
    <row r="19" ht="17" customHeight="1">
      <c r="A19" s="22" t="inlineStr">
        <is>
          <t>3616</t>
        </is>
      </c>
      <c r="B19" s="48" t="inlineStr">
        <is>
          <t>ACC006</t>
        </is>
      </c>
      <c r="C19" s="48" t="inlineStr">
        <is>
          <t>DEFAULT</t>
        </is>
      </c>
      <c r="D19" s="47" t="n"/>
      <c r="E19" s="22">
        <f>IF(OR(D19="",D19=0),"INACTIVE","ACTIVE")</f>
        <v/>
      </c>
      <c r="F19" s="48" t="inlineStr">
        <is>
          <t>NORMAL</t>
        </is>
      </c>
      <c r="G19" s="25" t="n"/>
      <c r="H19" s="25" t="n"/>
      <c r="I19" s="26">
        <f>IF(OR(E19="INACTIVE",H19=""),0,MAX(0,H19-G19))</f>
        <v/>
      </c>
      <c r="J19" s="23" t="n"/>
      <c r="K19" s="26">
        <f>IF(OR(E19="INACTIVE",H19=""),0,IF(AB19="DISABLED",0,IF(AB19="FLAT",AE19,IF(AB19="MANUAL",IF(J19="",0,J19*AC19),IF(AB19="STEP",IF(I19&lt;=AF19,I19*AG19,IF(I19&lt;=AH19,AF19*AG19+(I19-AF19)*AI19,AF19*AG19+(AH19-AF19)*AI19+(I19-AH19)*AK19)),MAX(I19*AC19,AD19))))))</f>
        <v/>
      </c>
      <c r="L19" s="26">
        <f>IF(OR(E19="INACTIVE",H19=""),0,IF(AL19="NONE",0,IF(AL19="FLAT",AM19,IF(AL19="PER_UNIT",I19*AN19,IF(AL19="MANUAL",IF(M19="",0,M19),0)))))</f>
        <v/>
      </c>
      <c r="M19" s="23" t="n"/>
      <c r="N19" s="48" t="inlineStr">
        <is>
          <t>NORMAL</t>
        </is>
      </c>
      <c r="O19" s="25" t="n"/>
      <c r="P19" s="25" t="n"/>
      <c r="Q19" s="26">
        <f>IF(OR(E19="INACTIVE",P19=""),0,MAX(0,P19-O19))</f>
        <v/>
      </c>
      <c r="R19" s="23" t="n"/>
      <c r="S19" s="26">
        <f>IF(OR(E19="INACTIVE",P19=""),0,IF(AO19="DISABLED",0,IF(AO19="FLAT",AR19,IF(AO19="MANUAL",IF(R19="",0,R19*AP19),IF(AO19="STEP",IF(Q19&lt;=AS19,Q19*AT19,IF(Q19&lt;=AU19,AS19*AT19+(Q19-AS19)*AV19,AS19*AT19+(AU19-AS19)*AV19+(Q19-AU19)*AX19)),MAX(Q19*AP19,AQ19))))))</f>
        <v/>
      </c>
      <c r="T19" s="26">
        <f>IF(OR(E19="INACTIVE",P19=""),0,IF(AY19="NONE",0,IF(AY19="FLAT",AZ19,IF(AY19="PER_UNIT",Q19*BA19,IF(AY19="MANUAL",IF(U19="",0,U19),0)))))</f>
        <v/>
      </c>
      <c r="U19" s="23" t="n"/>
      <c r="V19" s="25" t="n"/>
      <c r="W19" s="25" t="n"/>
      <c r="X19" s="26">
        <f>IF(E19="INACTIVE",0,D19+K19+L19+S19+T19+IF(V19="",0,V19)+IF(W19="",0,W19))</f>
        <v/>
      </c>
      <c r="Y19" s="27" t="n"/>
      <c r="Z19" s="28">
        <f>IF(E19="INACTIVE","_",IF(AND(G19&gt;0,H19&gt;0,H19&lt;G19),"[!]น้ำ reset ","")&amp;IF(AND(O19&gt;0,P19&gt;0,P19&lt;O19),"[!]ไฟ reset ","")&amp;IF(AND(F19="MANUAL",J19=""),"[X]units น้ำ ","")&amp;IF(AND(N19="MANUAL",R19=""),"[X]units ไฟ ","")&amp;IF(D19=0,"[!]ค่าเช่า=0",""))</f>
        <v/>
      </c>
      <c r="AA19" s="29">
        <f>IF(C19&lt;&gt;"",C19,CONFIG!$B$6)</f>
        <v/>
      </c>
      <c r="AB19" s="29">
        <f>IF(F19&lt;&gt;"",F19,IFERROR(VLOOKUP(AA19,RULES!$A:$C,3,0),CONFIG!$B$7))</f>
        <v/>
      </c>
      <c r="AC19" s="29">
        <f>IF(IFERROR(VLOOKUP(AA19,RULES!$A:$D,4,0),"")="",CONFIG!$B$10,VLOOKUP(AA19,RULES!$A:$D,4,0))</f>
        <v/>
      </c>
      <c r="AD19" s="29">
        <f>IF(IFERROR(VLOOKUP(AA19,RULES!$A:$E,5,0),"")="",CONFIG!$B$11,VLOOKUP(AA19,RULES!$A:$E,5,0))</f>
        <v/>
      </c>
      <c r="AE19" s="29">
        <f>IFERROR(VLOOKUP(AA19,RULES!$A:$F,6,0)*1,0)</f>
        <v/>
      </c>
      <c r="AF19" s="29">
        <f>IFERROR(VLOOKUP(AA19,RULES!$A:$G,7,0)*1,0)</f>
        <v/>
      </c>
      <c r="AG19" s="29">
        <f>IFERROR(VLOOKUP(AA19,RULES!$A:$H,8,0)*1,0)</f>
        <v/>
      </c>
      <c r="AH19" s="29">
        <f>IFERROR(VLOOKUP(AA19,RULES!$A:$I,9,0)*1,0)</f>
        <v/>
      </c>
      <c r="AI19" s="29">
        <f>IFERROR(VLOOKUP(AA19,RULES!$A:$J,10,0)*1,0)</f>
        <v/>
      </c>
      <c r="AJ19" s="29">
        <f>IFERROR(IF(VLOOKUP(AA19,RULES!$A:$K,11,0)="",999999,VLOOKUP(AA19,RULES!$A:$K,11,0)*1),999999)</f>
        <v/>
      </c>
      <c r="AK19" s="29">
        <f>IFERROR(VLOOKUP(AA19,RULES!$A:$L,12,0)*1,0)</f>
        <v/>
      </c>
      <c r="AL19" s="29">
        <f>IFERROR(VLOOKUP(AA19,RULES!$A:$M,13,0),"NONE")</f>
        <v/>
      </c>
      <c r="AM19" s="29">
        <f>IFERROR(VLOOKUP(AA19,RULES!$A:$N,14,0)*1,0)</f>
        <v/>
      </c>
      <c r="AN19" s="29">
        <f>IFERROR(VLOOKUP(AA19,RULES!$A:$O,15,0)*1,0)</f>
        <v/>
      </c>
      <c r="AO19" s="29">
        <f>IF(N19&lt;&gt;"",N19,IFERROR(VLOOKUP(AA19,RULES!$A:$P,16,0),CONFIG!$B$8))</f>
        <v/>
      </c>
      <c r="AP19" s="29">
        <f>IF(IFERROR(VLOOKUP(AA19,RULES!$A:$Q,17,0),"")="",CONFIG!$B$13,VLOOKUP(AA19,RULES!$A:$Q,17,0))</f>
        <v/>
      </c>
      <c r="AQ19" s="29">
        <f>IF(IFERROR(VLOOKUP(AA19,RULES!$A:$R,18,0),"")="",CONFIG!$B$14,VLOOKUP(AA19,RULES!$A:$R,18,0))</f>
        <v/>
      </c>
      <c r="AR19" s="29">
        <f>IFERROR(VLOOKUP(AA19,RULES!$A:$S,19,0)*1,0)</f>
        <v/>
      </c>
      <c r="AS19" s="29">
        <f>IFERROR(VLOOKUP(AA19,RULES!$A:$T,20,0)*1,0)</f>
        <v/>
      </c>
      <c r="AT19" s="29">
        <f>IFERROR(VLOOKUP(AA19,RULES!$A:$U,21,0)*1,0)</f>
        <v/>
      </c>
      <c r="AU19" s="29">
        <f>IFERROR(VLOOKUP(AA19,RULES!$A:$V,22,0)*1,0)</f>
        <v/>
      </c>
      <c r="AV19" s="29">
        <f>IFERROR(VLOOKUP(AA19,RULES!$A:$W,23,0)*1,0)</f>
        <v/>
      </c>
      <c r="AW19" s="29">
        <f>IFERROR(IF(VLOOKUP(AA19,RULES!$A:$X,24,0)="",999999,VLOOKUP(AA19,RULES!$A:$X,24,0)*1),999999)</f>
        <v/>
      </c>
      <c r="AX19" s="29">
        <f>IFERROR(VLOOKUP(AA19,RULES!$A:$Y,25,0)*1,0)</f>
        <v/>
      </c>
      <c r="AY19" s="29">
        <f>IFERROR(VLOOKUP(AA19,RULES!$A:$Z,26,0),"NONE")</f>
        <v/>
      </c>
      <c r="AZ19" s="29">
        <f>IFERROR(VLOOKUP(AA19,RULES!$A:$AA,27,0)*1,0)</f>
        <v/>
      </c>
      <c r="BA19" s="29">
        <f>IFERROR(VLOOKUP(AA19,RULES!$A:$AB,28,0)*1,0)</f>
        <v/>
      </c>
    </row>
    <row r="20" ht="17" customHeight="1">
      <c r="A20" s="22" t="inlineStr">
        <is>
          <t>3617</t>
        </is>
      </c>
      <c r="B20" s="48" t="inlineStr">
        <is>
          <t>ACC006</t>
        </is>
      </c>
      <c r="C20" s="48" t="inlineStr">
        <is>
          <t>DEFAULT</t>
        </is>
      </c>
      <c r="D20" s="47" t="n"/>
      <c r="E20" s="22">
        <f>IF(OR(D20="",D20=0),"INACTIVE","ACTIVE")</f>
        <v/>
      </c>
      <c r="F20" s="48" t="inlineStr">
        <is>
          <t>NORMAL</t>
        </is>
      </c>
      <c r="G20" s="25" t="n"/>
      <c r="H20" s="25" t="n"/>
      <c r="I20" s="26">
        <f>IF(OR(E20="INACTIVE",H20=""),0,MAX(0,H20-G20))</f>
        <v/>
      </c>
      <c r="J20" s="23" t="n"/>
      <c r="K20" s="26">
        <f>IF(OR(E20="INACTIVE",H20=""),0,IF(AB20="DISABLED",0,IF(AB20="FLAT",AE20,IF(AB20="MANUAL",IF(J20="",0,J20*AC20),IF(AB20="STEP",IF(I20&lt;=AF20,I20*AG20,IF(I20&lt;=AH20,AF20*AG20+(I20-AF20)*AI20,AF20*AG20+(AH20-AF20)*AI20+(I20-AH20)*AK20)),MAX(I20*AC20,AD20))))))</f>
        <v/>
      </c>
      <c r="L20" s="26">
        <f>IF(OR(E20="INACTIVE",H20=""),0,IF(AL20="NONE",0,IF(AL20="FLAT",AM20,IF(AL20="PER_UNIT",I20*AN20,IF(AL20="MANUAL",IF(M20="",0,M20),0)))))</f>
        <v/>
      </c>
      <c r="M20" s="23" t="n"/>
      <c r="N20" s="48" t="inlineStr">
        <is>
          <t>NORMAL</t>
        </is>
      </c>
      <c r="O20" s="25" t="n"/>
      <c r="P20" s="25" t="n"/>
      <c r="Q20" s="26">
        <f>IF(OR(E20="INACTIVE",P20=""),0,MAX(0,P20-O20))</f>
        <v/>
      </c>
      <c r="R20" s="23" t="n"/>
      <c r="S20" s="26">
        <f>IF(OR(E20="INACTIVE",P20=""),0,IF(AO20="DISABLED",0,IF(AO20="FLAT",AR20,IF(AO20="MANUAL",IF(R20="",0,R20*AP20),IF(AO20="STEP",IF(Q20&lt;=AS20,Q20*AT20,IF(Q20&lt;=AU20,AS20*AT20+(Q20-AS20)*AV20,AS20*AT20+(AU20-AS20)*AV20+(Q20-AU20)*AX20)),MAX(Q20*AP20,AQ20))))))</f>
        <v/>
      </c>
      <c r="T20" s="26">
        <f>IF(OR(E20="INACTIVE",P20=""),0,IF(AY20="NONE",0,IF(AY20="FLAT",AZ20,IF(AY20="PER_UNIT",Q20*BA20,IF(AY20="MANUAL",IF(U20="",0,U20),0)))))</f>
        <v/>
      </c>
      <c r="U20" s="23" t="n"/>
      <c r="V20" s="25" t="n"/>
      <c r="W20" s="25" t="n"/>
      <c r="X20" s="26">
        <f>IF(E20="INACTIVE",0,D20+K20+L20+S20+T20+IF(V20="",0,V20)+IF(W20="",0,W20))</f>
        <v/>
      </c>
      <c r="Y20" s="27" t="n"/>
      <c r="Z20" s="28">
        <f>IF(E20="INACTIVE","_",IF(AND(G20&gt;0,H20&gt;0,H20&lt;G20),"[!]น้ำ reset ","")&amp;IF(AND(O20&gt;0,P20&gt;0,P20&lt;O20),"[!]ไฟ reset ","")&amp;IF(AND(F20="MANUAL",J20=""),"[X]units น้ำ ","")&amp;IF(AND(N20="MANUAL",R20=""),"[X]units ไฟ ","")&amp;IF(D20=0,"[!]ค่าเช่า=0",""))</f>
        <v/>
      </c>
      <c r="AA20" s="29">
        <f>IF(C20&lt;&gt;"",C20,CONFIG!$B$6)</f>
        <v/>
      </c>
      <c r="AB20" s="29">
        <f>IF(F20&lt;&gt;"",F20,IFERROR(VLOOKUP(AA20,RULES!$A:$C,3,0),CONFIG!$B$7))</f>
        <v/>
      </c>
      <c r="AC20" s="29">
        <f>IF(IFERROR(VLOOKUP(AA20,RULES!$A:$D,4,0),"")="",CONFIG!$B$10,VLOOKUP(AA20,RULES!$A:$D,4,0))</f>
        <v/>
      </c>
      <c r="AD20" s="29">
        <f>IF(IFERROR(VLOOKUP(AA20,RULES!$A:$E,5,0),"")="",CONFIG!$B$11,VLOOKUP(AA20,RULES!$A:$E,5,0))</f>
        <v/>
      </c>
      <c r="AE20" s="29">
        <f>IFERROR(VLOOKUP(AA20,RULES!$A:$F,6,0)*1,0)</f>
        <v/>
      </c>
      <c r="AF20" s="29">
        <f>IFERROR(VLOOKUP(AA20,RULES!$A:$G,7,0)*1,0)</f>
        <v/>
      </c>
      <c r="AG20" s="29">
        <f>IFERROR(VLOOKUP(AA20,RULES!$A:$H,8,0)*1,0)</f>
        <v/>
      </c>
      <c r="AH20" s="29">
        <f>IFERROR(VLOOKUP(AA20,RULES!$A:$I,9,0)*1,0)</f>
        <v/>
      </c>
      <c r="AI20" s="29">
        <f>IFERROR(VLOOKUP(AA20,RULES!$A:$J,10,0)*1,0)</f>
        <v/>
      </c>
      <c r="AJ20" s="29">
        <f>IFERROR(IF(VLOOKUP(AA20,RULES!$A:$K,11,0)="",999999,VLOOKUP(AA20,RULES!$A:$K,11,0)*1),999999)</f>
        <v/>
      </c>
      <c r="AK20" s="29">
        <f>IFERROR(VLOOKUP(AA20,RULES!$A:$L,12,0)*1,0)</f>
        <v/>
      </c>
      <c r="AL20" s="29">
        <f>IFERROR(VLOOKUP(AA20,RULES!$A:$M,13,0),"NONE")</f>
        <v/>
      </c>
      <c r="AM20" s="29">
        <f>IFERROR(VLOOKUP(AA20,RULES!$A:$N,14,0)*1,0)</f>
        <v/>
      </c>
      <c r="AN20" s="29">
        <f>IFERROR(VLOOKUP(AA20,RULES!$A:$O,15,0)*1,0)</f>
        <v/>
      </c>
      <c r="AO20" s="29">
        <f>IF(N20&lt;&gt;"",N20,IFERROR(VLOOKUP(AA20,RULES!$A:$P,16,0),CONFIG!$B$8))</f>
        <v/>
      </c>
      <c r="AP20" s="29">
        <f>IF(IFERROR(VLOOKUP(AA20,RULES!$A:$Q,17,0),"")="",CONFIG!$B$13,VLOOKUP(AA20,RULES!$A:$Q,17,0))</f>
        <v/>
      </c>
      <c r="AQ20" s="29">
        <f>IF(IFERROR(VLOOKUP(AA20,RULES!$A:$R,18,0),"")="",CONFIG!$B$14,VLOOKUP(AA20,RULES!$A:$R,18,0))</f>
        <v/>
      </c>
      <c r="AR20" s="29">
        <f>IFERROR(VLOOKUP(AA20,RULES!$A:$S,19,0)*1,0)</f>
        <v/>
      </c>
      <c r="AS20" s="29">
        <f>IFERROR(VLOOKUP(AA20,RULES!$A:$T,20,0)*1,0)</f>
        <v/>
      </c>
      <c r="AT20" s="29">
        <f>IFERROR(VLOOKUP(AA20,RULES!$A:$U,21,0)*1,0)</f>
        <v/>
      </c>
      <c r="AU20" s="29">
        <f>IFERROR(VLOOKUP(AA20,RULES!$A:$V,22,0)*1,0)</f>
        <v/>
      </c>
      <c r="AV20" s="29">
        <f>IFERROR(VLOOKUP(AA20,RULES!$A:$W,23,0)*1,0)</f>
        <v/>
      </c>
      <c r="AW20" s="29">
        <f>IFERROR(IF(VLOOKUP(AA20,RULES!$A:$X,24,0)="",999999,VLOOKUP(AA20,RULES!$A:$X,24,0)*1),999999)</f>
        <v/>
      </c>
      <c r="AX20" s="29">
        <f>IFERROR(VLOOKUP(AA20,RULES!$A:$Y,25,0)*1,0)</f>
        <v/>
      </c>
      <c r="AY20" s="29">
        <f>IFERROR(VLOOKUP(AA20,RULES!$A:$Z,26,0),"NONE")</f>
        <v/>
      </c>
      <c r="AZ20" s="29">
        <f>IFERROR(VLOOKUP(AA20,RULES!$A:$AA,27,0)*1,0)</f>
        <v/>
      </c>
      <c r="BA20" s="29">
        <f>IFERROR(VLOOKUP(AA20,RULES!$A:$AB,28,0)*1,0)</f>
        <v/>
      </c>
    </row>
    <row r="21" ht="17" customHeight="1">
      <c r="A21" s="22" t="inlineStr">
        <is>
          <t>3618</t>
        </is>
      </c>
      <c r="B21" s="48" t="inlineStr">
        <is>
          <t>ACC006</t>
        </is>
      </c>
      <c r="C21" s="48" t="inlineStr">
        <is>
          <t>DEFAULT</t>
        </is>
      </c>
      <c r="D21" s="47" t="n"/>
      <c r="E21" s="22">
        <f>IF(OR(D21="",D21=0),"INACTIVE","ACTIVE")</f>
        <v/>
      </c>
      <c r="F21" s="48" t="inlineStr">
        <is>
          <t>NORMAL</t>
        </is>
      </c>
      <c r="G21" s="25" t="n"/>
      <c r="H21" s="25" t="n"/>
      <c r="I21" s="26">
        <f>IF(OR(E21="INACTIVE",H21=""),0,MAX(0,H21-G21))</f>
        <v/>
      </c>
      <c r="J21" s="23" t="n"/>
      <c r="K21" s="26">
        <f>IF(OR(E21="INACTIVE",H21=""),0,IF(AB21="DISABLED",0,IF(AB21="FLAT",AE21,IF(AB21="MANUAL",IF(J21="",0,J21*AC21),IF(AB21="STEP",IF(I21&lt;=AF21,I21*AG21,IF(I21&lt;=AH21,AF21*AG21+(I21-AF21)*AI21,AF21*AG21+(AH21-AF21)*AI21+(I21-AH21)*AK21)),MAX(I21*AC21,AD21))))))</f>
        <v/>
      </c>
      <c r="L21" s="26">
        <f>IF(OR(E21="INACTIVE",H21=""),0,IF(AL21="NONE",0,IF(AL21="FLAT",AM21,IF(AL21="PER_UNIT",I21*AN21,IF(AL21="MANUAL",IF(M21="",0,M21),0)))))</f>
        <v/>
      </c>
      <c r="M21" s="23" t="n"/>
      <c r="N21" s="48" t="inlineStr">
        <is>
          <t>NORMAL</t>
        </is>
      </c>
      <c r="O21" s="25" t="n"/>
      <c r="P21" s="25" t="n"/>
      <c r="Q21" s="26">
        <f>IF(OR(E21="INACTIVE",P21=""),0,MAX(0,P21-O21))</f>
        <v/>
      </c>
      <c r="R21" s="23" t="n"/>
      <c r="S21" s="26">
        <f>IF(OR(E21="INACTIVE",P21=""),0,IF(AO21="DISABLED",0,IF(AO21="FLAT",AR21,IF(AO21="MANUAL",IF(R21="",0,R21*AP21),IF(AO21="STEP",IF(Q21&lt;=AS21,Q21*AT21,IF(Q21&lt;=AU21,AS21*AT21+(Q21-AS21)*AV21,AS21*AT21+(AU21-AS21)*AV21+(Q21-AU21)*AX21)),MAX(Q21*AP21,AQ21))))))</f>
        <v/>
      </c>
      <c r="T21" s="26">
        <f>IF(OR(E21="INACTIVE",P21=""),0,IF(AY21="NONE",0,IF(AY21="FLAT",AZ21,IF(AY21="PER_UNIT",Q21*BA21,IF(AY21="MANUAL",IF(U21="",0,U21),0)))))</f>
        <v/>
      </c>
      <c r="U21" s="23" t="n"/>
      <c r="V21" s="25" t="n"/>
      <c r="W21" s="25" t="n"/>
      <c r="X21" s="26">
        <f>IF(E21="INACTIVE",0,D21+K21+L21+S21+T21+IF(V21="",0,V21)+IF(W21="",0,W21))</f>
        <v/>
      </c>
      <c r="Y21" s="27" t="n"/>
      <c r="Z21" s="28">
        <f>IF(E21="INACTIVE","_",IF(AND(G21&gt;0,H21&gt;0,H21&lt;G21),"[!]น้ำ reset ","")&amp;IF(AND(O21&gt;0,P21&gt;0,P21&lt;O21),"[!]ไฟ reset ","")&amp;IF(AND(F21="MANUAL",J21=""),"[X]units น้ำ ","")&amp;IF(AND(N21="MANUAL",R21=""),"[X]units ไฟ ","")&amp;IF(D21=0,"[!]ค่าเช่า=0",""))</f>
        <v/>
      </c>
      <c r="AA21" s="29">
        <f>IF(C21&lt;&gt;"",C21,CONFIG!$B$6)</f>
        <v/>
      </c>
      <c r="AB21" s="29">
        <f>IF(F21&lt;&gt;"",F21,IFERROR(VLOOKUP(AA21,RULES!$A:$C,3,0),CONFIG!$B$7))</f>
        <v/>
      </c>
      <c r="AC21" s="29">
        <f>IF(IFERROR(VLOOKUP(AA21,RULES!$A:$D,4,0),"")="",CONFIG!$B$10,VLOOKUP(AA21,RULES!$A:$D,4,0))</f>
        <v/>
      </c>
      <c r="AD21" s="29">
        <f>IF(IFERROR(VLOOKUP(AA21,RULES!$A:$E,5,0),"")="",CONFIG!$B$11,VLOOKUP(AA21,RULES!$A:$E,5,0))</f>
        <v/>
      </c>
      <c r="AE21" s="29">
        <f>IFERROR(VLOOKUP(AA21,RULES!$A:$F,6,0)*1,0)</f>
        <v/>
      </c>
      <c r="AF21" s="29">
        <f>IFERROR(VLOOKUP(AA21,RULES!$A:$G,7,0)*1,0)</f>
        <v/>
      </c>
      <c r="AG21" s="29">
        <f>IFERROR(VLOOKUP(AA21,RULES!$A:$H,8,0)*1,0)</f>
        <v/>
      </c>
      <c r="AH21" s="29">
        <f>IFERROR(VLOOKUP(AA21,RULES!$A:$I,9,0)*1,0)</f>
        <v/>
      </c>
      <c r="AI21" s="29">
        <f>IFERROR(VLOOKUP(AA21,RULES!$A:$J,10,0)*1,0)</f>
        <v/>
      </c>
      <c r="AJ21" s="29">
        <f>IFERROR(IF(VLOOKUP(AA21,RULES!$A:$K,11,0)="",999999,VLOOKUP(AA21,RULES!$A:$K,11,0)*1),999999)</f>
        <v/>
      </c>
      <c r="AK21" s="29">
        <f>IFERROR(VLOOKUP(AA21,RULES!$A:$L,12,0)*1,0)</f>
        <v/>
      </c>
      <c r="AL21" s="29">
        <f>IFERROR(VLOOKUP(AA21,RULES!$A:$M,13,0),"NONE")</f>
        <v/>
      </c>
      <c r="AM21" s="29">
        <f>IFERROR(VLOOKUP(AA21,RULES!$A:$N,14,0)*1,0)</f>
        <v/>
      </c>
      <c r="AN21" s="29">
        <f>IFERROR(VLOOKUP(AA21,RULES!$A:$O,15,0)*1,0)</f>
        <v/>
      </c>
      <c r="AO21" s="29">
        <f>IF(N21&lt;&gt;"",N21,IFERROR(VLOOKUP(AA21,RULES!$A:$P,16,0),CONFIG!$B$8))</f>
        <v/>
      </c>
      <c r="AP21" s="29">
        <f>IF(IFERROR(VLOOKUP(AA21,RULES!$A:$Q,17,0),"")="",CONFIG!$B$13,VLOOKUP(AA21,RULES!$A:$Q,17,0))</f>
        <v/>
      </c>
      <c r="AQ21" s="29">
        <f>IF(IFERROR(VLOOKUP(AA21,RULES!$A:$R,18,0),"")="",CONFIG!$B$14,VLOOKUP(AA21,RULES!$A:$R,18,0))</f>
        <v/>
      </c>
      <c r="AR21" s="29">
        <f>IFERROR(VLOOKUP(AA21,RULES!$A:$S,19,0)*1,0)</f>
        <v/>
      </c>
      <c r="AS21" s="29">
        <f>IFERROR(VLOOKUP(AA21,RULES!$A:$T,20,0)*1,0)</f>
        <v/>
      </c>
      <c r="AT21" s="29">
        <f>IFERROR(VLOOKUP(AA21,RULES!$A:$U,21,0)*1,0)</f>
        <v/>
      </c>
      <c r="AU21" s="29">
        <f>IFERROR(VLOOKUP(AA21,RULES!$A:$V,22,0)*1,0)</f>
        <v/>
      </c>
      <c r="AV21" s="29">
        <f>IFERROR(VLOOKUP(AA21,RULES!$A:$W,23,0)*1,0)</f>
        <v/>
      </c>
      <c r="AW21" s="29">
        <f>IFERROR(IF(VLOOKUP(AA21,RULES!$A:$X,24,0)="",999999,VLOOKUP(AA21,RULES!$A:$X,24,0)*1),999999)</f>
        <v/>
      </c>
      <c r="AX21" s="29">
        <f>IFERROR(VLOOKUP(AA21,RULES!$A:$Y,25,0)*1,0)</f>
        <v/>
      </c>
      <c r="AY21" s="29">
        <f>IFERROR(VLOOKUP(AA21,RULES!$A:$Z,26,0),"NONE")</f>
        <v/>
      </c>
      <c r="AZ21" s="29">
        <f>IFERROR(VLOOKUP(AA21,RULES!$A:$AA,27,0)*1,0)</f>
        <v/>
      </c>
      <c r="BA21" s="29">
        <f>IFERROR(VLOOKUP(AA21,RULES!$A:$AB,28,0)*1,0)</f>
        <v/>
      </c>
    </row>
    <row r="22" ht="17" customHeight="1">
      <c r="A22" s="22" t="inlineStr">
        <is>
          <t>3619</t>
        </is>
      </c>
      <c r="B22" s="48" t="inlineStr">
        <is>
          <t>ACC006</t>
        </is>
      </c>
      <c r="C22" s="48" t="inlineStr">
        <is>
          <t>DEFAULT</t>
        </is>
      </c>
      <c r="D22" s="47" t="n"/>
      <c r="E22" s="22">
        <f>IF(OR(D22="",D22=0),"INACTIVE","ACTIVE")</f>
        <v/>
      </c>
      <c r="F22" s="48" t="inlineStr">
        <is>
          <t>NORMAL</t>
        </is>
      </c>
      <c r="G22" s="25" t="n"/>
      <c r="H22" s="25" t="n"/>
      <c r="I22" s="26">
        <f>IF(OR(E22="INACTIVE",H22=""),0,MAX(0,H22-G22))</f>
        <v/>
      </c>
      <c r="J22" s="23" t="n"/>
      <c r="K22" s="26">
        <f>IF(OR(E22="INACTIVE",H22=""),0,IF(AB22="DISABLED",0,IF(AB22="FLAT",AE22,IF(AB22="MANUAL",IF(J22="",0,J22*AC22),IF(AB22="STEP",IF(I22&lt;=AF22,I22*AG22,IF(I22&lt;=AH22,AF22*AG22+(I22-AF22)*AI22,AF22*AG22+(AH22-AF22)*AI22+(I22-AH22)*AK22)),MAX(I22*AC22,AD22))))))</f>
        <v/>
      </c>
      <c r="L22" s="26">
        <f>IF(OR(E22="INACTIVE",H22=""),0,IF(AL22="NONE",0,IF(AL22="FLAT",AM22,IF(AL22="PER_UNIT",I22*AN22,IF(AL22="MANUAL",IF(M22="",0,M22),0)))))</f>
        <v/>
      </c>
      <c r="M22" s="23" t="n"/>
      <c r="N22" s="48" t="inlineStr">
        <is>
          <t>NORMAL</t>
        </is>
      </c>
      <c r="O22" s="25" t="n"/>
      <c r="P22" s="25" t="n"/>
      <c r="Q22" s="26">
        <f>IF(OR(E22="INACTIVE",P22=""),0,MAX(0,P22-O22))</f>
        <v/>
      </c>
      <c r="R22" s="23" t="n"/>
      <c r="S22" s="26">
        <f>IF(OR(E22="INACTIVE",P22=""),0,IF(AO22="DISABLED",0,IF(AO22="FLAT",AR22,IF(AO22="MANUAL",IF(R22="",0,R22*AP22),IF(AO22="STEP",IF(Q22&lt;=AS22,Q22*AT22,IF(Q22&lt;=AU22,AS22*AT22+(Q22-AS22)*AV22,AS22*AT22+(AU22-AS22)*AV22+(Q22-AU22)*AX22)),MAX(Q22*AP22,AQ22))))))</f>
        <v/>
      </c>
      <c r="T22" s="26">
        <f>IF(OR(E22="INACTIVE",P22=""),0,IF(AY22="NONE",0,IF(AY22="FLAT",AZ22,IF(AY22="PER_UNIT",Q22*BA22,IF(AY22="MANUAL",IF(U22="",0,U22),0)))))</f>
        <v/>
      </c>
      <c r="U22" s="23" t="n"/>
      <c r="V22" s="25" t="n"/>
      <c r="W22" s="25" t="n"/>
      <c r="X22" s="26">
        <f>IF(E22="INACTIVE",0,D22+K22+L22+S22+T22+IF(V22="",0,V22)+IF(W22="",0,W22))</f>
        <v/>
      </c>
      <c r="Y22" s="27" t="n"/>
      <c r="Z22" s="28">
        <f>IF(E22="INACTIVE","_",IF(AND(G22&gt;0,H22&gt;0,H22&lt;G22),"[!]น้ำ reset ","")&amp;IF(AND(O22&gt;0,P22&gt;0,P22&lt;O22),"[!]ไฟ reset ","")&amp;IF(AND(F22="MANUAL",J22=""),"[X]units น้ำ ","")&amp;IF(AND(N22="MANUAL",R22=""),"[X]units ไฟ ","")&amp;IF(D22=0,"[!]ค่าเช่า=0",""))</f>
        <v/>
      </c>
      <c r="AA22" s="29">
        <f>IF(C22&lt;&gt;"",C22,CONFIG!$B$6)</f>
        <v/>
      </c>
      <c r="AB22" s="29">
        <f>IF(F22&lt;&gt;"",F22,IFERROR(VLOOKUP(AA22,RULES!$A:$C,3,0),CONFIG!$B$7))</f>
        <v/>
      </c>
      <c r="AC22" s="29">
        <f>IF(IFERROR(VLOOKUP(AA22,RULES!$A:$D,4,0),"")="",CONFIG!$B$10,VLOOKUP(AA22,RULES!$A:$D,4,0))</f>
        <v/>
      </c>
      <c r="AD22" s="29">
        <f>IF(IFERROR(VLOOKUP(AA22,RULES!$A:$E,5,0),"")="",CONFIG!$B$11,VLOOKUP(AA22,RULES!$A:$E,5,0))</f>
        <v/>
      </c>
      <c r="AE22" s="29">
        <f>IFERROR(VLOOKUP(AA22,RULES!$A:$F,6,0)*1,0)</f>
        <v/>
      </c>
      <c r="AF22" s="29">
        <f>IFERROR(VLOOKUP(AA22,RULES!$A:$G,7,0)*1,0)</f>
        <v/>
      </c>
      <c r="AG22" s="29">
        <f>IFERROR(VLOOKUP(AA22,RULES!$A:$H,8,0)*1,0)</f>
        <v/>
      </c>
      <c r="AH22" s="29">
        <f>IFERROR(VLOOKUP(AA22,RULES!$A:$I,9,0)*1,0)</f>
        <v/>
      </c>
      <c r="AI22" s="29">
        <f>IFERROR(VLOOKUP(AA22,RULES!$A:$J,10,0)*1,0)</f>
        <v/>
      </c>
      <c r="AJ22" s="29">
        <f>IFERROR(IF(VLOOKUP(AA22,RULES!$A:$K,11,0)="",999999,VLOOKUP(AA22,RULES!$A:$K,11,0)*1),999999)</f>
        <v/>
      </c>
      <c r="AK22" s="29">
        <f>IFERROR(VLOOKUP(AA22,RULES!$A:$L,12,0)*1,0)</f>
        <v/>
      </c>
      <c r="AL22" s="29">
        <f>IFERROR(VLOOKUP(AA22,RULES!$A:$M,13,0),"NONE")</f>
        <v/>
      </c>
      <c r="AM22" s="29">
        <f>IFERROR(VLOOKUP(AA22,RULES!$A:$N,14,0)*1,0)</f>
        <v/>
      </c>
      <c r="AN22" s="29">
        <f>IFERROR(VLOOKUP(AA22,RULES!$A:$O,15,0)*1,0)</f>
        <v/>
      </c>
      <c r="AO22" s="29">
        <f>IF(N22&lt;&gt;"",N22,IFERROR(VLOOKUP(AA22,RULES!$A:$P,16,0),CONFIG!$B$8))</f>
        <v/>
      </c>
      <c r="AP22" s="29">
        <f>IF(IFERROR(VLOOKUP(AA22,RULES!$A:$Q,17,0),"")="",CONFIG!$B$13,VLOOKUP(AA22,RULES!$A:$Q,17,0))</f>
        <v/>
      </c>
      <c r="AQ22" s="29">
        <f>IF(IFERROR(VLOOKUP(AA22,RULES!$A:$R,18,0),"")="",CONFIG!$B$14,VLOOKUP(AA22,RULES!$A:$R,18,0))</f>
        <v/>
      </c>
      <c r="AR22" s="29">
        <f>IFERROR(VLOOKUP(AA22,RULES!$A:$S,19,0)*1,0)</f>
        <v/>
      </c>
      <c r="AS22" s="29">
        <f>IFERROR(VLOOKUP(AA22,RULES!$A:$T,20,0)*1,0)</f>
        <v/>
      </c>
      <c r="AT22" s="29">
        <f>IFERROR(VLOOKUP(AA22,RULES!$A:$U,21,0)*1,0)</f>
        <v/>
      </c>
      <c r="AU22" s="29">
        <f>IFERROR(VLOOKUP(AA22,RULES!$A:$V,22,0)*1,0)</f>
        <v/>
      </c>
      <c r="AV22" s="29">
        <f>IFERROR(VLOOKUP(AA22,RULES!$A:$W,23,0)*1,0)</f>
        <v/>
      </c>
      <c r="AW22" s="29">
        <f>IFERROR(IF(VLOOKUP(AA22,RULES!$A:$X,24,0)="",999999,VLOOKUP(AA22,RULES!$A:$X,24,0)*1),999999)</f>
        <v/>
      </c>
      <c r="AX22" s="29">
        <f>IFERROR(VLOOKUP(AA22,RULES!$A:$Y,25,0)*1,0)</f>
        <v/>
      </c>
      <c r="AY22" s="29">
        <f>IFERROR(VLOOKUP(AA22,RULES!$A:$Z,26,0),"NONE")</f>
        <v/>
      </c>
      <c r="AZ22" s="29">
        <f>IFERROR(VLOOKUP(AA22,RULES!$A:$AA,27,0)*1,0)</f>
        <v/>
      </c>
      <c r="BA22" s="29">
        <f>IFERROR(VLOOKUP(AA22,RULES!$A:$AB,28,0)*1,0)</f>
        <v/>
      </c>
    </row>
    <row r="23" ht="17" customHeight="1">
      <c r="A23" s="22" t="inlineStr">
        <is>
          <t>3620</t>
        </is>
      </c>
      <c r="B23" s="48" t="inlineStr">
        <is>
          <t>ACC006</t>
        </is>
      </c>
      <c r="C23" s="48" t="inlineStr">
        <is>
          <t>DEFAULT</t>
        </is>
      </c>
      <c r="D23" s="47" t="n"/>
      <c r="E23" s="22">
        <f>IF(OR(D23="",D23=0),"INACTIVE","ACTIVE")</f>
        <v/>
      </c>
      <c r="F23" s="48" t="inlineStr">
        <is>
          <t>NORMAL</t>
        </is>
      </c>
      <c r="G23" s="25" t="n"/>
      <c r="H23" s="25" t="n"/>
      <c r="I23" s="26">
        <f>IF(OR(E23="INACTIVE",H23=""),0,MAX(0,H23-G23))</f>
        <v/>
      </c>
      <c r="J23" s="23" t="n"/>
      <c r="K23" s="26">
        <f>IF(OR(E23="INACTIVE",H23=""),0,IF(AB23="DISABLED",0,IF(AB23="FLAT",AE23,IF(AB23="MANUAL",IF(J23="",0,J23*AC23),IF(AB23="STEP",IF(I23&lt;=AF23,I23*AG23,IF(I23&lt;=AH23,AF23*AG23+(I23-AF23)*AI23,AF23*AG23+(AH23-AF23)*AI23+(I23-AH23)*AK23)),MAX(I23*AC23,AD23))))))</f>
        <v/>
      </c>
      <c r="L23" s="26">
        <f>IF(OR(E23="INACTIVE",H23=""),0,IF(AL23="NONE",0,IF(AL23="FLAT",AM23,IF(AL23="PER_UNIT",I23*AN23,IF(AL23="MANUAL",IF(M23="",0,M23),0)))))</f>
        <v/>
      </c>
      <c r="M23" s="23" t="n"/>
      <c r="N23" s="48" t="inlineStr">
        <is>
          <t>NORMAL</t>
        </is>
      </c>
      <c r="O23" s="25" t="n"/>
      <c r="P23" s="25" t="n"/>
      <c r="Q23" s="26">
        <f>IF(OR(E23="INACTIVE",P23=""),0,MAX(0,P23-O23))</f>
        <v/>
      </c>
      <c r="R23" s="23" t="n"/>
      <c r="S23" s="26">
        <f>IF(OR(E23="INACTIVE",P23=""),0,IF(AO23="DISABLED",0,IF(AO23="FLAT",AR23,IF(AO23="MANUAL",IF(R23="",0,R23*AP23),IF(AO23="STEP",IF(Q23&lt;=AS23,Q23*AT23,IF(Q23&lt;=AU23,AS23*AT23+(Q23-AS23)*AV23,AS23*AT23+(AU23-AS23)*AV23+(Q23-AU23)*AX23)),MAX(Q23*AP23,AQ23))))))</f>
        <v/>
      </c>
      <c r="T23" s="26">
        <f>IF(OR(E23="INACTIVE",P23=""),0,IF(AY23="NONE",0,IF(AY23="FLAT",AZ23,IF(AY23="PER_UNIT",Q23*BA23,IF(AY23="MANUAL",IF(U23="",0,U23),0)))))</f>
        <v/>
      </c>
      <c r="U23" s="23" t="n"/>
      <c r="V23" s="25" t="n"/>
      <c r="W23" s="25" t="n"/>
      <c r="X23" s="26">
        <f>IF(E23="INACTIVE",0,D23+K23+L23+S23+T23+IF(V23="",0,V23)+IF(W23="",0,W23))</f>
        <v/>
      </c>
      <c r="Y23" s="27" t="n"/>
      <c r="Z23" s="28">
        <f>IF(E23="INACTIVE","_",IF(AND(G23&gt;0,H23&gt;0,H23&lt;G23),"[!]น้ำ reset ","")&amp;IF(AND(O23&gt;0,P23&gt;0,P23&lt;O23),"[!]ไฟ reset ","")&amp;IF(AND(F23="MANUAL",J23=""),"[X]units น้ำ ","")&amp;IF(AND(N23="MANUAL",R23=""),"[X]units ไฟ ","")&amp;IF(D23=0,"[!]ค่าเช่า=0",""))</f>
        <v/>
      </c>
      <c r="AA23" s="29">
        <f>IF(C23&lt;&gt;"",C23,CONFIG!$B$6)</f>
        <v/>
      </c>
      <c r="AB23" s="29">
        <f>IF(F23&lt;&gt;"",F23,IFERROR(VLOOKUP(AA23,RULES!$A:$C,3,0),CONFIG!$B$7))</f>
        <v/>
      </c>
      <c r="AC23" s="29">
        <f>IF(IFERROR(VLOOKUP(AA23,RULES!$A:$D,4,0),"")="",CONFIG!$B$10,VLOOKUP(AA23,RULES!$A:$D,4,0))</f>
        <v/>
      </c>
      <c r="AD23" s="29">
        <f>IF(IFERROR(VLOOKUP(AA23,RULES!$A:$E,5,0),"")="",CONFIG!$B$11,VLOOKUP(AA23,RULES!$A:$E,5,0))</f>
        <v/>
      </c>
      <c r="AE23" s="29">
        <f>IFERROR(VLOOKUP(AA23,RULES!$A:$F,6,0)*1,0)</f>
        <v/>
      </c>
      <c r="AF23" s="29">
        <f>IFERROR(VLOOKUP(AA23,RULES!$A:$G,7,0)*1,0)</f>
        <v/>
      </c>
      <c r="AG23" s="29">
        <f>IFERROR(VLOOKUP(AA23,RULES!$A:$H,8,0)*1,0)</f>
        <v/>
      </c>
      <c r="AH23" s="29">
        <f>IFERROR(VLOOKUP(AA23,RULES!$A:$I,9,0)*1,0)</f>
        <v/>
      </c>
      <c r="AI23" s="29">
        <f>IFERROR(VLOOKUP(AA23,RULES!$A:$J,10,0)*1,0)</f>
        <v/>
      </c>
      <c r="AJ23" s="29">
        <f>IFERROR(IF(VLOOKUP(AA23,RULES!$A:$K,11,0)="",999999,VLOOKUP(AA23,RULES!$A:$K,11,0)*1),999999)</f>
        <v/>
      </c>
      <c r="AK23" s="29">
        <f>IFERROR(VLOOKUP(AA23,RULES!$A:$L,12,0)*1,0)</f>
        <v/>
      </c>
      <c r="AL23" s="29">
        <f>IFERROR(VLOOKUP(AA23,RULES!$A:$M,13,0),"NONE")</f>
        <v/>
      </c>
      <c r="AM23" s="29">
        <f>IFERROR(VLOOKUP(AA23,RULES!$A:$N,14,0)*1,0)</f>
        <v/>
      </c>
      <c r="AN23" s="29">
        <f>IFERROR(VLOOKUP(AA23,RULES!$A:$O,15,0)*1,0)</f>
        <v/>
      </c>
      <c r="AO23" s="29">
        <f>IF(N23&lt;&gt;"",N23,IFERROR(VLOOKUP(AA23,RULES!$A:$P,16,0),CONFIG!$B$8))</f>
        <v/>
      </c>
      <c r="AP23" s="29">
        <f>IF(IFERROR(VLOOKUP(AA23,RULES!$A:$Q,17,0),"")="",CONFIG!$B$13,VLOOKUP(AA23,RULES!$A:$Q,17,0))</f>
        <v/>
      </c>
      <c r="AQ23" s="29">
        <f>IF(IFERROR(VLOOKUP(AA23,RULES!$A:$R,18,0),"")="",CONFIG!$B$14,VLOOKUP(AA23,RULES!$A:$R,18,0))</f>
        <v/>
      </c>
      <c r="AR23" s="29">
        <f>IFERROR(VLOOKUP(AA23,RULES!$A:$S,19,0)*1,0)</f>
        <v/>
      </c>
      <c r="AS23" s="29">
        <f>IFERROR(VLOOKUP(AA23,RULES!$A:$T,20,0)*1,0)</f>
        <v/>
      </c>
      <c r="AT23" s="29">
        <f>IFERROR(VLOOKUP(AA23,RULES!$A:$U,21,0)*1,0)</f>
        <v/>
      </c>
      <c r="AU23" s="29">
        <f>IFERROR(VLOOKUP(AA23,RULES!$A:$V,22,0)*1,0)</f>
        <v/>
      </c>
      <c r="AV23" s="29">
        <f>IFERROR(VLOOKUP(AA23,RULES!$A:$W,23,0)*1,0)</f>
        <v/>
      </c>
      <c r="AW23" s="29">
        <f>IFERROR(IF(VLOOKUP(AA23,RULES!$A:$X,24,0)="",999999,VLOOKUP(AA23,RULES!$A:$X,24,0)*1),999999)</f>
        <v/>
      </c>
      <c r="AX23" s="29">
        <f>IFERROR(VLOOKUP(AA23,RULES!$A:$Y,25,0)*1,0)</f>
        <v/>
      </c>
      <c r="AY23" s="29">
        <f>IFERROR(VLOOKUP(AA23,RULES!$A:$Z,26,0),"NONE")</f>
        <v/>
      </c>
      <c r="AZ23" s="29">
        <f>IFERROR(VLOOKUP(AA23,RULES!$A:$AA,27,0)*1,0)</f>
        <v/>
      </c>
      <c r="BA23" s="29">
        <f>IFERROR(VLOOKUP(AA23,RULES!$A:$AB,28,0)*1,0)</f>
        <v/>
      </c>
    </row>
    <row r="24" ht="17" customHeight="1">
      <c r="A24" s="22" t="inlineStr">
        <is>
          <t>3621</t>
        </is>
      </c>
      <c r="B24" s="48" t="inlineStr">
        <is>
          <t>ACC006</t>
        </is>
      </c>
      <c r="C24" s="48" t="inlineStr">
        <is>
          <t>DEFAULT</t>
        </is>
      </c>
      <c r="D24" s="47" t="n"/>
      <c r="E24" s="22">
        <f>IF(OR(D24="",D24=0),"INACTIVE","ACTIVE")</f>
        <v/>
      </c>
      <c r="F24" s="48" t="inlineStr">
        <is>
          <t>NORMAL</t>
        </is>
      </c>
      <c r="G24" s="25" t="n"/>
      <c r="H24" s="25" t="n"/>
      <c r="I24" s="26">
        <f>IF(OR(E24="INACTIVE",H24=""),0,MAX(0,H24-G24))</f>
        <v/>
      </c>
      <c r="J24" s="23" t="n"/>
      <c r="K24" s="26">
        <f>IF(OR(E24="INACTIVE",H24=""),0,IF(AB24="DISABLED",0,IF(AB24="FLAT",AE24,IF(AB24="MANUAL",IF(J24="",0,J24*AC24),IF(AB24="STEP",IF(I24&lt;=AF24,I24*AG24,IF(I24&lt;=AH24,AF24*AG24+(I24-AF24)*AI24,AF24*AG24+(AH24-AF24)*AI24+(I24-AH24)*AK24)),MAX(I24*AC24,AD24))))))</f>
        <v/>
      </c>
      <c r="L24" s="26">
        <f>IF(OR(E24="INACTIVE",H24=""),0,IF(AL24="NONE",0,IF(AL24="FLAT",AM24,IF(AL24="PER_UNIT",I24*AN24,IF(AL24="MANUAL",IF(M24="",0,M24),0)))))</f>
        <v/>
      </c>
      <c r="M24" s="23" t="n"/>
      <c r="N24" s="48" t="inlineStr">
        <is>
          <t>NORMAL</t>
        </is>
      </c>
      <c r="O24" s="25" t="n"/>
      <c r="P24" s="25" t="n"/>
      <c r="Q24" s="26">
        <f>IF(OR(E24="INACTIVE",P24=""),0,MAX(0,P24-O24))</f>
        <v/>
      </c>
      <c r="R24" s="23" t="n"/>
      <c r="S24" s="26">
        <f>IF(OR(E24="INACTIVE",P24=""),0,IF(AO24="DISABLED",0,IF(AO24="FLAT",AR24,IF(AO24="MANUAL",IF(R24="",0,R24*AP24),IF(AO24="STEP",IF(Q24&lt;=AS24,Q24*AT24,IF(Q24&lt;=AU24,AS24*AT24+(Q24-AS24)*AV24,AS24*AT24+(AU24-AS24)*AV24+(Q24-AU24)*AX24)),MAX(Q24*AP24,AQ24))))))</f>
        <v/>
      </c>
      <c r="T24" s="26">
        <f>IF(OR(E24="INACTIVE",P24=""),0,IF(AY24="NONE",0,IF(AY24="FLAT",AZ24,IF(AY24="PER_UNIT",Q24*BA24,IF(AY24="MANUAL",IF(U24="",0,U24),0)))))</f>
        <v/>
      </c>
      <c r="U24" s="23" t="n"/>
      <c r="V24" s="25" t="n"/>
      <c r="W24" s="25" t="n"/>
      <c r="X24" s="26">
        <f>IF(E24="INACTIVE",0,D24+K24+L24+S24+T24+IF(V24="",0,V24)+IF(W24="",0,W24))</f>
        <v/>
      </c>
      <c r="Y24" s="27" t="n"/>
      <c r="Z24" s="28">
        <f>IF(E24="INACTIVE","_",IF(AND(G24&gt;0,H24&gt;0,H24&lt;G24),"[!]น้ำ reset ","")&amp;IF(AND(O24&gt;0,P24&gt;0,P24&lt;O24),"[!]ไฟ reset ","")&amp;IF(AND(F24="MANUAL",J24=""),"[X]units น้ำ ","")&amp;IF(AND(N24="MANUAL",R24=""),"[X]units ไฟ ","")&amp;IF(D24=0,"[!]ค่าเช่า=0",""))</f>
        <v/>
      </c>
      <c r="AA24" s="29">
        <f>IF(C24&lt;&gt;"",C24,CONFIG!$B$6)</f>
        <v/>
      </c>
      <c r="AB24" s="29">
        <f>IF(F24&lt;&gt;"",F24,IFERROR(VLOOKUP(AA24,RULES!$A:$C,3,0),CONFIG!$B$7))</f>
        <v/>
      </c>
      <c r="AC24" s="29">
        <f>IF(IFERROR(VLOOKUP(AA24,RULES!$A:$D,4,0),"")="",CONFIG!$B$10,VLOOKUP(AA24,RULES!$A:$D,4,0))</f>
        <v/>
      </c>
      <c r="AD24" s="29">
        <f>IF(IFERROR(VLOOKUP(AA24,RULES!$A:$E,5,0),"")="",CONFIG!$B$11,VLOOKUP(AA24,RULES!$A:$E,5,0))</f>
        <v/>
      </c>
      <c r="AE24" s="29">
        <f>IFERROR(VLOOKUP(AA24,RULES!$A:$F,6,0)*1,0)</f>
        <v/>
      </c>
      <c r="AF24" s="29">
        <f>IFERROR(VLOOKUP(AA24,RULES!$A:$G,7,0)*1,0)</f>
        <v/>
      </c>
      <c r="AG24" s="29">
        <f>IFERROR(VLOOKUP(AA24,RULES!$A:$H,8,0)*1,0)</f>
        <v/>
      </c>
      <c r="AH24" s="29">
        <f>IFERROR(VLOOKUP(AA24,RULES!$A:$I,9,0)*1,0)</f>
        <v/>
      </c>
      <c r="AI24" s="29">
        <f>IFERROR(VLOOKUP(AA24,RULES!$A:$J,10,0)*1,0)</f>
        <v/>
      </c>
      <c r="AJ24" s="29">
        <f>IFERROR(IF(VLOOKUP(AA24,RULES!$A:$K,11,0)="",999999,VLOOKUP(AA24,RULES!$A:$K,11,0)*1),999999)</f>
        <v/>
      </c>
      <c r="AK24" s="29">
        <f>IFERROR(VLOOKUP(AA24,RULES!$A:$L,12,0)*1,0)</f>
        <v/>
      </c>
      <c r="AL24" s="29">
        <f>IFERROR(VLOOKUP(AA24,RULES!$A:$M,13,0),"NONE")</f>
        <v/>
      </c>
      <c r="AM24" s="29">
        <f>IFERROR(VLOOKUP(AA24,RULES!$A:$N,14,0)*1,0)</f>
        <v/>
      </c>
      <c r="AN24" s="29">
        <f>IFERROR(VLOOKUP(AA24,RULES!$A:$O,15,0)*1,0)</f>
        <v/>
      </c>
      <c r="AO24" s="29">
        <f>IF(N24&lt;&gt;"",N24,IFERROR(VLOOKUP(AA24,RULES!$A:$P,16,0),CONFIG!$B$8))</f>
        <v/>
      </c>
      <c r="AP24" s="29">
        <f>IF(IFERROR(VLOOKUP(AA24,RULES!$A:$Q,17,0),"")="",CONFIG!$B$13,VLOOKUP(AA24,RULES!$A:$Q,17,0))</f>
        <v/>
      </c>
      <c r="AQ24" s="29">
        <f>IF(IFERROR(VLOOKUP(AA24,RULES!$A:$R,18,0),"")="",CONFIG!$B$14,VLOOKUP(AA24,RULES!$A:$R,18,0))</f>
        <v/>
      </c>
      <c r="AR24" s="29">
        <f>IFERROR(VLOOKUP(AA24,RULES!$A:$S,19,0)*1,0)</f>
        <v/>
      </c>
      <c r="AS24" s="29">
        <f>IFERROR(VLOOKUP(AA24,RULES!$A:$T,20,0)*1,0)</f>
        <v/>
      </c>
      <c r="AT24" s="29">
        <f>IFERROR(VLOOKUP(AA24,RULES!$A:$U,21,0)*1,0)</f>
        <v/>
      </c>
      <c r="AU24" s="29">
        <f>IFERROR(VLOOKUP(AA24,RULES!$A:$V,22,0)*1,0)</f>
        <v/>
      </c>
      <c r="AV24" s="29">
        <f>IFERROR(VLOOKUP(AA24,RULES!$A:$W,23,0)*1,0)</f>
        <v/>
      </c>
      <c r="AW24" s="29">
        <f>IFERROR(IF(VLOOKUP(AA24,RULES!$A:$X,24,0)="",999999,VLOOKUP(AA24,RULES!$A:$X,24,0)*1),999999)</f>
        <v/>
      </c>
      <c r="AX24" s="29">
        <f>IFERROR(VLOOKUP(AA24,RULES!$A:$Y,25,0)*1,0)</f>
        <v/>
      </c>
      <c r="AY24" s="29">
        <f>IFERROR(VLOOKUP(AA24,RULES!$A:$Z,26,0),"NONE")</f>
        <v/>
      </c>
      <c r="AZ24" s="29">
        <f>IFERROR(VLOOKUP(AA24,RULES!$A:$AA,27,0)*1,0)</f>
        <v/>
      </c>
      <c r="BA24" s="29">
        <f>IFERROR(VLOOKUP(AA24,RULES!$A:$AB,28,0)*1,0)</f>
        <v/>
      </c>
    </row>
    <row r="25" ht="17" customHeight="1">
      <c r="A25" s="22" t="inlineStr">
        <is>
          <t>3622</t>
        </is>
      </c>
      <c r="B25" s="48" t="inlineStr">
        <is>
          <t>ACC006</t>
        </is>
      </c>
      <c r="C25" s="48" t="inlineStr">
        <is>
          <t>DEFAULT</t>
        </is>
      </c>
      <c r="D25" s="47" t="n"/>
      <c r="E25" s="22">
        <f>IF(OR(D25="",D25=0),"INACTIVE","ACTIVE")</f>
        <v/>
      </c>
      <c r="F25" s="48" t="inlineStr">
        <is>
          <t>NORMAL</t>
        </is>
      </c>
      <c r="G25" s="25" t="n"/>
      <c r="H25" s="25" t="n"/>
      <c r="I25" s="26">
        <f>IF(OR(E25="INACTIVE",H25=""),0,MAX(0,H25-G25))</f>
        <v/>
      </c>
      <c r="J25" s="23" t="n"/>
      <c r="K25" s="26">
        <f>IF(OR(E25="INACTIVE",H25=""),0,IF(AB25="DISABLED",0,IF(AB25="FLAT",AE25,IF(AB25="MANUAL",IF(J25="",0,J25*AC25),IF(AB25="STEP",IF(I25&lt;=AF25,I25*AG25,IF(I25&lt;=AH25,AF25*AG25+(I25-AF25)*AI25,AF25*AG25+(AH25-AF25)*AI25+(I25-AH25)*AK25)),MAX(I25*AC25,AD25))))))</f>
        <v/>
      </c>
      <c r="L25" s="26">
        <f>IF(OR(E25="INACTIVE",H25=""),0,IF(AL25="NONE",0,IF(AL25="FLAT",AM25,IF(AL25="PER_UNIT",I25*AN25,IF(AL25="MANUAL",IF(M25="",0,M25),0)))))</f>
        <v/>
      </c>
      <c r="M25" s="23" t="n"/>
      <c r="N25" s="48" t="inlineStr">
        <is>
          <t>NORMAL</t>
        </is>
      </c>
      <c r="O25" s="25" t="n"/>
      <c r="P25" s="25" t="n"/>
      <c r="Q25" s="26">
        <f>IF(OR(E25="INACTIVE",P25=""),0,MAX(0,P25-O25))</f>
        <v/>
      </c>
      <c r="R25" s="23" t="n"/>
      <c r="S25" s="26">
        <f>IF(OR(E25="INACTIVE",P25=""),0,IF(AO25="DISABLED",0,IF(AO25="FLAT",AR25,IF(AO25="MANUAL",IF(R25="",0,R25*AP25),IF(AO25="STEP",IF(Q25&lt;=AS25,Q25*AT25,IF(Q25&lt;=AU25,AS25*AT25+(Q25-AS25)*AV25,AS25*AT25+(AU25-AS25)*AV25+(Q25-AU25)*AX25)),MAX(Q25*AP25,AQ25))))))</f>
        <v/>
      </c>
      <c r="T25" s="26">
        <f>IF(OR(E25="INACTIVE",P25=""),0,IF(AY25="NONE",0,IF(AY25="FLAT",AZ25,IF(AY25="PER_UNIT",Q25*BA25,IF(AY25="MANUAL",IF(U25="",0,U25),0)))))</f>
        <v/>
      </c>
      <c r="U25" s="23" t="n"/>
      <c r="V25" s="25" t="n"/>
      <c r="W25" s="25" t="n"/>
      <c r="X25" s="26">
        <f>IF(E25="INACTIVE",0,D25+K25+L25+S25+T25+IF(V25="",0,V25)+IF(W25="",0,W25))</f>
        <v/>
      </c>
      <c r="Y25" s="27" t="n"/>
      <c r="Z25" s="28">
        <f>IF(E25="INACTIVE","_",IF(AND(G25&gt;0,H25&gt;0,H25&lt;G25),"[!]น้ำ reset ","")&amp;IF(AND(O25&gt;0,P25&gt;0,P25&lt;O25),"[!]ไฟ reset ","")&amp;IF(AND(F25="MANUAL",J25=""),"[X]units น้ำ ","")&amp;IF(AND(N25="MANUAL",R25=""),"[X]units ไฟ ","")&amp;IF(D25=0,"[!]ค่าเช่า=0",""))</f>
        <v/>
      </c>
      <c r="AA25" s="29">
        <f>IF(C25&lt;&gt;"",C25,CONFIG!$B$6)</f>
        <v/>
      </c>
      <c r="AB25" s="29">
        <f>IF(F25&lt;&gt;"",F25,IFERROR(VLOOKUP(AA25,RULES!$A:$C,3,0),CONFIG!$B$7))</f>
        <v/>
      </c>
      <c r="AC25" s="29">
        <f>IF(IFERROR(VLOOKUP(AA25,RULES!$A:$D,4,0),"")="",CONFIG!$B$10,VLOOKUP(AA25,RULES!$A:$D,4,0))</f>
        <v/>
      </c>
      <c r="AD25" s="29">
        <f>IF(IFERROR(VLOOKUP(AA25,RULES!$A:$E,5,0),"")="",CONFIG!$B$11,VLOOKUP(AA25,RULES!$A:$E,5,0))</f>
        <v/>
      </c>
      <c r="AE25" s="29">
        <f>IFERROR(VLOOKUP(AA25,RULES!$A:$F,6,0)*1,0)</f>
        <v/>
      </c>
      <c r="AF25" s="29">
        <f>IFERROR(VLOOKUP(AA25,RULES!$A:$G,7,0)*1,0)</f>
        <v/>
      </c>
      <c r="AG25" s="29">
        <f>IFERROR(VLOOKUP(AA25,RULES!$A:$H,8,0)*1,0)</f>
        <v/>
      </c>
      <c r="AH25" s="29">
        <f>IFERROR(VLOOKUP(AA25,RULES!$A:$I,9,0)*1,0)</f>
        <v/>
      </c>
      <c r="AI25" s="29">
        <f>IFERROR(VLOOKUP(AA25,RULES!$A:$J,10,0)*1,0)</f>
        <v/>
      </c>
      <c r="AJ25" s="29">
        <f>IFERROR(IF(VLOOKUP(AA25,RULES!$A:$K,11,0)="",999999,VLOOKUP(AA25,RULES!$A:$K,11,0)*1),999999)</f>
        <v/>
      </c>
      <c r="AK25" s="29">
        <f>IFERROR(VLOOKUP(AA25,RULES!$A:$L,12,0)*1,0)</f>
        <v/>
      </c>
      <c r="AL25" s="29">
        <f>IFERROR(VLOOKUP(AA25,RULES!$A:$M,13,0),"NONE")</f>
        <v/>
      </c>
      <c r="AM25" s="29">
        <f>IFERROR(VLOOKUP(AA25,RULES!$A:$N,14,0)*1,0)</f>
        <v/>
      </c>
      <c r="AN25" s="29">
        <f>IFERROR(VLOOKUP(AA25,RULES!$A:$O,15,0)*1,0)</f>
        <v/>
      </c>
      <c r="AO25" s="29">
        <f>IF(N25&lt;&gt;"",N25,IFERROR(VLOOKUP(AA25,RULES!$A:$P,16,0),CONFIG!$B$8))</f>
        <v/>
      </c>
      <c r="AP25" s="29">
        <f>IF(IFERROR(VLOOKUP(AA25,RULES!$A:$Q,17,0),"")="",CONFIG!$B$13,VLOOKUP(AA25,RULES!$A:$Q,17,0))</f>
        <v/>
      </c>
      <c r="AQ25" s="29">
        <f>IF(IFERROR(VLOOKUP(AA25,RULES!$A:$R,18,0),"")="",CONFIG!$B$14,VLOOKUP(AA25,RULES!$A:$R,18,0))</f>
        <v/>
      </c>
      <c r="AR25" s="29">
        <f>IFERROR(VLOOKUP(AA25,RULES!$A:$S,19,0)*1,0)</f>
        <v/>
      </c>
      <c r="AS25" s="29">
        <f>IFERROR(VLOOKUP(AA25,RULES!$A:$T,20,0)*1,0)</f>
        <v/>
      </c>
      <c r="AT25" s="29">
        <f>IFERROR(VLOOKUP(AA25,RULES!$A:$U,21,0)*1,0)</f>
        <v/>
      </c>
      <c r="AU25" s="29">
        <f>IFERROR(VLOOKUP(AA25,RULES!$A:$V,22,0)*1,0)</f>
        <v/>
      </c>
      <c r="AV25" s="29">
        <f>IFERROR(VLOOKUP(AA25,RULES!$A:$W,23,0)*1,0)</f>
        <v/>
      </c>
      <c r="AW25" s="29">
        <f>IFERROR(IF(VLOOKUP(AA25,RULES!$A:$X,24,0)="",999999,VLOOKUP(AA25,RULES!$A:$X,24,0)*1),999999)</f>
        <v/>
      </c>
      <c r="AX25" s="29">
        <f>IFERROR(VLOOKUP(AA25,RULES!$A:$Y,25,0)*1,0)</f>
        <v/>
      </c>
      <c r="AY25" s="29">
        <f>IFERROR(VLOOKUP(AA25,RULES!$A:$Z,26,0),"NONE")</f>
        <v/>
      </c>
      <c r="AZ25" s="29">
        <f>IFERROR(VLOOKUP(AA25,RULES!$A:$AA,27,0)*1,0)</f>
        <v/>
      </c>
      <c r="BA25" s="29">
        <f>IFERROR(VLOOKUP(AA25,RULES!$A:$AB,28,0)*1,0)</f>
        <v/>
      </c>
    </row>
    <row r="26" ht="17" customHeight="1">
      <c r="A26" s="22" t="inlineStr">
        <is>
          <t>3623</t>
        </is>
      </c>
      <c r="B26" s="48" t="inlineStr">
        <is>
          <t>ACC006</t>
        </is>
      </c>
      <c r="C26" s="48" t="inlineStr">
        <is>
          <t>DEFAULT</t>
        </is>
      </c>
      <c r="D26" s="47" t="n"/>
      <c r="E26" s="22">
        <f>IF(OR(D26="",D26=0),"INACTIVE","ACTIVE")</f>
        <v/>
      </c>
      <c r="F26" s="48" t="inlineStr">
        <is>
          <t>NORMAL</t>
        </is>
      </c>
      <c r="G26" s="25" t="n"/>
      <c r="H26" s="25" t="n"/>
      <c r="I26" s="26">
        <f>IF(OR(E26="INACTIVE",H26=""),0,MAX(0,H26-G26))</f>
        <v/>
      </c>
      <c r="J26" s="23" t="n"/>
      <c r="K26" s="26">
        <f>IF(OR(E26="INACTIVE",H26=""),0,IF(AB26="DISABLED",0,IF(AB26="FLAT",AE26,IF(AB26="MANUAL",IF(J26="",0,J26*AC26),IF(AB26="STEP",IF(I26&lt;=AF26,I26*AG26,IF(I26&lt;=AH26,AF26*AG26+(I26-AF26)*AI26,AF26*AG26+(AH26-AF26)*AI26+(I26-AH26)*AK26)),MAX(I26*AC26,AD26))))))</f>
        <v/>
      </c>
      <c r="L26" s="26">
        <f>IF(OR(E26="INACTIVE",H26=""),0,IF(AL26="NONE",0,IF(AL26="FLAT",AM26,IF(AL26="PER_UNIT",I26*AN26,IF(AL26="MANUAL",IF(M26="",0,M26),0)))))</f>
        <v/>
      </c>
      <c r="M26" s="23" t="n"/>
      <c r="N26" s="48" t="inlineStr">
        <is>
          <t>NORMAL</t>
        </is>
      </c>
      <c r="O26" s="25" t="n"/>
      <c r="P26" s="25" t="n"/>
      <c r="Q26" s="26">
        <f>IF(OR(E26="INACTIVE",P26=""),0,MAX(0,P26-O26))</f>
        <v/>
      </c>
      <c r="R26" s="23" t="n"/>
      <c r="S26" s="26">
        <f>IF(OR(E26="INACTIVE",P26=""),0,IF(AO26="DISABLED",0,IF(AO26="FLAT",AR26,IF(AO26="MANUAL",IF(R26="",0,R26*AP26),IF(AO26="STEP",IF(Q26&lt;=AS26,Q26*AT26,IF(Q26&lt;=AU26,AS26*AT26+(Q26-AS26)*AV26,AS26*AT26+(AU26-AS26)*AV26+(Q26-AU26)*AX26)),MAX(Q26*AP26,AQ26))))))</f>
        <v/>
      </c>
      <c r="T26" s="26">
        <f>IF(OR(E26="INACTIVE",P26=""),0,IF(AY26="NONE",0,IF(AY26="FLAT",AZ26,IF(AY26="PER_UNIT",Q26*BA26,IF(AY26="MANUAL",IF(U26="",0,U26),0)))))</f>
        <v/>
      </c>
      <c r="U26" s="23" t="n"/>
      <c r="V26" s="25" t="n"/>
      <c r="W26" s="25" t="n"/>
      <c r="X26" s="26">
        <f>IF(E26="INACTIVE",0,D26+K26+L26+S26+T26+IF(V26="",0,V26)+IF(W26="",0,W26))</f>
        <v/>
      </c>
      <c r="Y26" s="27" t="n"/>
      <c r="Z26" s="28">
        <f>IF(E26="INACTIVE","_",IF(AND(G26&gt;0,H26&gt;0,H26&lt;G26),"[!]น้ำ reset ","")&amp;IF(AND(O26&gt;0,P26&gt;0,P26&lt;O26),"[!]ไฟ reset ","")&amp;IF(AND(F26="MANUAL",J26=""),"[X]units น้ำ ","")&amp;IF(AND(N26="MANUAL",R26=""),"[X]units ไฟ ","")&amp;IF(D26=0,"[!]ค่าเช่า=0",""))</f>
        <v/>
      </c>
      <c r="AA26" s="29">
        <f>IF(C26&lt;&gt;"",C26,CONFIG!$B$6)</f>
        <v/>
      </c>
      <c r="AB26" s="29">
        <f>IF(F26&lt;&gt;"",F26,IFERROR(VLOOKUP(AA26,RULES!$A:$C,3,0),CONFIG!$B$7))</f>
        <v/>
      </c>
      <c r="AC26" s="29">
        <f>IF(IFERROR(VLOOKUP(AA26,RULES!$A:$D,4,0),"")="",CONFIG!$B$10,VLOOKUP(AA26,RULES!$A:$D,4,0))</f>
        <v/>
      </c>
      <c r="AD26" s="29">
        <f>IF(IFERROR(VLOOKUP(AA26,RULES!$A:$E,5,0),"")="",CONFIG!$B$11,VLOOKUP(AA26,RULES!$A:$E,5,0))</f>
        <v/>
      </c>
      <c r="AE26" s="29">
        <f>IFERROR(VLOOKUP(AA26,RULES!$A:$F,6,0)*1,0)</f>
        <v/>
      </c>
      <c r="AF26" s="29">
        <f>IFERROR(VLOOKUP(AA26,RULES!$A:$G,7,0)*1,0)</f>
        <v/>
      </c>
      <c r="AG26" s="29">
        <f>IFERROR(VLOOKUP(AA26,RULES!$A:$H,8,0)*1,0)</f>
        <v/>
      </c>
      <c r="AH26" s="29">
        <f>IFERROR(VLOOKUP(AA26,RULES!$A:$I,9,0)*1,0)</f>
        <v/>
      </c>
      <c r="AI26" s="29">
        <f>IFERROR(VLOOKUP(AA26,RULES!$A:$J,10,0)*1,0)</f>
        <v/>
      </c>
      <c r="AJ26" s="29">
        <f>IFERROR(IF(VLOOKUP(AA26,RULES!$A:$K,11,0)="",999999,VLOOKUP(AA26,RULES!$A:$K,11,0)*1),999999)</f>
        <v/>
      </c>
      <c r="AK26" s="29">
        <f>IFERROR(VLOOKUP(AA26,RULES!$A:$L,12,0)*1,0)</f>
        <v/>
      </c>
      <c r="AL26" s="29">
        <f>IFERROR(VLOOKUP(AA26,RULES!$A:$M,13,0),"NONE")</f>
        <v/>
      </c>
      <c r="AM26" s="29">
        <f>IFERROR(VLOOKUP(AA26,RULES!$A:$N,14,0)*1,0)</f>
        <v/>
      </c>
      <c r="AN26" s="29">
        <f>IFERROR(VLOOKUP(AA26,RULES!$A:$O,15,0)*1,0)</f>
        <v/>
      </c>
      <c r="AO26" s="29">
        <f>IF(N26&lt;&gt;"",N26,IFERROR(VLOOKUP(AA26,RULES!$A:$P,16,0),CONFIG!$B$8))</f>
        <v/>
      </c>
      <c r="AP26" s="29">
        <f>IF(IFERROR(VLOOKUP(AA26,RULES!$A:$Q,17,0),"")="",CONFIG!$B$13,VLOOKUP(AA26,RULES!$A:$Q,17,0))</f>
        <v/>
      </c>
      <c r="AQ26" s="29">
        <f>IF(IFERROR(VLOOKUP(AA26,RULES!$A:$R,18,0),"")="",CONFIG!$B$14,VLOOKUP(AA26,RULES!$A:$R,18,0))</f>
        <v/>
      </c>
      <c r="AR26" s="29">
        <f>IFERROR(VLOOKUP(AA26,RULES!$A:$S,19,0)*1,0)</f>
        <v/>
      </c>
      <c r="AS26" s="29">
        <f>IFERROR(VLOOKUP(AA26,RULES!$A:$T,20,0)*1,0)</f>
        <v/>
      </c>
      <c r="AT26" s="29">
        <f>IFERROR(VLOOKUP(AA26,RULES!$A:$U,21,0)*1,0)</f>
        <v/>
      </c>
      <c r="AU26" s="29">
        <f>IFERROR(VLOOKUP(AA26,RULES!$A:$V,22,0)*1,0)</f>
        <v/>
      </c>
      <c r="AV26" s="29">
        <f>IFERROR(VLOOKUP(AA26,RULES!$A:$W,23,0)*1,0)</f>
        <v/>
      </c>
      <c r="AW26" s="29">
        <f>IFERROR(IF(VLOOKUP(AA26,RULES!$A:$X,24,0)="",999999,VLOOKUP(AA26,RULES!$A:$X,24,0)*1),999999)</f>
        <v/>
      </c>
      <c r="AX26" s="29">
        <f>IFERROR(VLOOKUP(AA26,RULES!$A:$Y,25,0)*1,0)</f>
        <v/>
      </c>
      <c r="AY26" s="29">
        <f>IFERROR(VLOOKUP(AA26,RULES!$A:$Z,26,0),"NONE")</f>
        <v/>
      </c>
      <c r="AZ26" s="29">
        <f>IFERROR(VLOOKUP(AA26,RULES!$A:$AA,27,0)*1,0)</f>
        <v/>
      </c>
      <c r="BA26" s="29">
        <f>IFERROR(VLOOKUP(AA26,RULES!$A:$AB,28,0)*1,0)</f>
        <v/>
      </c>
    </row>
    <row r="27" ht="17" customHeight="1">
      <c r="A27" s="22" t="inlineStr">
        <is>
          <t>3624</t>
        </is>
      </c>
      <c r="B27" s="48" t="inlineStr">
        <is>
          <t>ACC006</t>
        </is>
      </c>
      <c r="C27" s="48" t="inlineStr">
        <is>
          <t>DEFAULT</t>
        </is>
      </c>
      <c r="D27" s="47" t="n"/>
      <c r="E27" s="22">
        <f>IF(OR(D27="",D27=0),"INACTIVE","ACTIVE")</f>
        <v/>
      </c>
      <c r="F27" s="48" t="inlineStr">
        <is>
          <t>NORMAL</t>
        </is>
      </c>
      <c r="G27" s="25" t="n"/>
      <c r="H27" s="25" t="n"/>
      <c r="I27" s="26">
        <f>IF(OR(E27="INACTIVE",H27=""),0,MAX(0,H27-G27))</f>
        <v/>
      </c>
      <c r="J27" s="23" t="n"/>
      <c r="K27" s="26">
        <f>IF(OR(E27="INACTIVE",H27=""),0,IF(AB27="DISABLED",0,IF(AB27="FLAT",AE27,IF(AB27="MANUAL",IF(J27="",0,J27*AC27),IF(AB27="STEP",IF(I27&lt;=AF27,I27*AG27,IF(I27&lt;=AH27,AF27*AG27+(I27-AF27)*AI27,AF27*AG27+(AH27-AF27)*AI27+(I27-AH27)*AK27)),MAX(I27*AC27,AD27))))))</f>
        <v/>
      </c>
      <c r="L27" s="26">
        <f>IF(OR(E27="INACTIVE",H27=""),0,IF(AL27="NONE",0,IF(AL27="FLAT",AM27,IF(AL27="PER_UNIT",I27*AN27,IF(AL27="MANUAL",IF(M27="",0,M27),0)))))</f>
        <v/>
      </c>
      <c r="M27" s="23" t="n"/>
      <c r="N27" s="48" t="inlineStr">
        <is>
          <t>NORMAL</t>
        </is>
      </c>
      <c r="O27" s="25" t="n"/>
      <c r="P27" s="25" t="n"/>
      <c r="Q27" s="26">
        <f>IF(OR(E27="INACTIVE",P27=""),0,MAX(0,P27-O27))</f>
        <v/>
      </c>
      <c r="R27" s="23" t="n"/>
      <c r="S27" s="26">
        <f>IF(OR(E27="INACTIVE",P27=""),0,IF(AO27="DISABLED",0,IF(AO27="FLAT",AR27,IF(AO27="MANUAL",IF(R27="",0,R27*AP27),IF(AO27="STEP",IF(Q27&lt;=AS27,Q27*AT27,IF(Q27&lt;=AU27,AS27*AT27+(Q27-AS27)*AV27,AS27*AT27+(AU27-AS27)*AV27+(Q27-AU27)*AX27)),MAX(Q27*AP27,AQ27))))))</f>
        <v/>
      </c>
      <c r="T27" s="26">
        <f>IF(OR(E27="INACTIVE",P27=""),0,IF(AY27="NONE",0,IF(AY27="FLAT",AZ27,IF(AY27="PER_UNIT",Q27*BA27,IF(AY27="MANUAL",IF(U27="",0,U27),0)))))</f>
        <v/>
      </c>
      <c r="U27" s="23" t="n"/>
      <c r="V27" s="25" t="n"/>
      <c r="W27" s="25" t="n"/>
      <c r="X27" s="26">
        <f>IF(E27="INACTIVE",0,D27+K27+L27+S27+T27+IF(V27="",0,V27)+IF(W27="",0,W27))</f>
        <v/>
      </c>
      <c r="Y27" s="27" t="n"/>
      <c r="Z27" s="28">
        <f>IF(E27="INACTIVE","_",IF(AND(G27&gt;0,H27&gt;0,H27&lt;G27),"[!]น้ำ reset ","")&amp;IF(AND(O27&gt;0,P27&gt;0,P27&lt;O27),"[!]ไฟ reset ","")&amp;IF(AND(F27="MANUAL",J27=""),"[X]units น้ำ ","")&amp;IF(AND(N27="MANUAL",R27=""),"[X]units ไฟ ","")&amp;IF(D27=0,"[!]ค่าเช่า=0",""))</f>
        <v/>
      </c>
      <c r="AA27" s="29">
        <f>IF(C27&lt;&gt;"",C27,CONFIG!$B$6)</f>
        <v/>
      </c>
      <c r="AB27" s="29">
        <f>IF(F27&lt;&gt;"",F27,IFERROR(VLOOKUP(AA27,RULES!$A:$C,3,0),CONFIG!$B$7))</f>
        <v/>
      </c>
      <c r="AC27" s="29">
        <f>IF(IFERROR(VLOOKUP(AA27,RULES!$A:$D,4,0),"")="",CONFIG!$B$10,VLOOKUP(AA27,RULES!$A:$D,4,0))</f>
        <v/>
      </c>
      <c r="AD27" s="29">
        <f>IF(IFERROR(VLOOKUP(AA27,RULES!$A:$E,5,0),"")="",CONFIG!$B$11,VLOOKUP(AA27,RULES!$A:$E,5,0))</f>
        <v/>
      </c>
      <c r="AE27" s="29">
        <f>IFERROR(VLOOKUP(AA27,RULES!$A:$F,6,0)*1,0)</f>
        <v/>
      </c>
      <c r="AF27" s="29">
        <f>IFERROR(VLOOKUP(AA27,RULES!$A:$G,7,0)*1,0)</f>
        <v/>
      </c>
      <c r="AG27" s="29">
        <f>IFERROR(VLOOKUP(AA27,RULES!$A:$H,8,0)*1,0)</f>
        <v/>
      </c>
      <c r="AH27" s="29">
        <f>IFERROR(VLOOKUP(AA27,RULES!$A:$I,9,0)*1,0)</f>
        <v/>
      </c>
      <c r="AI27" s="29">
        <f>IFERROR(VLOOKUP(AA27,RULES!$A:$J,10,0)*1,0)</f>
        <v/>
      </c>
      <c r="AJ27" s="29">
        <f>IFERROR(IF(VLOOKUP(AA27,RULES!$A:$K,11,0)="",999999,VLOOKUP(AA27,RULES!$A:$K,11,0)*1),999999)</f>
        <v/>
      </c>
      <c r="AK27" s="29">
        <f>IFERROR(VLOOKUP(AA27,RULES!$A:$L,12,0)*1,0)</f>
        <v/>
      </c>
      <c r="AL27" s="29">
        <f>IFERROR(VLOOKUP(AA27,RULES!$A:$M,13,0),"NONE")</f>
        <v/>
      </c>
      <c r="AM27" s="29">
        <f>IFERROR(VLOOKUP(AA27,RULES!$A:$N,14,0)*1,0)</f>
        <v/>
      </c>
      <c r="AN27" s="29">
        <f>IFERROR(VLOOKUP(AA27,RULES!$A:$O,15,0)*1,0)</f>
        <v/>
      </c>
      <c r="AO27" s="29">
        <f>IF(N27&lt;&gt;"",N27,IFERROR(VLOOKUP(AA27,RULES!$A:$P,16,0),CONFIG!$B$8))</f>
        <v/>
      </c>
      <c r="AP27" s="29">
        <f>IF(IFERROR(VLOOKUP(AA27,RULES!$A:$Q,17,0),"")="",CONFIG!$B$13,VLOOKUP(AA27,RULES!$A:$Q,17,0))</f>
        <v/>
      </c>
      <c r="AQ27" s="29">
        <f>IF(IFERROR(VLOOKUP(AA27,RULES!$A:$R,18,0),"")="",CONFIG!$B$14,VLOOKUP(AA27,RULES!$A:$R,18,0))</f>
        <v/>
      </c>
      <c r="AR27" s="29">
        <f>IFERROR(VLOOKUP(AA27,RULES!$A:$S,19,0)*1,0)</f>
        <v/>
      </c>
      <c r="AS27" s="29">
        <f>IFERROR(VLOOKUP(AA27,RULES!$A:$T,20,0)*1,0)</f>
        <v/>
      </c>
      <c r="AT27" s="29">
        <f>IFERROR(VLOOKUP(AA27,RULES!$A:$U,21,0)*1,0)</f>
        <v/>
      </c>
      <c r="AU27" s="29">
        <f>IFERROR(VLOOKUP(AA27,RULES!$A:$V,22,0)*1,0)</f>
        <v/>
      </c>
      <c r="AV27" s="29">
        <f>IFERROR(VLOOKUP(AA27,RULES!$A:$W,23,0)*1,0)</f>
        <v/>
      </c>
      <c r="AW27" s="29">
        <f>IFERROR(IF(VLOOKUP(AA27,RULES!$A:$X,24,0)="",999999,VLOOKUP(AA27,RULES!$A:$X,24,0)*1),999999)</f>
        <v/>
      </c>
      <c r="AX27" s="29">
        <f>IFERROR(VLOOKUP(AA27,RULES!$A:$Y,25,0)*1,0)</f>
        <v/>
      </c>
      <c r="AY27" s="29">
        <f>IFERROR(VLOOKUP(AA27,RULES!$A:$Z,26,0),"NONE")</f>
        <v/>
      </c>
      <c r="AZ27" s="29">
        <f>IFERROR(VLOOKUP(AA27,RULES!$A:$AA,27,0)*1,0)</f>
        <v/>
      </c>
      <c r="BA27" s="29">
        <f>IFERROR(VLOOKUP(AA27,RULES!$A:$AB,28,0)*1,0)</f>
        <v/>
      </c>
    </row>
    <row r="28" ht="17" customHeight="1">
      <c r="A28" s="22" t="inlineStr">
        <is>
          <t>3625</t>
        </is>
      </c>
      <c r="B28" s="48" t="inlineStr">
        <is>
          <t>ACC006</t>
        </is>
      </c>
      <c r="C28" s="48" t="inlineStr">
        <is>
          <t>DEFAULT</t>
        </is>
      </c>
      <c r="D28" s="47" t="n"/>
      <c r="E28" s="22">
        <f>IF(OR(D28="",D28=0),"INACTIVE","ACTIVE")</f>
        <v/>
      </c>
      <c r="F28" s="48" t="inlineStr">
        <is>
          <t>NORMAL</t>
        </is>
      </c>
      <c r="G28" s="25" t="n"/>
      <c r="H28" s="25" t="n"/>
      <c r="I28" s="26">
        <f>IF(OR(E28="INACTIVE",H28=""),0,MAX(0,H28-G28))</f>
        <v/>
      </c>
      <c r="J28" s="23" t="n"/>
      <c r="K28" s="26">
        <f>IF(OR(E28="INACTIVE",H28=""),0,IF(AB28="DISABLED",0,IF(AB28="FLAT",AE28,IF(AB28="MANUAL",IF(J28="",0,J28*AC28),IF(AB28="STEP",IF(I28&lt;=AF28,I28*AG28,IF(I28&lt;=AH28,AF28*AG28+(I28-AF28)*AI28,AF28*AG28+(AH28-AF28)*AI28+(I28-AH28)*AK28)),MAX(I28*AC28,AD28))))))</f>
        <v/>
      </c>
      <c r="L28" s="26">
        <f>IF(OR(E28="INACTIVE",H28=""),0,IF(AL28="NONE",0,IF(AL28="FLAT",AM28,IF(AL28="PER_UNIT",I28*AN28,IF(AL28="MANUAL",IF(M28="",0,M28),0)))))</f>
        <v/>
      </c>
      <c r="M28" s="23" t="n"/>
      <c r="N28" s="48" t="inlineStr">
        <is>
          <t>NORMAL</t>
        </is>
      </c>
      <c r="O28" s="25" t="n"/>
      <c r="P28" s="25" t="n"/>
      <c r="Q28" s="26">
        <f>IF(OR(E28="INACTIVE",P28=""),0,MAX(0,P28-O28))</f>
        <v/>
      </c>
      <c r="R28" s="23" t="n"/>
      <c r="S28" s="26">
        <f>IF(OR(E28="INACTIVE",P28=""),0,IF(AO28="DISABLED",0,IF(AO28="FLAT",AR28,IF(AO28="MANUAL",IF(R28="",0,R28*AP28),IF(AO28="STEP",IF(Q28&lt;=AS28,Q28*AT28,IF(Q28&lt;=AU28,AS28*AT28+(Q28-AS28)*AV28,AS28*AT28+(AU28-AS28)*AV28+(Q28-AU28)*AX28)),MAX(Q28*AP28,AQ28))))))</f>
        <v/>
      </c>
      <c r="T28" s="26">
        <f>IF(OR(E28="INACTIVE",P28=""),0,IF(AY28="NONE",0,IF(AY28="FLAT",AZ28,IF(AY28="PER_UNIT",Q28*BA28,IF(AY28="MANUAL",IF(U28="",0,U28),0)))))</f>
        <v/>
      </c>
      <c r="U28" s="23" t="n"/>
      <c r="V28" s="25" t="n"/>
      <c r="W28" s="25" t="n"/>
      <c r="X28" s="26">
        <f>IF(E28="INACTIVE",0,D28+K28+L28+S28+T28+IF(V28="",0,V28)+IF(W28="",0,W28))</f>
        <v/>
      </c>
      <c r="Y28" s="27" t="n"/>
      <c r="Z28" s="28">
        <f>IF(E28="INACTIVE","_",IF(AND(G28&gt;0,H28&gt;0,H28&lt;G28),"[!]น้ำ reset ","")&amp;IF(AND(O28&gt;0,P28&gt;0,P28&lt;O28),"[!]ไฟ reset ","")&amp;IF(AND(F28="MANUAL",J28=""),"[X]units น้ำ ","")&amp;IF(AND(N28="MANUAL",R28=""),"[X]units ไฟ ","")&amp;IF(D28=0,"[!]ค่าเช่า=0",""))</f>
        <v/>
      </c>
      <c r="AA28" s="29">
        <f>IF(C28&lt;&gt;"",C28,CONFIG!$B$6)</f>
        <v/>
      </c>
      <c r="AB28" s="29">
        <f>IF(F28&lt;&gt;"",F28,IFERROR(VLOOKUP(AA28,RULES!$A:$C,3,0),CONFIG!$B$7))</f>
        <v/>
      </c>
      <c r="AC28" s="29">
        <f>IF(IFERROR(VLOOKUP(AA28,RULES!$A:$D,4,0),"")="",CONFIG!$B$10,VLOOKUP(AA28,RULES!$A:$D,4,0))</f>
        <v/>
      </c>
      <c r="AD28" s="29">
        <f>IF(IFERROR(VLOOKUP(AA28,RULES!$A:$E,5,0),"")="",CONFIG!$B$11,VLOOKUP(AA28,RULES!$A:$E,5,0))</f>
        <v/>
      </c>
      <c r="AE28" s="29">
        <f>IFERROR(VLOOKUP(AA28,RULES!$A:$F,6,0)*1,0)</f>
        <v/>
      </c>
      <c r="AF28" s="29">
        <f>IFERROR(VLOOKUP(AA28,RULES!$A:$G,7,0)*1,0)</f>
        <v/>
      </c>
      <c r="AG28" s="29">
        <f>IFERROR(VLOOKUP(AA28,RULES!$A:$H,8,0)*1,0)</f>
        <v/>
      </c>
      <c r="AH28" s="29">
        <f>IFERROR(VLOOKUP(AA28,RULES!$A:$I,9,0)*1,0)</f>
        <v/>
      </c>
      <c r="AI28" s="29">
        <f>IFERROR(VLOOKUP(AA28,RULES!$A:$J,10,0)*1,0)</f>
        <v/>
      </c>
      <c r="AJ28" s="29">
        <f>IFERROR(IF(VLOOKUP(AA28,RULES!$A:$K,11,0)="",999999,VLOOKUP(AA28,RULES!$A:$K,11,0)*1),999999)</f>
        <v/>
      </c>
      <c r="AK28" s="29">
        <f>IFERROR(VLOOKUP(AA28,RULES!$A:$L,12,0)*1,0)</f>
        <v/>
      </c>
      <c r="AL28" s="29">
        <f>IFERROR(VLOOKUP(AA28,RULES!$A:$M,13,0),"NONE")</f>
        <v/>
      </c>
      <c r="AM28" s="29">
        <f>IFERROR(VLOOKUP(AA28,RULES!$A:$N,14,0)*1,0)</f>
        <v/>
      </c>
      <c r="AN28" s="29">
        <f>IFERROR(VLOOKUP(AA28,RULES!$A:$O,15,0)*1,0)</f>
        <v/>
      </c>
      <c r="AO28" s="29">
        <f>IF(N28&lt;&gt;"",N28,IFERROR(VLOOKUP(AA28,RULES!$A:$P,16,0),CONFIG!$B$8))</f>
        <v/>
      </c>
      <c r="AP28" s="29">
        <f>IF(IFERROR(VLOOKUP(AA28,RULES!$A:$Q,17,0),"")="",CONFIG!$B$13,VLOOKUP(AA28,RULES!$A:$Q,17,0))</f>
        <v/>
      </c>
      <c r="AQ28" s="29">
        <f>IF(IFERROR(VLOOKUP(AA28,RULES!$A:$R,18,0),"")="",CONFIG!$B$14,VLOOKUP(AA28,RULES!$A:$R,18,0))</f>
        <v/>
      </c>
      <c r="AR28" s="29">
        <f>IFERROR(VLOOKUP(AA28,RULES!$A:$S,19,0)*1,0)</f>
        <v/>
      </c>
      <c r="AS28" s="29">
        <f>IFERROR(VLOOKUP(AA28,RULES!$A:$T,20,0)*1,0)</f>
        <v/>
      </c>
      <c r="AT28" s="29">
        <f>IFERROR(VLOOKUP(AA28,RULES!$A:$U,21,0)*1,0)</f>
        <v/>
      </c>
      <c r="AU28" s="29">
        <f>IFERROR(VLOOKUP(AA28,RULES!$A:$V,22,0)*1,0)</f>
        <v/>
      </c>
      <c r="AV28" s="29">
        <f>IFERROR(VLOOKUP(AA28,RULES!$A:$W,23,0)*1,0)</f>
        <v/>
      </c>
      <c r="AW28" s="29">
        <f>IFERROR(IF(VLOOKUP(AA28,RULES!$A:$X,24,0)="",999999,VLOOKUP(AA28,RULES!$A:$X,24,0)*1),999999)</f>
        <v/>
      </c>
      <c r="AX28" s="29">
        <f>IFERROR(VLOOKUP(AA28,RULES!$A:$Y,25,0)*1,0)</f>
        <v/>
      </c>
      <c r="AY28" s="29">
        <f>IFERROR(VLOOKUP(AA28,RULES!$A:$Z,26,0),"NONE")</f>
        <v/>
      </c>
      <c r="AZ28" s="29">
        <f>IFERROR(VLOOKUP(AA28,RULES!$A:$AA,27,0)*1,0)</f>
        <v/>
      </c>
      <c r="BA28" s="29">
        <f>IFERROR(VLOOKUP(AA28,RULES!$A:$AB,28,0)*1,0)</f>
        <v/>
      </c>
    </row>
    <row r="29" ht="17" customHeight="1">
      <c r="A29" s="22" t="inlineStr">
        <is>
          <t>3626</t>
        </is>
      </c>
      <c r="B29" s="48" t="inlineStr">
        <is>
          <t>ACC006</t>
        </is>
      </c>
      <c r="C29" s="48" t="inlineStr">
        <is>
          <t>DEFAULT</t>
        </is>
      </c>
      <c r="D29" s="47" t="n"/>
      <c r="E29" s="22">
        <f>IF(OR(D29="",D29=0),"INACTIVE","ACTIVE")</f>
        <v/>
      </c>
      <c r="F29" s="48" t="inlineStr">
        <is>
          <t>NORMAL</t>
        </is>
      </c>
      <c r="G29" s="25" t="n"/>
      <c r="H29" s="25" t="n"/>
      <c r="I29" s="26">
        <f>IF(OR(E29="INACTIVE",H29=""),0,MAX(0,H29-G29))</f>
        <v/>
      </c>
      <c r="J29" s="23" t="n"/>
      <c r="K29" s="26">
        <f>IF(OR(E29="INACTIVE",H29=""),0,IF(AB29="DISABLED",0,IF(AB29="FLAT",AE29,IF(AB29="MANUAL",IF(J29="",0,J29*AC29),IF(AB29="STEP",IF(I29&lt;=AF29,I29*AG29,IF(I29&lt;=AH29,AF29*AG29+(I29-AF29)*AI29,AF29*AG29+(AH29-AF29)*AI29+(I29-AH29)*AK29)),MAX(I29*AC29,AD29))))))</f>
        <v/>
      </c>
      <c r="L29" s="26">
        <f>IF(OR(E29="INACTIVE",H29=""),0,IF(AL29="NONE",0,IF(AL29="FLAT",AM29,IF(AL29="PER_UNIT",I29*AN29,IF(AL29="MANUAL",IF(M29="",0,M29),0)))))</f>
        <v/>
      </c>
      <c r="M29" s="23" t="n"/>
      <c r="N29" s="48" t="inlineStr">
        <is>
          <t>NORMAL</t>
        </is>
      </c>
      <c r="O29" s="25" t="n"/>
      <c r="P29" s="25" t="n"/>
      <c r="Q29" s="26">
        <f>IF(OR(E29="INACTIVE",P29=""),0,MAX(0,P29-O29))</f>
        <v/>
      </c>
      <c r="R29" s="23" t="n"/>
      <c r="S29" s="26">
        <f>IF(OR(E29="INACTIVE",P29=""),0,IF(AO29="DISABLED",0,IF(AO29="FLAT",AR29,IF(AO29="MANUAL",IF(R29="",0,R29*AP29),IF(AO29="STEP",IF(Q29&lt;=AS29,Q29*AT29,IF(Q29&lt;=AU29,AS29*AT29+(Q29-AS29)*AV29,AS29*AT29+(AU29-AS29)*AV29+(Q29-AU29)*AX29)),MAX(Q29*AP29,AQ29))))))</f>
        <v/>
      </c>
      <c r="T29" s="26">
        <f>IF(OR(E29="INACTIVE",P29=""),0,IF(AY29="NONE",0,IF(AY29="FLAT",AZ29,IF(AY29="PER_UNIT",Q29*BA29,IF(AY29="MANUAL",IF(U29="",0,U29),0)))))</f>
        <v/>
      </c>
      <c r="U29" s="23" t="n"/>
      <c r="V29" s="25" t="n"/>
      <c r="W29" s="25" t="n"/>
      <c r="X29" s="26">
        <f>IF(E29="INACTIVE",0,D29+K29+L29+S29+T29+IF(V29="",0,V29)+IF(W29="",0,W29))</f>
        <v/>
      </c>
      <c r="Y29" s="27" t="n"/>
      <c r="Z29" s="28">
        <f>IF(E29="INACTIVE","_",IF(AND(G29&gt;0,H29&gt;0,H29&lt;G29),"[!]น้ำ reset ","")&amp;IF(AND(O29&gt;0,P29&gt;0,P29&lt;O29),"[!]ไฟ reset ","")&amp;IF(AND(F29="MANUAL",J29=""),"[X]units น้ำ ","")&amp;IF(AND(N29="MANUAL",R29=""),"[X]units ไฟ ","")&amp;IF(D29=0,"[!]ค่าเช่า=0",""))</f>
        <v/>
      </c>
      <c r="AA29" s="29">
        <f>IF(C29&lt;&gt;"",C29,CONFIG!$B$6)</f>
        <v/>
      </c>
      <c r="AB29" s="29">
        <f>IF(F29&lt;&gt;"",F29,IFERROR(VLOOKUP(AA29,RULES!$A:$C,3,0),CONFIG!$B$7))</f>
        <v/>
      </c>
      <c r="AC29" s="29">
        <f>IF(IFERROR(VLOOKUP(AA29,RULES!$A:$D,4,0),"")="",CONFIG!$B$10,VLOOKUP(AA29,RULES!$A:$D,4,0))</f>
        <v/>
      </c>
      <c r="AD29" s="29">
        <f>IF(IFERROR(VLOOKUP(AA29,RULES!$A:$E,5,0),"")="",CONFIG!$B$11,VLOOKUP(AA29,RULES!$A:$E,5,0))</f>
        <v/>
      </c>
      <c r="AE29" s="29">
        <f>IFERROR(VLOOKUP(AA29,RULES!$A:$F,6,0)*1,0)</f>
        <v/>
      </c>
      <c r="AF29" s="29">
        <f>IFERROR(VLOOKUP(AA29,RULES!$A:$G,7,0)*1,0)</f>
        <v/>
      </c>
      <c r="AG29" s="29">
        <f>IFERROR(VLOOKUP(AA29,RULES!$A:$H,8,0)*1,0)</f>
        <v/>
      </c>
      <c r="AH29" s="29">
        <f>IFERROR(VLOOKUP(AA29,RULES!$A:$I,9,0)*1,0)</f>
        <v/>
      </c>
      <c r="AI29" s="29">
        <f>IFERROR(VLOOKUP(AA29,RULES!$A:$J,10,0)*1,0)</f>
        <v/>
      </c>
      <c r="AJ29" s="29">
        <f>IFERROR(IF(VLOOKUP(AA29,RULES!$A:$K,11,0)="",999999,VLOOKUP(AA29,RULES!$A:$K,11,0)*1),999999)</f>
        <v/>
      </c>
      <c r="AK29" s="29">
        <f>IFERROR(VLOOKUP(AA29,RULES!$A:$L,12,0)*1,0)</f>
        <v/>
      </c>
      <c r="AL29" s="29">
        <f>IFERROR(VLOOKUP(AA29,RULES!$A:$M,13,0),"NONE")</f>
        <v/>
      </c>
      <c r="AM29" s="29">
        <f>IFERROR(VLOOKUP(AA29,RULES!$A:$N,14,0)*1,0)</f>
        <v/>
      </c>
      <c r="AN29" s="29">
        <f>IFERROR(VLOOKUP(AA29,RULES!$A:$O,15,0)*1,0)</f>
        <v/>
      </c>
      <c r="AO29" s="29">
        <f>IF(N29&lt;&gt;"",N29,IFERROR(VLOOKUP(AA29,RULES!$A:$P,16,0),CONFIG!$B$8))</f>
        <v/>
      </c>
      <c r="AP29" s="29">
        <f>IF(IFERROR(VLOOKUP(AA29,RULES!$A:$Q,17,0),"")="",CONFIG!$B$13,VLOOKUP(AA29,RULES!$A:$Q,17,0))</f>
        <v/>
      </c>
      <c r="AQ29" s="29">
        <f>IF(IFERROR(VLOOKUP(AA29,RULES!$A:$R,18,0),"")="",CONFIG!$B$14,VLOOKUP(AA29,RULES!$A:$R,18,0))</f>
        <v/>
      </c>
      <c r="AR29" s="29">
        <f>IFERROR(VLOOKUP(AA29,RULES!$A:$S,19,0)*1,0)</f>
        <v/>
      </c>
      <c r="AS29" s="29">
        <f>IFERROR(VLOOKUP(AA29,RULES!$A:$T,20,0)*1,0)</f>
        <v/>
      </c>
      <c r="AT29" s="29">
        <f>IFERROR(VLOOKUP(AA29,RULES!$A:$U,21,0)*1,0)</f>
        <v/>
      </c>
      <c r="AU29" s="29">
        <f>IFERROR(VLOOKUP(AA29,RULES!$A:$V,22,0)*1,0)</f>
        <v/>
      </c>
      <c r="AV29" s="29">
        <f>IFERROR(VLOOKUP(AA29,RULES!$A:$W,23,0)*1,0)</f>
        <v/>
      </c>
      <c r="AW29" s="29">
        <f>IFERROR(IF(VLOOKUP(AA29,RULES!$A:$X,24,0)="",999999,VLOOKUP(AA29,RULES!$A:$X,24,0)*1),999999)</f>
        <v/>
      </c>
      <c r="AX29" s="29">
        <f>IFERROR(VLOOKUP(AA29,RULES!$A:$Y,25,0)*1,0)</f>
        <v/>
      </c>
      <c r="AY29" s="29">
        <f>IFERROR(VLOOKUP(AA29,RULES!$A:$Z,26,0),"NONE")</f>
        <v/>
      </c>
      <c r="AZ29" s="29">
        <f>IFERROR(VLOOKUP(AA29,RULES!$A:$AA,27,0)*1,0)</f>
        <v/>
      </c>
      <c r="BA29" s="29">
        <f>IFERROR(VLOOKUP(AA29,RULES!$A:$AB,28,0)*1,0)</f>
        <v/>
      </c>
    </row>
    <row r="30" ht="17" customHeight="1">
      <c r="A30" s="22" t="inlineStr">
        <is>
          <t>3627</t>
        </is>
      </c>
      <c r="B30" s="48" t="inlineStr">
        <is>
          <t>ACC006</t>
        </is>
      </c>
      <c r="C30" s="48" t="inlineStr">
        <is>
          <t>DEFAULT</t>
        </is>
      </c>
      <c r="D30" s="47" t="n"/>
      <c r="E30" s="22">
        <f>IF(OR(D30="",D30=0),"INACTIVE","ACTIVE")</f>
        <v/>
      </c>
      <c r="F30" s="48" t="inlineStr">
        <is>
          <t>NORMAL</t>
        </is>
      </c>
      <c r="G30" s="25" t="n"/>
      <c r="H30" s="25" t="n"/>
      <c r="I30" s="26">
        <f>IF(OR(E30="INACTIVE",H30=""),0,MAX(0,H30-G30))</f>
        <v/>
      </c>
      <c r="J30" s="23" t="n"/>
      <c r="K30" s="26">
        <f>IF(OR(E30="INACTIVE",H30=""),0,IF(AB30="DISABLED",0,IF(AB30="FLAT",AE30,IF(AB30="MANUAL",IF(J30="",0,J30*AC30),IF(AB30="STEP",IF(I30&lt;=AF30,I30*AG30,IF(I30&lt;=AH30,AF30*AG30+(I30-AF30)*AI30,AF30*AG30+(AH30-AF30)*AI30+(I30-AH30)*AK30)),MAX(I30*AC30,AD30))))))</f>
        <v/>
      </c>
      <c r="L30" s="26">
        <f>IF(OR(E30="INACTIVE",H30=""),0,IF(AL30="NONE",0,IF(AL30="FLAT",AM30,IF(AL30="PER_UNIT",I30*AN30,IF(AL30="MANUAL",IF(M30="",0,M30),0)))))</f>
        <v/>
      </c>
      <c r="M30" s="23" t="n"/>
      <c r="N30" s="48" t="inlineStr">
        <is>
          <t>NORMAL</t>
        </is>
      </c>
      <c r="O30" s="25" t="n"/>
      <c r="P30" s="25" t="n"/>
      <c r="Q30" s="26">
        <f>IF(OR(E30="INACTIVE",P30=""),0,MAX(0,P30-O30))</f>
        <v/>
      </c>
      <c r="R30" s="23" t="n"/>
      <c r="S30" s="26">
        <f>IF(OR(E30="INACTIVE",P30=""),0,IF(AO30="DISABLED",0,IF(AO30="FLAT",AR30,IF(AO30="MANUAL",IF(R30="",0,R30*AP30),IF(AO30="STEP",IF(Q30&lt;=AS30,Q30*AT30,IF(Q30&lt;=AU30,AS30*AT30+(Q30-AS30)*AV30,AS30*AT30+(AU30-AS30)*AV30+(Q30-AU30)*AX30)),MAX(Q30*AP30,AQ30))))))</f>
        <v/>
      </c>
      <c r="T30" s="26">
        <f>IF(OR(E30="INACTIVE",P30=""),0,IF(AY30="NONE",0,IF(AY30="FLAT",AZ30,IF(AY30="PER_UNIT",Q30*BA30,IF(AY30="MANUAL",IF(U30="",0,U30),0)))))</f>
        <v/>
      </c>
      <c r="U30" s="23" t="n"/>
      <c r="V30" s="25" t="n"/>
      <c r="W30" s="25" t="n"/>
      <c r="X30" s="26">
        <f>IF(E30="INACTIVE",0,D30+K30+L30+S30+T30+IF(V30="",0,V30)+IF(W30="",0,W30))</f>
        <v/>
      </c>
      <c r="Y30" s="27" t="n"/>
      <c r="Z30" s="28">
        <f>IF(E30="INACTIVE","_",IF(AND(G30&gt;0,H30&gt;0,H30&lt;G30),"[!]น้ำ reset ","")&amp;IF(AND(O30&gt;0,P30&gt;0,P30&lt;O30),"[!]ไฟ reset ","")&amp;IF(AND(F30="MANUAL",J30=""),"[X]units น้ำ ","")&amp;IF(AND(N30="MANUAL",R30=""),"[X]units ไฟ ","")&amp;IF(D30=0,"[!]ค่าเช่า=0",""))</f>
        <v/>
      </c>
      <c r="AA30" s="29">
        <f>IF(C30&lt;&gt;"",C30,CONFIG!$B$6)</f>
        <v/>
      </c>
      <c r="AB30" s="29">
        <f>IF(F30&lt;&gt;"",F30,IFERROR(VLOOKUP(AA30,RULES!$A:$C,3,0),CONFIG!$B$7))</f>
        <v/>
      </c>
      <c r="AC30" s="29">
        <f>IF(IFERROR(VLOOKUP(AA30,RULES!$A:$D,4,0),"")="",CONFIG!$B$10,VLOOKUP(AA30,RULES!$A:$D,4,0))</f>
        <v/>
      </c>
      <c r="AD30" s="29">
        <f>IF(IFERROR(VLOOKUP(AA30,RULES!$A:$E,5,0),"")="",CONFIG!$B$11,VLOOKUP(AA30,RULES!$A:$E,5,0))</f>
        <v/>
      </c>
      <c r="AE30" s="29">
        <f>IFERROR(VLOOKUP(AA30,RULES!$A:$F,6,0)*1,0)</f>
        <v/>
      </c>
      <c r="AF30" s="29">
        <f>IFERROR(VLOOKUP(AA30,RULES!$A:$G,7,0)*1,0)</f>
        <v/>
      </c>
      <c r="AG30" s="29">
        <f>IFERROR(VLOOKUP(AA30,RULES!$A:$H,8,0)*1,0)</f>
        <v/>
      </c>
      <c r="AH30" s="29">
        <f>IFERROR(VLOOKUP(AA30,RULES!$A:$I,9,0)*1,0)</f>
        <v/>
      </c>
      <c r="AI30" s="29">
        <f>IFERROR(VLOOKUP(AA30,RULES!$A:$J,10,0)*1,0)</f>
        <v/>
      </c>
      <c r="AJ30" s="29">
        <f>IFERROR(IF(VLOOKUP(AA30,RULES!$A:$K,11,0)="",999999,VLOOKUP(AA30,RULES!$A:$K,11,0)*1),999999)</f>
        <v/>
      </c>
      <c r="AK30" s="29">
        <f>IFERROR(VLOOKUP(AA30,RULES!$A:$L,12,0)*1,0)</f>
        <v/>
      </c>
      <c r="AL30" s="29">
        <f>IFERROR(VLOOKUP(AA30,RULES!$A:$M,13,0),"NONE")</f>
        <v/>
      </c>
      <c r="AM30" s="29">
        <f>IFERROR(VLOOKUP(AA30,RULES!$A:$N,14,0)*1,0)</f>
        <v/>
      </c>
      <c r="AN30" s="29">
        <f>IFERROR(VLOOKUP(AA30,RULES!$A:$O,15,0)*1,0)</f>
        <v/>
      </c>
      <c r="AO30" s="29">
        <f>IF(N30&lt;&gt;"",N30,IFERROR(VLOOKUP(AA30,RULES!$A:$P,16,0),CONFIG!$B$8))</f>
        <v/>
      </c>
      <c r="AP30" s="29">
        <f>IF(IFERROR(VLOOKUP(AA30,RULES!$A:$Q,17,0),"")="",CONFIG!$B$13,VLOOKUP(AA30,RULES!$A:$Q,17,0))</f>
        <v/>
      </c>
      <c r="AQ30" s="29">
        <f>IF(IFERROR(VLOOKUP(AA30,RULES!$A:$R,18,0),"")="",CONFIG!$B$14,VLOOKUP(AA30,RULES!$A:$R,18,0))</f>
        <v/>
      </c>
      <c r="AR30" s="29">
        <f>IFERROR(VLOOKUP(AA30,RULES!$A:$S,19,0)*1,0)</f>
        <v/>
      </c>
      <c r="AS30" s="29">
        <f>IFERROR(VLOOKUP(AA30,RULES!$A:$T,20,0)*1,0)</f>
        <v/>
      </c>
      <c r="AT30" s="29">
        <f>IFERROR(VLOOKUP(AA30,RULES!$A:$U,21,0)*1,0)</f>
        <v/>
      </c>
      <c r="AU30" s="29">
        <f>IFERROR(VLOOKUP(AA30,RULES!$A:$V,22,0)*1,0)</f>
        <v/>
      </c>
      <c r="AV30" s="29">
        <f>IFERROR(VLOOKUP(AA30,RULES!$A:$W,23,0)*1,0)</f>
        <v/>
      </c>
      <c r="AW30" s="29">
        <f>IFERROR(IF(VLOOKUP(AA30,RULES!$A:$X,24,0)="",999999,VLOOKUP(AA30,RULES!$A:$X,24,0)*1),999999)</f>
        <v/>
      </c>
      <c r="AX30" s="29">
        <f>IFERROR(VLOOKUP(AA30,RULES!$A:$Y,25,0)*1,0)</f>
        <v/>
      </c>
      <c r="AY30" s="29">
        <f>IFERROR(VLOOKUP(AA30,RULES!$A:$Z,26,0),"NONE")</f>
        <v/>
      </c>
      <c r="AZ30" s="29">
        <f>IFERROR(VLOOKUP(AA30,RULES!$A:$AA,27,0)*1,0)</f>
        <v/>
      </c>
      <c r="BA30" s="29">
        <f>IFERROR(VLOOKUP(AA30,RULES!$A:$AB,28,0)*1,0)</f>
        <v/>
      </c>
    </row>
    <row r="31" ht="17" customHeight="1">
      <c r="A31" s="22" t="inlineStr">
        <is>
          <t>3628</t>
        </is>
      </c>
      <c r="B31" s="48" t="inlineStr">
        <is>
          <t>ACC006</t>
        </is>
      </c>
      <c r="C31" s="48" t="inlineStr">
        <is>
          <t>DEFAULT</t>
        </is>
      </c>
      <c r="D31" s="47" t="n"/>
      <c r="E31" s="22">
        <f>IF(OR(D31="",D31=0),"INACTIVE","ACTIVE")</f>
        <v/>
      </c>
      <c r="F31" s="48" t="inlineStr">
        <is>
          <t>NORMAL</t>
        </is>
      </c>
      <c r="G31" s="25" t="n"/>
      <c r="H31" s="25" t="n"/>
      <c r="I31" s="26">
        <f>IF(OR(E31="INACTIVE",H31=""),0,MAX(0,H31-G31))</f>
        <v/>
      </c>
      <c r="J31" s="23" t="n"/>
      <c r="K31" s="26">
        <f>IF(OR(E31="INACTIVE",H31=""),0,IF(AB31="DISABLED",0,IF(AB31="FLAT",AE31,IF(AB31="MANUAL",IF(J31="",0,J31*AC31),IF(AB31="STEP",IF(I31&lt;=AF31,I31*AG31,IF(I31&lt;=AH31,AF31*AG31+(I31-AF31)*AI31,AF31*AG31+(AH31-AF31)*AI31+(I31-AH31)*AK31)),MAX(I31*AC31,AD31))))))</f>
        <v/>
      </c>
      <c r="L31" s="26">
        <f>IF(OR(E31="INACTIVE",H31=""),0,IF(AL31="NONE",0,IF(AL31="FLAT",AM31,IF(AL31="PER_UNIT",I31*AN31,IF(AL31="MANUAL",IF(M31="",0,M31),0)))))</f>
        <v/>
      </c>
      <c r="M31" s="23" t="n"/>
      <c r="N31" s="48" t="inlineStr">
        <is>
          <t>NORMAL</t>
        </is>
      </c>
      <c r="O31" s="25" t="n"/>
      <c r="P31" s="25" t="n"/>
      <c r="Q31" s="26">
        <f>IF(OR(E31="INACTIVE",P31=""),0,MAX(0,P31-O31))</f>
        <v/>
      </c>
      <c r="R31" s="23" t="n"/>
      <c r="S31" s="26">
        <f>IF(OR(E31="INACTIVE",P31=""),0,IF(AO31="DISABLED",0,IF(AO31="FLAT",AR31,IF(AO31="MANUAL",IF(R31="",0,R31*AP31),IF(AO31="STEP",IF(Q31&lt;=AS31,Q31*AT31,IF(Q31&lt;=AU31,AS31*AT31+(Q31-AS31)*AV31,AS31*AT31+(AU31-AS31)*AV31+(Q31-AU31)*AX31)),MAX(Q31*AP31,AQ31))))))</f>
        <v/>
      </c>
      <c r="T31" s="26">
        <f>IF(OR(E31="INACTIVE",P31=""),0,IF(AY31="NONE",0,IF(AY31="FLAT",AZ31,IF(AY31="PER_UNIT",Q31*BA31,IF(AY31="MANUAL",IF(U31="",0,U31),0)))))</f>
        <v/>
      </c>
      <c r="U31" s="23" t="n"/>
      <c r="V31" s="25" t="n"/>
      <c r="W31" s="25" t="n"/>
      <c r="X31" s="26">
        <f>IF(E31="INACTIVE",0,D31+K31+L31+S31+T31+IF(V31="",0,V31)+IF(W31="",0,W31))</f>
        <v/>
      </c>
      <c r="Y31" s="27" t="n"/>
      <c r="Z31" s="28">
        <f>IF(E31="INACTIVE","_",IF(AND(G31&gt;0,H31&gt;0,H31&lt;G31),"[!]น้ำ reset ","")&amp;IF(AND(O31&gt;0,P31&gt;0,P31&lt;O31),"[!]ไฟ reset ","")&amp;IF(AND(F31="MANUAL",J31=""),"[X]units น้ำ ","")&amp;IF(AND(N31="MANUAL",R31=""),"[X]units ไฟ ","")&amp;IF(D31=0,"[!]ค่าเช่า=0",""))</f>
        <v/>
      </c>
      <c r="AA31" s="29">
        <f>IF(C31&lt;&gt;"",C31,CONFIG!$B$6)</f>
        <v/>
      </c>
      <c r="AB31" s="29">
        <f>IF(F31&lt;&gt;"",F31,IFERROR(VLOOKUP(AA31,RULES!$A:$C,3,0),CONFIG!$B$7))</f>
        <v/>
      </c>
      <c r="AC31" s="29">
        <f>IF(IFERROR(VLOOKUP(AA31,RULES!$A:$D,4,0),"")="",CONFIG!$B$10,VLOOKUP(AA31,RULES!$A:$D,4,0))</f>
        <v/>
      </c>
      <c r="AD31" s="29">
        <f>IF(IFERROR(VLOOKUP(AA31,RULES!$A:$E,5,0),"")="",CONFIG!$B$11,VLOOKUP(AA31,RULES!$A:$E,5,0))</f>
        <v/>
      </c>
      <c r="AE31" s="29">
        <f>IFERROR(VLOOKUP(AA31,RULES!$A:$F,6,0)*1,0)</f>
        <v/>
      </c>
      <c r="AF31" s="29">
        <f>IFERROR(VLOOKUP(AA31,RULES!$A:$G,7,0)*1,0)</f>
        <v/>
      </c>
      <c r="AG31" s="29">
        <f>IFERROR(VLOOKUP(AA31,RULES!$A:$H,8,0)*1,0)</f>
        <v/>
      </c>
      <c r="AH31" s="29">
        <f>IFERROR(VLOOKUP(AA31,RULES!$A:$I,9,0)*1,0)</f>
        <v/>
      </c>
      <c r="AI31" s="29">
        <f>IFERROR(VLOOKUP(AA31,RULES!$A:$J,10,0)*1,0)</f>
        <v/>
      </c>
      <c r="AJ31" s="29">
        <f>IFERROR(IF(VLOOKUP(AA31,RULES!$A:$K,11,0)="",999999,VLOOKUP(AA31,RULES!$A:$K,11,0)*1),999999)</f>
        <v/>
      </c>
      <c r="AK31" s="29">
        <f>IFERROR(VLOOKUP(AA31,RULES!$A:$L,12,0)*1,0)</f>
        <v/>
      </c>
      <c r="AL31" s="29">
        <f>IFERROR(VLOOKUP(AA31,RULES!$A:$M,13,0),"NONE")</f>
        <v/>
      </c>
      <c r="AM31" s="29">
        <f>IFERROR(VLOOKUP(AA31,RULES!$A:$N,14,0)*1,0)</f>
        <v/>
      </c>
      <c r="AN31" s="29">
        <f>IFERROR(VLOOKUP(AA31,RULES!$A:$O,15,0)*1,0)</f>
        <v/>
      </c>
      <c r="AO31" s="29">
        <f>IF(N31&lt;&gt;"",N31,IFERROR(VLOOKUP(AA31,RULES!$A:$P,16,0),CONFIG!$B$8))</f>
        <v/>
      </c>
      <c r="AP31" s="29">
        <f>IF(IFERROR(VLOOKUP(AA31,RULES!$A:$Q,17,0),"")="",CONFIG!$B$13,VLOOKUP(AA31,RULES!$A:$Q,17,0))</f>
        <v/>
      </c>
      <c r="AQ31" s="29">
        <f>IF(IFERROR(VLOOKUP(AA31,RULES!$A:$R,18,0),"")="",CONFIG!$B$14,VLOOKUP(AA31,RULES!$A:$R,18,0))</f>
        <v/>
      </c>
      <c r="AR31" s="29">
        <f>IFERROR(VLOOKUP(AA31,RULES!$A:$S,19,0)*1,0)</f>
        <v/>
      </c>
      <c r="AS31" s="29">
        <f>IFERROR(VLOOKUP(AA31,RULES!$A:$T,20,0)*1,0)</f>
        <v/>
      </c>
      <c r="AT31" s="29">
        <f>IFERROR(VLOOKUP(AA31,RULES!$A:$U,21,0)*1,0)</f>
        <v/>
      </c>
      <c r="AU31" s="29">
        <f>IFERROR(VLOOKUP(AA31,RULES!$A:$V,22,0)*1,0)</f>
        <v/>
      </c>
      <c r="AV31" s="29">
        <f>IFERROR(VLOOKUP(AA31,RULES!$A:$W,23,0)*1,0)</f>
        <v/>
      </c>
      <c r="AW31" s="29">
        <f>IFERROR(IF(VLOOKUP(AA31,RULES!$A:$X,24,0)="",999999,VLOOKUP(AA31,RULES!$A:$X,24,0)*1),999999)</f>
        <v/>
      </c>
      <c r="AX31" s="29">
        <f>IFERROR(VLOOKUP(AA31,RULES!$A:$Y,25,0)*1,0)</f>
        <v/>
      </c>
      <c r="AY31" s="29">
        <f>IFERROR(VLOOKUP(AA31,RULES!$A:$Z,26,0),"NONE")</f>
        <v/>
      </c>
      <c r="AZ31" s="29">
        <f>IFERROR(VLOOKUP(AA31,RULES!$A:$AA,27,0)*1,0)</f>
        <v/>
      </c>
      <c r="BA31" s="29">
        <f>IFERROR(VLOOKUP(AA31,RULES!$A:$AB,28,0)*1,0)</f>
        <v/>
      </c>
    </row>
    <row r="32" ht="17" customHeight="1">
      <c r="A32" s="22" t="inlineStr">
        <is>
          <t>3629</t>
        </is>
      </c>
      <c r="B32" s="48" t="inlineStr">
        <is>
          <t>ACC006</t>
        </is>
      </c>
      <c r="C32" s="48" t="inlineStr">
        <is>
          <t>DEFAULT</t>
        </is>
      </c>
      <c r="D32" s="47" t="n"/>
      <c r="E32" s="22">
        <f>IF(OR(D32="",D32=0),"INACTIVE","ACTIVE")</f>
        <v/>
      </c>
      <c r="F32" s="48" t="inlineStr">
        <is>
          <t>NORMAL</t>
        </is>
      </c>
      <c r="G32" s="25" t="n"/>
      <c r="H32" s="25" t="n"/>
      <c r="I32" s="26">
        <f>IF(OR(E32="INACTIVE",H32=""),0,MAX(0,H32-G32))</f>
        <v/>
      </c>
      <c r="J32" s="23" t="n"/>
      <c r="K32" s="26">
        <f>IF(OR(E32="INACTIVE",H32=""),0,IF(AB32="DISABLED",0,IF(AB32="FLAT",AE32,IF(AB32="MANUAL",IF(J32="",0,J32*AC32),IF(AB32="STEP",IF(I32&lt;=AF32,I32*AG32,IF(I32&lt;=AH32,AF32*AG32+(I32-AF32)*AI32,AF32*AG32+(AH32-AF32)*AI32+(I32-AH32)*AK32)),MAX(I32*AC32,AD32))))))</f>
        <v/>
      </c>
      <c r="L32" s="26">
        <f>IF(OR(E32="INACTIVE",H32=""),0,IF(AL32="NONE",0,IF(AL32="FLAT",AM32,IF(AL32="PER_UNIT",I32*AN32,IF(AL32="MANUAL",IF(M32="",0,M32),0)))))</f>
        <v/>
      </c>
      <c r="M32" s="23" t="n"/>
      <c r="N32" s="48" t="inlineStr">
        <is>
          <t>NORMAL</t>
        </is>
      </c>
      <c r="O32" s="25" t="n"/>
      <c r="P32" s="25" t="n"/>
      <c r="Q32" s="26">
        <f>IF(OR(E32="INACTIVE",P32=""),0,MAX(0,P32-O32))</f>
        <v/>
      </c>
      <c r="R32" s="23" t="n"/>
      <c r="S32" s="26">
        <f>IF(OR(E32="INACTIVE",P32=""),0,IF(AO32="DISABLED",0,IF(AO32="FLAT",AR32,IF(AO32="MANUAL",IF(R32="",0,R32*AP32),IF(AO32="STEP",IF(Q32&lt;=AS32,Q32*AT32,IF(Q32&lt;=AU32,AS32*AT32+(Q32-AS32)*AV32,AS32*AT32+(AU32-AS32)*AV32+(Q32-AU32)*AX32)),MAX(Q32*AP32,AQ32))))))</f>
        <v/>
      </c>
      <c r="T32" s="26">
        <f>IF(OR(E32="INACTIVE",P32=""),0,IF(AY32="NONE",0,IF(AY32="FLAT",AZ32,IF(AY32="PER_UNIT",Q32*BA32,IF(AY32="MANUAL",IF(U32="",0,U32),0)))))</f>
        <v/>
      </c>
      <c r="U32" s="23" t="n"/>
      <c r="V32" s="25" t="n"/>
      <c r="W32" s="25" t="n"/>
      <c r="X32" s="26">
        <f>IF(E32="INACTIVE",0,D32+K32+L32+S32+T32+IF(V32="",0,V32)+IF(W32="",0,W32))</f>
        <v/>
      </c>
      <c r="Y32" s="27" t="n"/>
      <c r="Z32" s="28">
        <f>IF(E32="INACTIVE","_",IF(AND(G32&gt;0,H32&gt;0,H32&lt;G32),"[!]น้ำ reset ","")&amp;IF(AND(O32&gt;0,P32&gt;0,P32&lt;O32),"[!]ไฟ reset ","")&amp;IF(AND(F32="MANUAL",J32=""),"[X]units น้ำ ","")&amp;IF(AND(N32="MANUAL",R32=""),"[X]units ไฟ ","")&amp;IF(D32=0,"[!]ค่าเช่า=0",""))</f>
        <v/>
      </c>
      <c r="AA32" s="29">
        <f>IF(C32&lt;&gt;"",C32,CONFIG!$B$6)</f>
        <v/>
      </c>
      <c r="AB32" s="29">
        <f>IF(F32&lt;&gt;"",F32,IFERROR(VLOOKUP(AA32,RULES!$A:$C,3,0),CONFIG!$B$7))</f>
        <v/>
      </c>
      <c r="AC32" s="29">
        <f>IF(IFERROR(VLOOKUP(AA32,RULES!$A:$D,4,0),"")="",CONFIG!$B$10,VLOOKUP(AA32,RULES!$A:$D,4,0))</f>
        <v/>
      </c>
      <c r="AD32" s="29">
        <f>IF(IFERROR(VLOOKUP(AA32,RULES!$A:$E,5,0),"")="",CONFIG!$B$11,VLOOKUP(AA32,RULES!$A:$E,5,0))</f>
        <v/>
      </c>
      <c r="AE32" s="29">
        <f>IFERROR(VLOOKUP(AA32,RULES!$A:$F,6,0)*1,0)</f>
        <v/>
      </c>
      <c r="AF32" s="29">
        <f>IFERROR(VLOOKUP(AA32,RULES!$A:$G,7,0)*1,0)</f>
        <v/>
      </c>
      <c r="AG32" s="29">
        <f>IFERROR(VLOOKUP(AA32,RULES!$A:$H,8,0)*1,0)</f>
        <v/>
      </c>
      <c r="AH32" s="29">
        <f>IFERROR(VLOOKUP(AA32,RULES!$A:$I,9,0)*1,0)</f>
        <v/>
      </c>
      <c r="AI32" s="29">
        <f>IFERROR(VLOOKUP(AA32,RULES!$A:$J,10,0)*1,0)</f>
        <v/>
      </c>
      <c r="AJ32" s="29">
        <f>IFERROR(IF(VLOOKUP(AA32,RULES!$A:$K,11,0)="",999999,VLOOKUP(AA32,RULES!$A:$K,11,0)*1),999999)</f>
        <v/>
      </c>
      <c r="AK32" s="29">
        <f>IFERROR(VLOOKUP(AA32,RULES!$A:$L,12,0)*1,0)</f>
        <v/>
      </c>
      <c r="AL32" s="29">
        <f>IFERROR(VLOOKUP(AA32,RULES!$A:$M,13,0),"NONE")</f>
        <v/>
      </c>
      <c r="AM32" s="29">
        <f>IFERROR(VLOOKUP(AA32,RULES!$A:$N,14,0)*1,0)</f>
        <v/>
      </c>
      <c r="AN32" s="29">
        <f>IFERROR(VLOOKUP(AA32,RULES!$A:$O,15,0)*1,0)</f>
        <v/>
      </c>
      <c r="AO32" s="29">
        <f>IF(N32&lt;&gt;"",N32,IFERROR(VLOOKUP(AA32,RULES!$A:$P,16,0),CONFIG!$B$8))</f>
        <v/>
      </c>
      <c r="AP32" s="29">
        <f>IF(IFERROR(VLOOKUP(AA32,RULES!$A:$Q,17,0),"")="",CONFIG!$B$13,VLOOKUP(AA32,RULES!$A:$Q,17,0))</f>
        <v/>
      </c>
      <c r="AQ32" s="29">
        <f>IF(IFERROR(VLOOKUP(AA32,RULES!$A:$R,18,0),"")="",CONFIG!$B$14,VLOOKUP(AA32,RULES!$A:$R,18,0))</f>
        <v/>
      </c>
      <c r="AR32" s="29">
        <f>IFERROR(VLOOKUP(AA32,RULES!$A:$S,19,0)*1,0)</f>
        <v/>
      </c>
      <c r="AS32" s="29">
        <f>IFERROR(VLOOKUP(AA32,RULES!$A:$T,20,0)*1,0)</f>
        <v/>
      </c>
      <c r="AT32" s="29">
        <f>IFERROR(VLOOKUP(AA32,RULES!$A:$U,21,0)*1,0)</f>
        <v/>
      </c>
      <c r="AU32" s="29">
        <f>IFERROR(VLOOKUP(AA32,RULES!$A:$V,22,0)*1,0)</f>
        <v/>
      </c>
      <c r="AV32" s="29">
        <f>IFERROR(VLOOKUP(AA32,RULES!$A:$W,23,0)*1,0)</f>
        <v/>
      </c>
      <c r="AW32" s="29">
        <f>IFERROR(IF(VLOOKUP(AA32,RULES!$A:$X,24,0)="",999999,VLOOKUP(AA32,RULES!$A:$X,24,0)*1),999999)</f>
        <v/>
      </c>
      <c r="AX32" s="29">
        <f>IFERROR(VLOOKUP(AA32,RULES!$A:$Y,25,0)*1,0)</f>
        <v/>
      </c>
      <c r="AY32" s="29">
        <f>IFERROR(VLOOKUP(AA32,RULES!$A:$Z,26,0),"NONE")</f>
        <v/>
      </c>
      <c r="AZ32" s="29">
        <f>IFERROR(VLOOKUP(AA32,RULES!$A:$AA,27,0)*1,0)</f>
        <v/>
      </c>
      <c r="BA32" s="29">
        <f>IFERROR(VLOOKUP(AA32,RULES!$A:$AB,28,0)*1,0)</f>
        <v/>
      </c>
    </row>
    <row r="33" ht="17" customHeight="1">
      <c r="A33" s="22" t="inlineStr">
        <is>
          <t>3630</t>
        </is>
      </c>
      <c r="B33" s="48" t="inlineStr">
        <is>
          <t>ACC006</t>
        </is>
      </c>
      <c r="C33" s="48" t="inlineStr">
        <is>
          <t>DEFAULT</t>
        </is>
      </c>
      <c r="D33" s="47" t="n"/>
      <c r="E33" s="22">
        <f>IF(OR(D33="",D33=0),"INACTIVE","ACTIVE")</f>
        <v/>
      </c>
      <c r="F33" s="48" t="inlineStr">
        <is>
          <t>NORMAL</t>
        </is>
      </c>
      <c r="G33" s="25" t="n"/>
      <c r="H33" s="25" t="n"/>
      <c r="I33" s="26">
        <f>IF(OR(E33="INACTIVE",H33=""),0,MAX(0,H33-G33))</f>
        <v/>
      </c>
      <c r="J33" s="23" t="n"/>
      <c r="K33" s="26">
        <f>IF(OR(E33="INACTIVE",H33=""),0,IF(AB33="DISABLED",0,IF(AB33="FLAT",AE33,IF(AB33="MANUAL",IF(J33="",0,J33*AC33),IF(AB33="STEP",IF(I33&lt;=AF33,I33*AG33,IF(I33&lt;=AH33,AF33*AG33+(I33-AF33)*AI33,AF33*AG33+(AH33-AF33)*AI33+(I33-AH33)*AK33)),MAX(I33*AC33,AD33))))))</f>
        <v/>
      </c>
      <c r="L33" s="26">
        <f>IF(OR(E33="INACTIVE",H33=""),0,IF(AL33="NONE",0,IF(AL33="FLAT",AM33,IF(AL33="PER_UNIT",I33*AN33,IF(AL33="MANUAL",IF(M33="",0,M33),0)))))</f>
        <v/>
      </c>
      <c r="M33" s="23" t="n"/>
      <c r="N33" s="48" t="inlineStr">
        <is>
          <t>NORMAL</t>
        </is>
      </c>
      <c r="O33" s="25" t="n"/>
      <c r="P33" s="25" t="n"/>
      <c r="Q33" s="26">
        <f>IF(OR(E33="INACTIVE",P33=""),0,MAX(0,P33-O33))</f>
        <v/>
      </c>
      <c r="R33" s="23" t="n"/>
      <c r="S33" s="26">
        <f>IF(OR(E33="INACTIVE",P33=""),0,IF(AO33="DISABLED",0,IF(AO33="FLAT",AR33,IF(AO33="MANUAL",IF(R33="",0,R33*AP33),IF(AO33="STEP",IF(Q33&lt;=AS33,Q33*AT33,IF(Q33&lt;=AU33,AS33*AT33+(Q33-AS33)*AV33,AS33*AT33+(AU33-AS33)*AV33+(Q33-AU33)*AX33)),MAX(Q33*AP33,AQ33))))))</f>
        <v/>
      </c>
      <c r="T33" s="26">
        <f>IF(OR(E33="INACTIVE",P33=""),0,IF(AY33="NONE",0,IF(AY33="FLAT",AZ33,IF(AY33="PER_UNIT",Q33*BA33,IF(AY33="MANUAL",IF(U33="",0,U33),0)))))</f>
        <v/>
      </c>
      <c r="U33" s="23" t="n"/>
      <c r="V33" s="25" t="n"/>
      <c r="W33" s="25" t="n"/>
      <c r="X33" s="26">
        <f>IF(E33="INACTIVE",0,D33+K33+L33+S33+T33+IF(V33="",0,V33)+IF(W33="",0,W33))</f>
        <v/>
      </c>
      <c r="Y33" s="27" t="n"/>
      <c r="Z33" s="28">
        <f>IF(E33="INACTIVE","_",IF(AND(G33&gt;0,H33&gt;0,H33&lt;G33),"[!]น้ำ reset ","")&amp;IF(AND(O33&gt;0,P33&gt;0,P33&lt;O33),"[!]ไฟ reset ","")&amp;IF(AND(F33="MANUAL",J33=""),"[X]units น้ำ ","")&amp;IF(AND(N33="MANUAL",R33=""),"[X]units ไฟ ","")&amp;IF(D33=0,"[!]ค่าเช่า=0",""))</f>
        <v/>
      </c>
      <c r="AA33" s="29">
        <f>IF(C33&lt;&gt;"",C33,CONFIG!$B$6)</f>
        <v/>
      </c>
      <c r="AB33" s="29">
        <f>IF(F33&lt;&gt;"",F33,IFERROR(VLOOKUP(AA33,RULES!$A:$C,3,0),CONFIG!$B$7))</f>
        <v/>
      </c>
      <c r="AC33" s="29">
        <f>IF(IFERROR(VLOOKUP(AA33,RULES!$A:$D,4,0),"")="",CONFIG!$B$10,VLOOKUP(AA33,RULES!$A:$D,4,0))</f>
        <v/>
      </c>
      <c r="AD33" s="29">
        <f>IF(IFERROR(VLOOKUP(AA33,RULES!$A:$E,5,0),"")="",CONFIG!$B$11,VLOOKUP(AA33,RULES!$A:$E,5,0))</f>
        <v/>
      </c>
      <c r="AE33" s="29">
        <f>IFERROR(VLOOKUP(AA33,RULES!$A:$F,6,0)*1,0)</f>
        <v/>
      </c>
      <c r="AF33" s="29">
        <f>IFERROR(VLOOKUP(AA33,RULES!$A:$G,7,0)*1,0)</f>
        <v/>
      </c>
      <c r="AG33" s="29">
        <f>IFERROR(VLOOKUP(AA33,RULES!$A:$H,8,0)*1,0)</f>
        <v/>
      </c>
      <c r="AH33" s="29">
        <f>IFERROR(VLOOKUP(AA33,RULES!$A:$I,9,0)*1,0)</f>
        <v/>
      </c>
      <c r="AI33" s="29">
        <f>IFERROR(VLOOKUP(AA33,RULES!$A:$J,10,0)*1,0)</f>
        <v/>
      </c>
      <c r="AJ33" s="29">
        <f>IFERROR(IF(VLOOKUP(AA33,RULES!$A:$K,11,0)="",999999,VLOOKUP(AA33,RULES!$A:$K,11,0)*1),999999)</f>
        <v/>
      </c>
      <c r="AK33" s="29">
        <f>IFERROR(VLOOKUP(AA33,RULES!$A:$L,12,0)*1,0)</f>
        <v/>
      </c>
      <c r="AL33" s="29">
        <f>IFERROR(VLOOKUP(AA33,RULES!$A:$M,13,0),"NONE")</f>
        <v/>
      </c>
      <c r="AM33" s="29">
        <f>IFERROR(VLOOKUP(AA33,RULES!$A:$N,14,0)*1,0)</f>
        <v/>
      </c>
      <c r="AN33" s="29">
        <f>IFERROR(VLOOKUP(AA33,RULES!$A:$O,15,0)*1,0)</f>
        <v/>
      </c>
      <c r="AO33" s="29">
        <f>IF(N33&lt;&gt;"",N33,IFERROR(VLOOKUP(AA33,RULES!$A:$P,16,0),CONFIG!$B$8))</f>
        <v/>
      </c>
      <c r="AP33" s="29">
        <f>IF(IFERROR(VLOOKUP(AA33,RULES!$A:$Q,17,0),"")="",CONFIG!$B$13,VLOOKUP(AA33,RULES!$A:$Q,17,0))</f>
        <v/>
      </c>
      <c r="AQ33" s="29">
        <f>IF(IFERROR(VLOOKUP(AA33,RULES!$A:$R,18,0),"")="",CONFIG!$B$14,VLOOKUP(AA33,RULES!$A:$R,18,0))</f>
        <v/>
      </c>
      <c r="AR33" s="29">
        <f>IFERROR(VLOOKUP(AA33,RULES!$A:$S,19,0)*1,0)</f>
        <v/>
      </c>
      <c r="AS33" s="29">
        <f>IFERROR(VLOOKUP(AA33,RULES!$A:$T,20,0)*1,0)</f>
        <v/>
      </c>
      <c r="AT33" s="29">
        <f>IFERROR(VLOOKUP(AA33,RULES!$A:$U,21,0)*1,0)</f>
        <v/>
      </c>
      <c r="AU33" s="29">
        <f>IFERROR(VLOOKUP(AA33,RULES!$A:$V,22,0)*1,0)</f>
        <v/>
      </c>
      <c r="AV33" s="29">
        <f>IFERROR(VLOOKUP(AA33,RULES!$A:$W,23,0)*1,0)</f>
        <v/>
      </c>
      <c r="AW33" s="29">
        <f>IFERROR(IF(VLOOKUP(AA33,RULES!$A:$X,24,0)="",999999,VLOOKUP(AA33,RULES!$A:$X,24,0)*1),999999)</f>
        <v/>
      </c>
      <c r="AX33" s="29">
        <f>IFERROR(VLOOKUP(AA33,RULES!$A:$Y,25,0)*1,0)</f>
        <v/>
      </c>
      <c r="AY33" s="29">
        <f>IFERROR(VLOOKUP(AA33,RULES!$A:$Z,26,0),"NONE")</f>
        <v/>
      </c>
      <c r="AZ33" s="29">
        <f>IFERROR(VLOOKUP(AA33,RULES!$A:$AA,27,0)*1,0)</f>
        <v/>
      </c>
      <c r="BA33" s="29">
        <f>IFERROR(VLOOKUP(AA33,RULES!$A:$AB,28,0)*1,0)</f>
        <v/>
      </c>
    </row>
    <row r="34" ht="17" customHeight="1">
      <c r="A34" s="22" t="inlineStr">
        <is>
          <t>3631</t>
        </is>
      </c>
      <c r="B34" s="48" t="inlineStr">
        <is>
          <t>ACC006</t>
        </is>
      </c>
      <c r="C34" s="48" t="inlineStr">
        <is>
          <t>DEFAULT</t>
        </is>
      </c>
      <c r="D34" s="47" t="n"/>
      <c r="E34" s="22">
        <f>IF(OR(D34="",D34=0),"INACTIVE","ACTIVE")</f>
        <v/>
      </c>
      <c r="F34" s="48" t="inlineStr">
        <is>
          <t>NORMAL</t>
        </is>
      </c>
      <c r="G34" s="25" t="n"/>
      <c r="H34" s="25" t="n"/>
      <c r="I34" s="26">
        <f>IF(OR(E34="INACTIVE",H34=""),0,MAX(0,H34-G34))</f>
        <v/>
      </c>
      <c r="J34" s="23" t="n"/>
      <c r="K34" s="26">
        <f>IF(OR(E34="INACTIVE",H34=""),0,IF(AB34="DISABLED",0,IF(AB34="FLAT",AE34,IF(AB34="MANUAL",IF(J34="",0,J34*AC34),IF(AB34="STEP",IF(I34&lt;=AF34,I34*AG34,IF(I34&lt;=AH34,AF34*AG34+(I34-AF34)*AI34,AF34*AG34+(AH34-AF34)*AI34+(I34-AH34)*AK34)),MAX(I34*AC34,AD34))))))</f>
        <v/>
      </c>
      <c r="L34" s="26">
        <f>IF(OR(E34="INACTIVE",H34=""),0,IF(AL34="NONE",0,IF(AL34="FLAT",AM34,IF(AL34="PER_UNIT",I34*AN34,IF(AL34="MANUAL",IF(M34="",0,M34),0)))))</f>
        <v/>
      </c>
      <c r="M34" s="23" t="n"/>
      <c r="N34" s="48" t="inlineStr">
        <is>
          <t>NORMAL</t>
        </is>
      </c>
      <c r="O34" s="25" t="n"/>
      <c r="P34" s="25" t="n"/>
      <c r="Q34" s="26">
        <f>IF(OR(E34="INACTIVE",P34=""),0,MAX(0,P34-O34))</f>
        <v/>
      </c>
      <c r="R34" s="23" t="n"/>
      <c r="S34" s="26">
        <f>IF(OR(E34="INACTIVE",P34=""),0,IF(AO34="DISABLED",0,IF(AO34="FLAT",AR34,IF(AO34="MANUAL",IF(R34="",0,R34*AP34),IF(AO34="STEP",IF(Q34&lt;=AS34,Q34*AT34,IF(Q34&lt;=AU34,AS34*AT34+(Q34-AS34)*AV34,AS34*AT34+(AU34-AS34)*AV34+(Q34-AU34)*AX34)),MAX(Q34*AP34,AQ34))))))</f>
        <v/>
      </c>
      <c r="T34" s="26">
        <f>IF(OR(E34="INACTIVE",P34=""),0,IF(AY34="NONE",0,IF(AY34="FLAT",AZ34,IF(AY34="PER_UNIT",Q34*BA34,IF(AY34="MANUAL",IF(U34="",0,U34),0)))))</f>
        <v/>
      </c>
      <c r="U34" s="23" t="n"/>
      <c r="V34" s="25" t="n"/>
      <c r="W34" s="25" t="n"/>
      <c r="X34" s="26">
        <f>IF(E34="INACTIVE",0,D34+K34+L34+S34+T34+IF(V34="",0,V34)+IF(W34="",0,W34))</f>
        <v/>
      </c>
      <c r="Y34" s="27" t="n"/>
      <c r="Z34" s="28">
        <f>IF(E34="INACTIVE","_",IF(AND(G34&gt;0,H34&gt;0,H34&lt;G34),"[!]น้ำ reset ","")&amp;IF(AND(O34&gt;0,P34&gt;0,P34&lt;O34),"[!]ไฟ reset ","")&amp;IF(AND(F34="MANUAL",J34=""),"[X]units น้ำ ","")&amp;IF(AND(N34="MANUAL",R34=""),"[X]units ไฟ ","")&amp;IF(D34=0,"[!]ค่าเช่า=0",""))</f>
        <v/>
      </c>
      <c r="AA34" s="29">
        <f>IF(C34&lt;&gt;"",C34,CONFIG!$B$6)</f>
        <v/>
      </c>
      <c r="AB34" s="29">
        <f>IF(F34&lt;&gt;"",F34,IFERROR(VLOOKUP(AA34,RULES!$A:$C,3,0),CONFIG!$B$7))</f>
        <v/>
      </c>
      <c r="AC34" s="29">
        <f>IF(IFERROR(VLOOKUP(AA34,RULES!$A:$D,4,0),"")="",CONFIG!$B$10,VLOOKUP(AA34,RULES!$A:$D,4,0))</f>
        <v/>
      </c>
      <c r="AD34" s="29">
        <f>IF(IFERROR(VLOOKUP(AA34,RULES!$A:$E,5,0),"")="",CONFIG!$B$11,VLOOKUP(AA34,RULES!$A:$E,5,0))</f>
        <v/>
      </c>
      <c r="AE34" s="29">
        <f>IFERROR(VLOOKUP(AA34,RULES!$A:$F,6,0)*1,0)</f>
        <v/>
      </c>
      <c r="AF34" s="29">
        <f>IFERROR(VLOOKUP(AA34,RULES!$A:$G,7,0)*1,0)</f>
        <v/>
      </c>
      <c r="AG34" s="29">
        <f>IFERROR(VLOOKUP(AA34,RULES!$A:$H,8,0)*1,0)</f>
        <v/>
      </c>
      <c r="AH34" s="29">
        <f>IFERROR(VLOOKUP(AA34,RULES!$A:$I,9,0)*1,0)</f>
        <v/>
      </c>
      <c r="AI34" s="29">
        <f>IFERROR(VLOOKUP(AA34,RULES!$A:$J,10,0)*1,0)</f>
        <v/>
      </c>
      <c r="AJ34" s="29">
        <f>IFERROR(IF(VLOOKUP(AA34,RULES!$A:$K,11,0)="",999999,VLOOKUP(AA34,RULES!$A:$K,11,0)*1),999999)</f>
        <v/>
      </c>
      <c r="AK34" s="29">
        <f>IFERROR(VLOOKUP(AA34,RULES!$A:$L,12,0)*1,0)</f>
        <v/>
      </c>
      <c r="AL34" s="29">
        <f>IFERROR(VLOOKUP(AA34,RULES!$A:$M,13,0),"NONE")</f>
        <v/>
      </c>
      <c r="AM34" s="29">
        <f>IFERROR(VLOOKUP(AA34,RULES!$A:$N,14,0)*1,0)</f>
        <v/>
      </c>
      <c r="AN34" s="29">
        <f>IFERROR(VLOOKUP(AA34,RULES!$A:$O,15,0)*1,0)</f>
        <v/>
      </c>
      <c r="AO34" s="29">
        <f>IF(N34&lt;&gt;"",N34,IFERROR(VLOOKUP(AA34,RULES!$A:$P,16,0),CONFIG!$B$8))</f>
        <v/>
      </c>
      <c r="AP34" s="29">
        <f>IF(IFERROR(VLOOKUP(AA34,RULES!$A:$Q,17,0),"")="",CONFIG!$B$13,VLOOKUP(AA34,RULES!$A:$Q,17,0))</f>
        <v/>
      </c>
      <c r="AQ34" s="29">
        <f>IF(IFERROR(VLOOKUP(AA34,RULES!$A:$R,18,0),"")="",CONFIG!$B$14,VLOOKUP(AA34,RULES!$A:$R,18,0))</f>
        <v/>
      </c>
      <c r="AR34" s="29">
        <f>IFERROR(VLOOKUP(AA34,RULES!$A:$S,19,0)*1,0)</f>
        <v/>
      </c>
      <c r="AS34" s="29">
        <f>IFERROR(VLOOKUP(AA34,RULES!$A:$T,20,0)*1,0)</f>
        <v/>
      </c>
      <c r="AT34" s="29">
        <f>IFERROR(VLOOKUP(AA34,RULES!$A:$U,21,0)*1,0)</f>
        <v/>
      </c>
      <c r="AU34" s="29">
        <f>IFERROR(VLOOKUP(AA34,RULES!$A:$V,22,0)*1,0)</f>
        <v/>
      </c>
      <c r="AV34" s="29">
        <f>IFERROR(VLOOKUP(AA34,RULES!$A:$W,23,0)*1,0)</f>
        <v/>
      </c>
      <c r="AW34" s="29">
        <f>IFERROR(IF(VLOOKUP(AA34,RULES!$A:$X,24,0)="",999999,VLOOKUP(AA34,RULES!$A:$X,24,0)*1),999999)</f>
        <v/>
      </c>
      <c r="AX34" s="29">
        <f>IFERROR(VLOOKUP(AA34,RULES!$A:$Y,25,0)*1,0)</f>
        <v/>
      </c>
      <c r="AY34" s="29">
        <f>IFERROR(VLOOKUP(AA34,RULES!$A:$Z,26,0),"NONE")</f>
        <v/>
      </c>
      <c r="AZ34" s="29">
        <f>IFERROR(VLOOKUP(AA34,RULES!$A:$AA,27,0)*1,0)</f>
        <v/>
      </c>
      <c r="BA34" s="29">
        <f>IFERROR(VLOOKUP(AA34,RULES!$A:$AB,28,0)*1,0)</f>
        <v/>
      </c>
    </row>
    <row r="35" ht="17" customHeight="1">
      <c r="A35" s="22" t="inlineStr">
        <is>
          <t>3632</t>
        </is>
      </c>
      <c r="B35" s="48" t="inlineStr">
        <is>
          <t>ACC006</t>
        </is>
      </c>
      <c r="C35" s="48" t="inlineStr">
        <is>
          <t>DEFAULT</t>
        </is>
      </c>
      <c r="D35" s="47" t="n"/>
      <c r="E35" s="22">
        <f>IF(OR(D35="",D35=0),"INACTIVE","ACTIVE")</f>
        <v/>
      </c>
      <c r="F35" s="48" t="inlineStr">
        <is>
          <t>NORMAL</t>
        </is>
      </c>
      <c r="G35" s="25" t="n"/>
      <c r="H35" s="25" t="n"/>
      <c r="I35" s="26">
        <f>IF(OR(E35="INACTIVE",H35=""),0,MAX(0,H35-G35))</f>
        <v/>
      </c>
      <c r="J35" s="23" t="n"/>
      <c r="K35" s="26">
        <f>IF(OR(E35="INACTIVE",H35=""),0,IF(AB35="DISABLED",0,IF(AB35="FLAT",AE35,IF(AB35="MANUAL",IF(J35="",0,J35*AC35),IF(AB35="STEP",IF(I35&lt;=AF35,I35*AG35,IF(I35&lt;=AH35,AF35*AG35+(I35-AF35)*AI35,AF35*AG35+(AH35-AF35)*AI35+(I35-AH35)*AK35)),MAX(I35*AC35,AD35))))))</f>
        <v/>
      </c>
      <c r="L35" s="26">
        <f>IF(OR(E35="INACTIVE",H35=""),0,IF(AL35="NONE",0,IF(AL35="FLAT",AM35,IF(AL35="PER_UNIT",I35*AN35,IF(AL35="MANUAL",IF(M35="",0,M35),0)))))</f>
        <v/>
      </c>
      <c r="M35" s="23" t="n"/>
      <c r="N35" s="48" t="inlineStr">
        <is>
          <t>NORMAL</t>
        </is>
      </c>
      <c r="O35" s="25" t="n"/>
      <c r="P35" s="25" t="n"/>
      <c r="Q35" s="26">
        <f>IF(OR(E35="INACTIVE",P35=""),0,MAX(0,P35-O35))</f>
        <v/>
      </c>
      <c r="R35" s="23" t="n"/>
      <c r="S35" s="26">
        <f>IF(OR(E35="INACTIVE",P35=""),0,IF(AO35="DISABLED",0,IF(AO35="FLAT",AR35,IF(AO35="MANUAL",IF(R35="",0,R35*AP35),IF(AO35="STEP",IF(Q35&lt;=AS35,Q35*AT35,IF(Q35&lt;=AU35,AS35*AT35+(Q35-AS35)*AV35,AS35*AT35+(AU35-AS35)*AV35+(Q35-AU35)*AX35)),MAX(Q35*AP35,AQ35))))))</f>
        <v/>
      </c>
      <c r="T35" s="26">
        <f>IF(OR(E35="INACTIVE",P35=""),0,IF(AY35="NONE",0,IF(AY35="FLAT",AZ35,IF(AY35="PER_UNIT",Q35*BA35,IF(AY35="MANUAL",IF(U35="",0,U35),0)))))</f>
        <v/>
      </c>
      <c r="U35" s="23" t="n"/>
      <c r="V35" s="25" t="n"/>
      <c r="W35" s="25" t="n"/>
      <c r="X35" s="26">
        <f>IF(E35="INACTIVE",0,D35+K35+L35+S35+T35+IF(V35="",0,V35)+IF(W35="",0,W35))</f>
        <v/>
      </c>
      <c r="Y35" s="27" t="n"/>
      <c r="Z35" s="28">
        <f>IF(E35="INACTIVE","_",IF(AND(G35&gt;0,H35&gt;0,H35&lt;G35),"[!]น้ำ reset ","")&amp;IF(AND(O35&gt;0,P35&gt;0,P35&lt;O35),"[!]ไฟ reset ","")&amp;IF(AND(F35="MANUAL",J35=""),"[X]units น้ำ ","")&amp;IF(AND(N35="MANUAL",R35=""),"[X]units ไฟ ","")&amp;IF(D35=0,"[!]ค่าเช่า=0",""))</f>
        <v/>
      </c>
      <c r="AA35" s="29">
        <f>IF(C35&lt;&gt;"",C35,CONFIG!$B$6)</f>
        <v/>
      </c>
      <c r="AB35" s="29">
        <f>IF(F35&lt;&gt;"",F35,IFERROR(VLOOKUP(AA35,RULES!$A:$C,3,0),CONFIG!$B$7))</f>
        <v/>
      </c>
      <c r="AC35" s="29">
        <f>IF(IFERROR(VLOOKUP(AA35,RULES!$A:$D,4,0),"")="",CONFIG!$B$10,VLOOKUP(AA35,RULES!$A:$D,4,0))</f>
        <v/>
      </c>
      <c r="AD35" s="29">
        <f>IF(IFERROR(VLOOKUP(AA35,RULES!$A:$E,5,0),"")="",CONFIG!$B$11,VLOOKUP(AA35,RULES!$A:$E,5,0))</f>
        <v/>
      </c>
      <c r="AE35" s="29">
        <f>IFERROR(VLOOKUP(AA35,RULES!$A:$F,6,0)*1,0)</f>
        <v/>
      </c>
      <c r="AF35" s="29">
        <f>IFERROR(VLOOKUP(AA35,RULES!$A:$G,7,0)*1,0)</f>
        <v/>
      </c>
      <c r="AG35" s="29">
        <f>IFERROR(VLOOKUP(AA35,RULES!$A:$H,8,0)*1,0)</f>
        <v/>
      </c>
      <c r="AH35" s="29">
        <f>IFERROR(VLOOKUP(AA35,RULES!$A:$I,9,0)*1,0)</f>
        <v/>
      </c>
      <c r="AI35" s="29">
        <f>IFERROR(VLOOKUP(AA35,RULES!$A:$J,10,0)*1,0)</f>
        <v/>
      </c>
      <c r="AJ35" s="29">
        <f>IFERROR(IF(VLOOKUP(AA35,RULES!$A:$K,11,0)="",999999,VLOOKUP(AA35,RULES!$A:$K,11,0)*1),999999)</f>
        <v/>
      </c>
      <c r="AK35" s="29">
        <f>IFERROR(VLOOKUP(AA35,RULES!$A:$L,12,0)*1,0)</f>
        <v/>
      </c>
      <c r="AL35" s="29">
        <f>IFERROR(VLOOKUP(AA35,RULES!$A:$M,13,0),"NONE")</f>
        <v/>
      </c>
      <c r="AM35" s="29">
        <f>IFERROR(VLOOKUP(AA35,RULES!$A:$N,14,0)*1,0)</f>
        <v/>
      </c>
      <c r="AN35" s="29">
        <f>IFERROR(VLOOKUP(AA35,RULES!$A:$O,15,0)*1,0)</f>
        <v/>
      </c>
      <c r="AO35" s="29">
        <f>IF(N35&lt;&gt;"",N35,IFERROR(VLOOKUP(AA35,RULES!$A:$P,16,0),CONFIG!$B$8))</f>
        <v/>
      </c>
      <c r="AP35" s="29">
        <f>IF(IFERROR(VLOOKUP(AA35,RULES!$A:$Q,17,0),"")="",CONFIG!$B$13,VLOOKUP(AA35,RULES!$A:$Q,17,0))</f>
        <v/>
      </c>
      <c r="AQ35" s="29">
        <f>IF(IFERROR(VLOOKUP(AA35,RULES!$A:$R,18,0),"")="",CONFIG!$B$14,VLOOKUP(AA35,RULES!$A:$R,18,0))</f>
        <v/>
      </c>
      <c r="AR35" s="29">
        <f>IFERROR(VLOOKUP(AA35,RULES!$A:$S,19,0)*1,0)</f>
        <v/>
      </c>
      <c r="AS35" s="29">
        <f>IFERROR(VLOOKUP(AA35,RULES!$A:$T,20,0)*1,0)</f>
        <v/>
      </c>
      <c r="AT35" s="29">
        <f>IFERROR(VLOOKUP(AA35,RULES!$A:$U,21,0)*1,0)</f>
        <v/>
      </c>
      <c r="AU35" s="29">
        <f>IFERROR(VLOOKUP(AA35,RULES!$A:$V,22,0)*1,0)</f>
        <v/>
      </c>
      <c r="AV35" s="29">
        <f>IFERROR(VLOOKUP(AA35,RULES!$A:$W,23,0)*1,0)</f>
        <v/>
      </c>
      <c r="AW35" s="29">
        <f>IFERROR(IF(VLOOKUP(AA35,RULES!$A:$X,24,0)="",999999,VLOOKUP(AA35,RULES!$A:$X,24,0)*1),999999)</f>
        <v/>
      </c>
      <c r="AX35" s="29">
        <f>IFERROR(VLOOKUP(AA35,RULES!$A:$Y,25,0)*1,0)</f>
        <v/>
      </c>
      <c r="AY35" s="29">
        <f>IFERROR(VLOOKUP(AA35,RULES!$A:$Z,26,0),"NONE")</f>
        <v/>
      </c>
      <c r="AZ35" s="29">
        <f>IFERROR(VLOOKUP(AA35,RULES!$A:$AA,27,0)*1,0)</f>
        <v/>
      </c>
      <c r="BA35" s="29">
        <f>IFERROR(VLOOKUP(AA35,RULES!$A:$AB,28,0)*1,0)</f>
        <v/>
      </c>
    </row>
    <row r="36" ht="17" customHeight="1">
      <c r="A36" s="35" t="n"/>
      <c r="B36" s="46" t="n"/>
      <c r="C36" s="48" t="inlineStr">
        <is>
          <t>DEFAULT</t>
        </is>
      </c>
      <c r="D36" s="47" t="n"/>
      <c r="E36" s="38">
        <f>IF(OR(D36="",D36=0),"INACTIVE","ACTIVE")</f>
        <v/>
      </c>
      <c r="F36" s="48" t="inlineStr">
        <is>
          <t>NORMAL</t>
        </is>
      </c>
      <c r="G36" s="37" t="n"/>
      <c r="H36" s="37" t="n"/>
      <c r="I36" s="39">
        <f>IF(OR(E36="INACTIVE",H36=""),0,MAX(0,H36-G36))</f>
        <v/>
      </c>
      <c r="J36" s="37" t="n"/>
      <c r="K36" s="40">
        <f>IF(OR(E36="INACTIVE",H36=""),0,IF(AB36="DISABLED",0,IF(AB36="FLAT",AE36,IF(AB36="MANUAL",IF(J36="",0,J36*AC36),IF(AB36="STEP",IF(I36&lt;=AF36,I36*AG36,IF(I36&lt;=AH36,AF36*AG36+(I36-AF36)*AI36,AF36*AG36+(AH36-AF36)*AI36+(I36-AH36)*AK36)),MAX(I36*AC36,AD36))))))</f>
        <v/>
      </c>
      <c r="L36" s="40">
        <f>IF(OR(E36="INACTIVE",H36=""),0,IF(AL36="NONE",0,IF(AL36="FLAT",AM36,IF(AL36="PER_UNIT",I36*AN36,IF(AL36="MANUAL",IF(M36="",0,M36),0)))))</f>
        <v/>
      </c>
      <c r="M36" s="37" t="n"/>
      <c r="N36" s="48" t="inlineStr">
        <is>
          <t>NORMAL</t>
        </is>
      </c>
      <c r="O36" s="37" t="n"/>
      <c r="P36" s="37" t="n"/>
      <c r="Q36" s="39">
        <f>IF(OR(E36="INACTIVE",P36=""),0,MAX(0,P36-O36))</f>
        <v/>
      </c>
      <c r="R36" s="37" t="n"/>
      <c r="S36" s="40">
        <f>IF(OR(E36="INACTIVE",P36=""),0,IF(AO36="DISABLED",0,IF(AO36="FLAT",AR36,IF(AO36="MANUAL",IF(R36="",0,R36*AP36),IF(AO36="STEP",IF(Q36&lt;=AS36,Q36*AT36,IF(Q36&lt;=AU36,AS36*AT36+(Q36-AS36)*AV36,AS36*AT36+(AU36-AS36)*AV36+(Q36-AU36)*AX36)),MAX(Q36*AP36,AQ36))))))</f>
        <v/>
      </c>
      <c r="T36" s="40">
        <f>IF(OR(E36="INACTIVE",P36=""),0,IF(AY36="NONE",0,IF(AY36="FLAT",AZ36,IF(AY36="PER_UNIT",Q36*BA36,IF(AY36="MANUAL",IF(U36="",0,U36),0)))))</f>
        <v/>
      </c>
      <c r="U36" s="37" t="n"/>
      <c r="V36" s="37" t="n"/>
      <c r="W36" s="37" t="n"/>
      <c r="X36" s="40">
        <f>IF(E36="INACTIVE",0,D36+K36+L36+S36+T36+IF(V36="",0,V36)+IF(W36="",0,W36))</f>
        <v/>
      </c>
      <c r="Y36" s="37" t="n"/>
      <c r="Z36" s="39">
        <f>IF(E36="INACTIVE","_",IF(AND(G36&gt;0,H36&gt;0,H36&lt;G36),"[!]น้ำ reset ","")&amp;IF(AND(O36&gt;0,P36&gt;0,P36&lt;O36),"[!]ไฟ reset ","")&amp;IF(AND(F36="MANUAL",J36=""),"[X]units น้ำ ","")&amp;IF(AND(N36="MANUAL",R36=""),"[X]units ไฟ ","")&amp;IF(D36=0,"[!]ค่าเช่า=0",""))</f>
        <v/>
      </c>
      <c r="AA36" s="41">
        <f>IF(C36&lt;&gt;"",C36,CONFIG!$B$6)</f>
        <v/>
      </c>
      <c r="AB36" s="41">
        <f>IF(F36&lt;&gt;"",F36,IFERROR(VLOOKUP(AA36,RULES!$A:$C,3,0),CONFIG!$B$7))</f>
        <v/>
      </c>
      <c r="AC36" s="41">
        <f>IF(IFERROR(VLOOKUP(AA36,RULES!$A:$D,4,0),"")="",CONFIG!$B$10,VLOOKUP(AA36,RULES!$A:$D,4,0))</f>
        <v/>
      </c>
      <c r="AD36" s="41">
        <f>IF(IFERROR(VLOOKUP(AA36,RULES!$A:$E,5,0),"")="",CONFIG!$B$11,VLOOKUP(AA36,RULES!$A:$E,5,0))</f>
        <v/>
      </c>
      <c r="AE36" s="41">
        <f>IFERROR(VLOOKUP(AA36,RULES!$A:$F,6,0)*1,0)</f>
        <v/>
      </c>
      <c r="AF36" s="41">
        <f>IFERROR(VLOOKUP(AA36,RULES!$A:$G,7,0)*1,0)</f>
        <v/>
      </c>
      <c r="AG36" s="41">
        <f>IFERROR(VLOOKUP(AA36,RULES!$A:$H,8,0)*1,0)</f>
        <v/>
      </c>
      <c r="AH36" s="41">
        <f>IFERROR(VLOOKUP(AA36,RULES!$A:$I,9,0)*1,0)</f>
        <v/>
      </c>
      <c r="AI36" s="41">
        <f>IFERROR(VLOOKUP(AA36,RULES!$A:$J,10,0)*1,0)</f>
        <v/>
      </c>
      <c r="AJ36" s="41">
        <f>IFERROR(IF(VLOOKUP(AA36,RULES!$A:$K,11,0)="",999999,VLOOKUP(AA36,RULES!$A:$K,11,0)*1),999999)</f>
        <v/>
      </c>
      <c r="AK36" s="41">
        <f>IFERROR(VLOOKUP(AA36,RULES!$A:$L,12,0)*1,0)</f>
        <v/>
      </c>
      <c r="AL36" s="41">
        <f>IFERROR(VLOOKUP(AA36,RULES!$A:$M,13,0),"NONE")</f>
        <v/>
      </c>
      <c r="AM36" s="41">
        <f>IFERROR(VLOOKUP(AA36,RULES!$A:$N,14,0)*1,0)</f>
        <v/>
      </c>
      <c r="AN36" s="41">
        <f>IFERROR(VLOOKUP(AA36,RULES!$A:$O,15,0)*1,0)</f>
        <v/>
      </c>
      <c r="AO36" s="41">
        <f>IF(N36&lt;&gt;"",N36,IFERROR(VLOOKUP(AA36,RULES!$A:$P,16,0),CONFIG!$B$8))</f>
        <v/>
      </c>
      <c r="AP36" s="41">
        <f>IF(IFERROR(VLOOKUP(AA36,RULES!$A:$Q,17,0),"")="",CONFIG!$B$13,VLOOKUP(AA36,RULES!$A:$Q,17,0))</f>
        <v/>
      </c>
      <c r="AQ36" s="41">
        <f>IF(IFERROR(VLOOKUP(AA36,RULES!$A:$R,18,0),"")="",CONFIG!$B$14,VLOOKUP(AA36,RULES!$A:$R,18,0))</f>
        <v/>
      </c>
      <c r="AR36" s="41">
        <f>IFERROR(VLOOKUP(AA36,RULES!$A:$S,19,0)*1,0)</f>
        <v/>
      </c>
      <c r="AS36" s="41">
        <f>IFERROR(VLOOKUP(AA36,RULES!$A:$T,20,0)*1,0)</f>
        <v/>
      </c>
      <c r="AT36" s="41">
        <f>IFERROR(VLOOKUP(AA36,RULES!$A:$U,21,0)*1,0)</f>
        <v/>
      </c>
      <c r="AU36" s="41">
        <f>IFERROR(VLOOKUP(AA36,RULES!$A:$V,22,0)*1,0)</f>
        <v/>
      </c>
      <c r="AV36" s="41">
        <f>IFERROR(VLOOKUP(AA36,RULES!$A:$W,23,0)*1,0)</f>
        <v/>
      </c>
      <c r="AW36" s="41">
        <f>IFERROR(IF(VLOOKUP(AA36,RULES!$A:$X,24,0)="",999999,VLOOKUP(AA36,RULES!$A:$X,24,0)*1),999999)</f>
        <v/>
      </c>
      <c r="AX36" s="41">
        <f>IFERROR(VLOOKUP(AA36,RULES!$A:$Y,25,0)*1,0)</f>
        <v/>
      </c>
      <c r="AY36" s="41">
        <f>IFERROR(VLOOKUP(AA36,RULES!$A:$Z,26,0),"NONE")</f>
        <v/>
      </c>
      <c r="AZ36" s="41">
        <f>IFERROR(VLOOKUP(AA36,RULES!$A:$AA,27,0)*1,0)</f>
        <v/>
      </c>
      <c r="BA36" s="41">
        <f>IFERROR(VLOOKUP(AA36,RULES!$A:$AB,28,0)*1,0)</f>
        <v/>
      </c>
    </row>
    <row r="37" ht="17" customHeight="1">
      <c r="A37" s="36" t="n"/>
      <c r="B37" s="48" t="inlineStr">
        <is>
          <t>ACC006</t>
        </is>
      </c>
      <c r="C37" s="48" t="inlineStr">
        <is>
          <t>DEFAULT</t>
        </is>
      </c>
      <c r="D37" s="47" t="n"/>
      <c r="E37" s="36">
        <f>IF(OR(D37="",D37=0),"INACTIVE","ACTIVE")</f>
        <v/>
      </c>
      <c r="F37" s="48" t="inlineStr">
        <is>
          <t>NORMAL</t>
        </is>
      </c>
      <c r="G37" s="36" t="n"/>
      <c r="H37" s="36" t="n"/>
      <c r="I37" s="42">
        <f>IF(OR(E37="INACTIVE",H37=""),0,MAX(0,H37-G37))</f>
        <v/>
      </c>
      <c r="J37" s="36" t="n"/>
      <c r="K37" s="42">
        <f>IF(OR(E37="INACTIVE",H37=""),0,IF(AB37="DISABLED",0,IF(AB37="FLAT",AE37,IF(AB37="MANUAL",IF(J37="",0,J37*AC37),IF(AB37="STEP",IF(I37&lt;=AF37,I37*AG37,IF(I37&lt;=AH37,AF37*AG37+(I37-AF37)*AI37,AF37*AG37+(AH37-AF37)*AI37+(I37-AH37)*AK37)),MAX(I37*AC37,AD37))))))</f>
        <v/>
      </c>
      <c r="L37" s="42">
        <f>IF(OR(E37="INACTIVE",H37=""),0,IF(AL37="NONE",0,IF(AL37="FLAT",AM37,IF(AL37="PER_UNIT",I37*AN37,IF(AL37="MANUAL",IF(M37="",0,M37),0)))))</f>
        <v/>
      </c>
      <c r="M37" s="36" t="n"/>
      <c r="N37" s="48" t="inlineStr">
        <is>
          <t>NORMAL</t>
        </is>
      </c>
      <c r="O37" s="36" t="n"/>
      <c r="P37" s="36" t="n"/>
      <c r="Q37" s="42">
        <f>IF(OR(E37="INACTIVE",P37=""),0,MAX(0,P37-O37))</f>
        <v/>
      </c>
      <c r="R37" s="36" t="n"/>
      <c r="S37" s="42">
        <f>IF(OR(E37="INACTIVE",P37=""),0,IF(AO37="DISABLED",0,IF(AO37="FLAT",AR37,IF(AO37="MANUAL",IF(R37="",0,R37*AP37),IF(AO37="STEP",IF(Q37&lt;=AS37,Q37*AT37,IF(Q37&lt;=AU37,AS37*AT37+(Q37-AS37)*AV37,AS37*AT37+(AU37-AS37)*AV37+(Q37-AU37)*AX37)),MAX(Q37*AP37,AQ37))))))</f>
        <v/>
      </c>
      <c r="T37" s="42">
        <f>IF(OR(E37="INACTIVE",P37=""),0,IF(AY37="NONE",0,IF(AY37="FLAT",AZ37,IF(AY37="PER_UNIT",Q37*BA37,IF(AY37="MANUAL",IF(U37="",0,U37),0)))))</f>
        <v/>
      </c>
      <c r="U37" s="36" t="n"/>
      <c r="V37" s="36" t="n"/>
      <c r="W37" s="36" t="n"/>
      <c r="X37" s="42">
        <f>IF(E37="INACTIVE",0,D37+K37+L37+S37+T37+IF(V37="",0,V37)+IF(W37="",0,W37))</f>
        <v/>
      </c>
      <c r="Y37" s="36" t="n"/>
      <c r="Z37" s="42">
        <f>IF(E37="INACTIVE","_",IF(AND(G37&gt;0,H37&gt;0,H37&lt;G37),"[!]น้ำ reset ","")&amp;IF(AND(O37&gt;0,P37&gt;0,P37&lt;O37),"[!]ไฟ reset ","")&amp;IF(AND(F37="MANUAL",J37=""),"[X]units น้ำ ","")&amp;IF(AND(N37="MANUAL",R37=""),"[X]units ไฟ ","")&amp;IF(D37=0,"[!]ค่าเช่า=0",""))</f>
        <v/>
      </c>
      <c r="AA37" s="41">
        <f>IF(C37&lt;&gt;"",C37,CONFIG!$B$6)</f>
        <v/>
      </c>
      <c r="AB37" s="41">
        <f>IF(F37&lt;&gt;"",F37,IFERROR(VLOOKUP(AA37,RULES!$A:$C,3,0),CONFIG!$B$7))</f>
        <v/>
      </c>
      <c r="AC37" s="41">
        <f>IF(IFERROR(VLOOKUP(AA37,RULES!$A:$D,4,0),"")="",CONFIG!$B$10,VLOOKUP(AA37,RULES!$A:$D,4,0))</f>
        <v/>
      </c>
      <c r="AD37" s="41">
        <f>IF(IFERROR(VLOOKUP(AA37,RULES!$A:$E,5,0),"")="",CONFIG!$B$11,VLOOKUP(AA37,RULES!$A:$E,5,0))</f>
        <v/>
      </c>
      <c r="AE37" s="41">
        <f>IFERROR(VLOOKUP(AA37,RULES!$A:$F,6,0)*1,0)</f>
        <v/>
      </c>
      <c r="AF37" s="41">
        <f>IFERROR(VLOOKUP(AA37,RULES!$A:$G,7,0)*1,0)</f>
        <v/>
      </c>
      <c r="AG37" s="41">
        <f>IFERROR(VLOOKUP(AA37,RULES!$A:$H,8,0)*1,0)</f>
        <v/>
      </c>
      <c r="AH37" s="41">
        <f>IFERROR(VLOOKUP(AA37,RULES!$A:$I,9,0)*1,0)</f>
        <v/>
      </c>
      <c r="AI37" s="41">
        <f>IFERROR(VLOOKUP(AA37,RULES!$A:$J,10,0)*1,0)</f>
        <v/>
      </c>
      <c r="AJ37" s="41">
        <f>IFERROR(IF(VLOOKUP(AA37,RULES!$A:$K,11,0)="",999999,VLOOKUP(AA37,RULES!$A:$K,11,0)*1),999999)</f>
        <v/>
      </c>
      <c r="AK37" s="41">
        <f>IFERROR(VLOOKUP(AA37,RULES!$A:$L,12,0)*1,0)</f>
        <v/>
      </c>
      <c r="AL37" s="41">
        <f>IFERROR(VLOOKUP(AA37,RULES!$A:$M,13,0),"NONE")</f>
        <v/>
      </c>
      <c r="AM37" s="41">
        <f>IFERROR(VLOOKUP(AA37,RULES!$A:$N,14,0)*1,0)</f>
        <v/>
      </c>
      <c r="AN37" s="41">
        <f>IFERROR(VLOOKUP(AA37,RULES!$A:$O,15,0)*1,0)</f>
        <v/>
      </c>
      <c r="AO37" s="41">
        <f>IF(N37&lt;&gt;"",N37,IFERROR(VLOOKUP(AA37,RULES!$A:$P,16,0),CONFIG!$B$8))</f>
        <v/>
      </c>
      <c r="AP37" s="41">
        <f>IF(IFERROR(VLOOKUP(AA37,RULES!$A:$Q,17,0),"")="",CONFIG!$B$13,VLOOKUP(AA37,RULES!$A:$Q,17,0))</f>
        <v/>
      </c>
      <c r="AQ37" s="41">
        <f>IF(IFERROR(VLOOKUP(AA37,RULES!$A:$R,18,0),"")="",CONFIG!$B$14,VLOOKUP(AA37,RULES!$A:$R,18,0))</f>
        <v/>
      </c>
      <c r="AR37" s="41">
        <f>IFERROR(VLOOKUP(AA37,RULES!$A:$S,19,0)*1,0)</f>
        <v/>
      </c>
      <c r="AS37" s="41">
        <f>IFERROR(VLOOKUP(AA37,RULES!$A:$T,20,0)*1,0)</f>
        <v/>
      </c>
      <c r="AT37" s="41">
        <f>IFERROR(VLOOKUP(AA37,RULES!$A:$U,21,0)*1,0)</f>
        <v/>
      </c>
      <c r="AU37" s="41">
        <f>IFERROR(VLOOKUP(AA37,RULES!$A:$V,22,0)*1,0)</f>
        <v/>
      </c>
      <c r="AV37" s="41">
        <f>IFERROR(VLOOKUP(AA37,RULES!$A:$W,23,0)*1,0)</f>
        <v/>
      </c>
      <c r="AW37" s="41">
        <f>IFERROR(IF(VLOOKUP(AA37,RULES!$A:$X,24,0)="",999999,VLOOKUP(AA37,RULES!$A:$X,24,0)*1),999999)</f>
        <v/>
      </c>
      <c r="AX37" s="41">
        <f>IFERROR(VLOOKUP(AA37,RULES!$A:$Y,25,0)*1,0)</f>
        <v/>
      </c>
      <c r="AY37" s="41">
        <f>IFERROR(VLOOKUP(AA37,RULES!$A:$Z,26,0),"NONE")</f>
        <v/>
      </c>
      <c r="AZ37" s="41">
        <f>IFERROR(VLOOKUP(AA37,RULES!$A:$AA,27,0)*1,0)</f>
        <v/>
      </c>
      <c r="BA37" s="41">
        <f>IFERROR(VLOOKUP(AA37,RULES!$A:$AB,28,0)*1,0)</f>
        <v/>
      </c>
    </row>
    <row r="38" ht="17" customHeight="1">
      <c r="A38" s="36" t="n"/>
      <c r="B38" s="48" t="inlineStr">
        <is>
          <t>ACC006</t>
        </is>
      </c>
      <c r="C38" s="48" t="inlineStr">
        <is>
          <t>DEFAULT</t>
        </is>
      </c>
      <c r="D38" s="47" t="n"/>
      <c r="E38" s="36">
        <f>IF(OR(D38="",D38=0),"INACTIVE","ACTIVE")</f>
        <v/>
      </c>
      <c r="F38" s="48" t="inlineStr">
        <is>
          <t>NORMAL</t>
        </is>
      </c>
      <c r="G38" s="36" t="n"/>
      <c r="H38" s="36" t="n"/>
      <c r="I38" s="42">
        <f>IF(OR(E38="INACTIVE",H38=""),0,MAX(0,H38-G38))</f>
        <v/>
      </c>
      <c r="J38" s="36" t="n"/>
      <c r="K38" s="42">
        <f>IF(OR(E38="INACTIVE",H38=""),0,IF(AB38="DISABLED",0,IF(AB38="FLAT",AE38,IF(AB38="MANUAL",IF(J38="",0,J38*AC38),IF(AB38="STEP",IF(I38&lt;=AF38,I38*AG38,IF(I38&lt;=AH38,AF38*AG38+(I38-AF38)*AI38,AF38*AG38+(AH38-AF38)*AI38+(I38-AH38)*AK38)),MAX(I38*AC38,AD38))))))</f>
        <v/>
      </c>
      <c r="L38" s="42">
        <f>IF(OR(E38="INACTIVE",H38=""),0,IF(AL38="NONE",0,IF(AL38="FLAT",AM38,IF(AL38="PER_UNIT",I38*AN38,IF(AL38="MANUAL",IF(M38="",0,M38),0)))))</f>
        <v/>
      </c>
      <c r="M38" s="36" t="n"/>
      <c r="N38" s="48" t="inlineStr">
        <is>
          <t>NORMAL</t>
        </is>
      </c>
      <c r="O38" s="36" t="n"/>
      <c r="P38" s="36" t="n"/>
      <c r="Q38" s="42">
        <f>IF(OR(E38="INACTIVE",P38=""),0,MAX(0,P38-O38))</f>
        <v/>
      </c>
      <c r="R38" s="36" t="n"/>
      <c r="S38" s="42">
        <f>IF(OR(E38="INACTIVE",P38=""),0,IF(AO38="DISABLED",0,IF(AO38="FLAT",AR38,IF(AO38="MANUAL",IF(R38="",0,R38*AP38),IF(AO38="STEP",IF(Q38&lt;=AS38,Q38*AT38,IF(Q38&lt;=AU38,AS38*AT38+(Q38-AS38)*AV38,AS38*AT38+(AU38-AS38)*AV38+(Q38-AU38)*AX38)),MAX(Q38*AP38,AQ38))))))</f>
        <v/>
      </c>
      <c r="T38" s="42">
        <f>IF(OR(E38="INACTIVE",P38=""),0,IF(AY38="NONE",0,IF(AY38="FLAT",AZ38,IF(AY38="PER_UNIT",Q38*BA38,IF(AY38="MANUAL",IF(U38="",0,U38),0)))))</f>
        <v/>
      </c>
      <c r="U38" s="36" t="n"/>
      <c r="V38" s="36" t="n"/>
      <c r="W38" s="36" t="n"/>
      <c r="X38" s="42">
        <f>IF(E38="INACTIVE",0,D38+K38+L38+S38+T38+IF(V38="",0,V38)+IF(W38="",0,W38))</f>
        <v/>
      </c>
      <c r="Y38" s="36" t="n"/>
      <c r="Z38" s="42">
        <f>IF(E38="INACTIVE","_",IF(AND(G38&gt;0,H38&gt;0,H38&lt;G38),"[!]น้ำ reset ","")&amp;IF(AND(O38&gt;0,P38&gt;0,P38&lt;O38),"[!]ไฟ reset ","")&amp;IF(AND(F38="MANUAL",J38=""),"[X]units น้ำ ","")&amp;IF(AND(N38="MANUAL",R38=""),"[X]units ไฟ ","")&amp;IF(D38=0,"[!]ค่าเช่า=0",""))</f>
        <v/>
      </c>
      <c r="AA38" s="41">
        <f>IF(C38&lt;&gt;"",C38,CONFIG!$B$6)</f>
        <v/>
      </c>
      <c r="AB38" s="41">
        <f>IF(F38&lt;&gt;"",F38,IFERROR(VLOOKUP(AA38,RULES!$A:$C,3,0),CONFIG!$B$7))</f>
        <v/>
      </c>
      <c r="AC38" s="41">
        <f>IF(IFERROR(VLOOKUP(AA38,RULES!$A:$D,4,0),"")="",CONFIG!$B$10,VLOOKUP(AA38,RULES!$A:$D,4,0))</f>
        <v/>
      </c>
      <c r="AD38" s="41">
        <f>IF(IFERROR(VLOOKUP(AA38,RULES!$A:$E,5,0),"")="",CONFIG!$B$11,VLOOKUP(AA38,RULES!$A:$E,5,0))</f>
        <v/>
      </c>
      <c r="AE38" s="41">
        <f>IFERROR(VLOOKUP(AA38,RULES!$A:$F,6,0)*1,0)</f>
        <v/>
      </c>
      <c r="AF38" s="41">
        <f>IFERROR(VLOOKUP(AA38,RULES!$A:$G,7,0)*1,0)</f>
        <v/>
      </c>
      <c r="AG38" s="41">
        <f>IFERROR(VLOOKUP(AA38,RULES!$A:$H,8,0)*1,0)</f>
        <v/>
      </c>
      <c r="AH38" s="41">
        <f>IFERROR(VLOOKUP(AA38,RULES!$A:$I,9,0)*1,0)</f>
        <v/>
      </c>
      <c r="AI38" s="41">
        <f>IFERROR(VLOOKUP(AA38,RULES!$A:$J,10,0)*1,0)</f>
        <v/>
      </c>
      <c r="AJ38" s="41">
        <f>IFERROR(IF(VLOOKUP(AA38,RULES!$A:$K,11,0)="",999999,VLOOKUP(AA38,RULES!$A:$K,11,0)*1),999999)</f>
        <v/>
      </c>
      <c r="AK38" s="41">
        <f>IFERROR(VLOOKUP(AA38,RULES!$A:$L,12,0)*1,0)</f>
        <v/>
      </c>
      <c r="AL38" s="41">
        <f>IFERROR(VLOOKUP(AA38,RULES!$A:$M,13,0),"NONE")</f>
        <v/>
      </c>
      <c r="AM38" s="41">
        <f>IFERROR(VLOOKUP(AA38,RULES!$A:$N,14,0)*1,0)</f>
        <v/>
      </c>
      <c r="AN38" s="41">
        <f>IFERROR(VLOOKUP(AA38,RULES!$A:$O,15,0)*1,0)</f>
        <v/>
      </c>
      <c r="AO38" s="41">
        <f>IF(N38&lt;&gt;"",N38,IFERROR(VLOOKUP(AA38,RULES!$A:$P,16,0),CONFIG!$B$8))</f>
        <v/>
      </c>
      <c r="AP38" s="41">
        <f>IF(IFERROR(VLOOKUP(AA38,RULES!$A:$Q,17,0),"")="",CONFIG!$B$13,VLOOKUP(AA38,RULES!$A:$Q,17,0))</f>
        <v/>
      </c>
      <c r="AQ38" s="41">
        <f>IF(IFERROR(VLOOKUP(AA38,RULES!$A:$R,18,0),"")="",CONFIG!$B$14,VLOOKUP(AA38,RULES!$A:$R,18,0))</f>
        <v/>
      </c>
      <c r="AR38" s="41">
        <f>IFERROR(VLOOKUP(AA38,RULES!$A:$S,19,0)*1,0)</f>
        <v/>
      </c>
      <c r="AS38" s="41">
        <f>IFERROR(VLOOKUP(AA38,RULES!$A:$T,20,0)*1,0)</f>
        <v/>
      </c>
      <c r="AT38" s="41">
        <f>IFERROR(VLOOKUP(AA38,RULES!$A:$U,21,0)*1,0)</f>
        <v/>
      </c>
      <c r="AU38" s="41">
        <f>IFERROR(VLOOKUP(AA38,RULES!$A:$V,22,0)*1,0)</f>
        <v/>
      </c>
      <c r="AV38" s="41">
        <f>IFERROR(VLOOKUP(AA38,RULES!$A:$W,23,0)*1,0)</f>
        <v/>
      </c>
      <c r="AW38" s="41">
        <f>IFERROR(IF(VLOOKUP(AA38,RULES!$A:$X,24,0)="",999999,VLOOKUP(AA38,RULES!$A:$X,24,0)*1),999999)</f>
        <v/>
      </c>
      <c r="AX38" s="41">
        <f>IFERROR(VLOOKUP(AA38,RULES!$A:$Y,25,0)*1,0)</f>
        <v/>
      </c>
      <c r="AY38" s="41">
        <f>IFERROR(VLOOKUP(AA38,RULES!$A:$Z,26,0),"NONE")</f>
        <v/>
      </c>
      <c r="AZ38" s="41">
        <f>IFERROR(VLOOKUP(AA38,RULES!$A:$AA,27,0)*1,0)</f>
        <v/>
      </c>
      <c r="BA38" s="41">
        <f>IFERROR(VLOOKUP(AA38,RULES!$A:$AB,28,0)*1,0)</f>
        <v/>
      </c>
    </row>
    <row r="39" ht="17" customHeight="1">
      <c r="A39" s="36" t="n"/>
      <c r="B39" s="48" t="inlineStr">
        <is>
          <t>ACC006</t>
        </is>
      </c>
      <c r="C39" s="48" t="inlineStr">
        <is>
          <t>DEFAULT</t>
        </is>
      </c>
      <c r="D39" s="47" t="n"/>
      <c r="E39" s="36">
        <f>IF(OR(D39="",D39=0),"INACTIVE","ACTIVE")</f>
        <v/>
      </c>
      <c r="F39" s="48" t="inlineStr">
        <is>
          <t>NORMAL</t>
        </is>
      </c>
      <c r="G39" s="36" t="n"/>
      <c r="H39" s="36" t="n"/>
      <c r="I39" s="42">
        <f>IF(OR(E39="INACTIVE",H39=""),0,MAX(0,H39-G39))</f>
        <v/>
      </c>
      <c r="J39" s="36" t="n"/>
      <c r="K39" s="42">
        <f>IF(OR(E39="INACTIVE",H39=""),0,IF(AB39="DISABLED",0,IF(AB39="FLAT",AE39,IF(AB39="MANUAL",IF(J39="",0,J39*AC39),IF(AB39="STEP",IF(I39&lt;=AF39,I39*AG39,IF(I39&lt;=AH39,AF39*AG39+(I39-AF39)*AI39,AF39*AG39+(AH39-AF39)*AI39+(I39-AH39)*AK39)),MAX(I39*AC39,AD39))))))</f>
        <v/>
      </c>
      <c r="L39" s="42">
        <f>IF(OR(E39="INACTIVE",H39=""),0,IF(AL39="NONE",0,IF(AL39="FLAT",AM39,IF(AL39="PER_UNIT",I39*AN39,IF(AL39="MANUAL",IF(M39="",0,M39),0)))))</f>
        <v/>
      </c>
      <c r="M39" s="36" t="n"/>
      <c r="N39" s="48" t="inlineStr">
        <is>
          <t>NORMAL</t>
        </is>
      </c>
      <c r="O39" s="36" t="n"/>
      <c r="P39" s="36" t="n"/>
      <c r="Q39" s="42">
        <f>IF(OR(E39="INACTIVE",P39=""),0,MAX(0,P39-O39))</f>
        <v/>
      </c>
      <c r="R39" s="36" t="n"/>
      <c r="S39" s="42">
        <f>IF(OR(E39="INACTIVE",P39=""),0,IF(AO39="DISABLED",0,IF(AO39="FLAT",AR39,IF(AO39="MANUAL",IF(R39="",0,R39*AP39),IF(AO39="STEP",IF(Q39&lt;=AS39,Q39*AT39,IF(Q39&lt;=AU39,AS39*AT39+(Q39-AS39)*AV39,AS39*AT39+(AU39-AS39)*AV39+(Q39-AU39)*AX39)),MAX(Q39*AP39,AQ39))))))</f>
        <v/>
      </c>
      <c r="T39" s="42">
        <f>IF(OR(E39="INACTIVE",P39=""),0,IF(AY39="NONE",0,IF(AY39="FLAT",AZ39,IF(AY39="PER_UNIT",Q39*BA39,IF(AY39="MANUAL",IF(U39="",0,U39),0)))))</f>
        <v/>
      </c>
      <c r="U39" s="36" t="n"/>
      <c r="V39" s="36" t="n"/>
      <c r="W39" s="36" t="n"/>
      <c r="X39" s="42">
        <f>IF(E39="INACTIVE",0,D39+K39+L39+S39+T39+IF(V39="",0,V39)+IF(W39="",0,W39))</f>
        <v/>
      </c>
      <c r="Y39" s="36" t="n"/>
      <c r="Z39" s="42">
        <f>IF(E39="INACTIVE","_",IF(AND(G39&gt;0,H39&gt;0,H39&lt;G39),"[!]น้ำ reset ","")&amp;IF(AND(O39&gt;0,P39&gt;0,P39&lt;O39),"[!]ไฟ reset ","")&amp;IF(AND(F39="MANUAL",J39=""),"[X]units น้ำ ","")&amp;IF(AND(N39="MANUAL",R39=""),"[X]units ไฟ ","")&amp;IF(D39=0,"[!]ค่าเช่า=0",""))</f>
        <v/>
      </c>
      <c r="AA39" s="41">
        <f>IF(C39&lt;&gt;"",C39,CONFIG!$B$6)</f>
        <v/>
      </c>
      <c r="AB39" s="41">
        <f>IF(F39&lt;&gt;"",F39,IFERROR(VLOOKUP(AA39,RULES!$A:$C,3,0),CONFIG!$B$7))</f>
        <v/>
      </c>
      <c r="AC39" s="41">
        <f>IF(IFERROR(VLOOKUP(AA39,RULES!$A:$D,4,0),"")="",CONFIG!$B$10,VLOOKUP(AA39,RULES!$A:$D,4,0))</f>
        <v/>
      </c>
      <c r="AD39" s="41">
        <f>IF(IFERROR(VLOOKUP(AA39,RULES!$A:$E,5,0),"")="",CONFIG!$B$11,VLOOKUP(AA39,RULES!$A:$E,5,0))</f>
        <v/>
      </c>
      <c r="AE39" s="41">
        <f>IFERROR(VLOOKUP(AA39,RULES!$A:$F,6,0)*1,0)</f>
        <v/>
      </c>
      <c r="AF39" s="41">
        <f>IFERROR(VLOOKUP(AA39,RULES!$A:$G,7,0)*1,0)</f>
        <v/>
      </c>
      <c r="AG39" s="41">
        <f>IFERROR(VLOOKUP(AA39,RULES!$A:$H,8,0)*1,0)</f>
        <v/>
      </c>
      <c r="AH39" s="41">
        <f>IFERROR(VLOOKUP(AA39,RULES!$A:$I,9,0)*1,0)</f>
        <v/>
      </c>
      <c r="AI39" s="41">
        <f>IFERROR(VLOOKUP(AA39,RULES!$A:$J,10,0)*1,0)</f>
        <v/>
      </c>
      <c r="AJ39" s="41">
        <f>IFERROR(IF(VLOOKUP(AA39,RULES!$A:$K,11,0)="",999999,VLOOKUP(AA39,RULES!$A:$K,11,0)*1),999999)</f>
        <v/>
      </c>
      <c r="AK39" s="41">
        <f>IFERROR(VLOOKUP(AA39,RULES!$A:$L,12,0)*1,0)</f>
        <v/>
      </c>
      <c r="AL39" s="41">
        <f>IFERROR(VLOOKUP(AA39,RULES!$A:$M,13,0),"NONE")</f>
        <v/>
      </c>
      <c r="AM39" s="41">
        <f>IFERROR(VLOOKUP(AA39,RULES!$A:$N,14,0)*1,0)</f>
        <v/>
      </c>
      <c r="AN39" s="41">
        <f>IFERROR(VLOOKUP(AA39,RULES!$A:$O,15,0)*1,0)</f>
        <v/>
      </c>
      <c r="AO39" s="41">
        <f>IF(N39&lt;&gt;"",N39,IFERROR(VLOOKUP(AA39,RULES!$A:$P,16,0),CONFIG!$B$8))</f>
        <v/>
      </c>
      <c r="AP39" s="41">
        <f>IF(IFERROR(VLOOKUP(AA39,RULES!$A:$Q,17,0),"")="",CONFIG!$B$13,VLOOKUP(AA39,RULES!$A:$Q,17,0))</f>
        <v/>
      </c>
      <c r="AQ39" s="41">
        <f>IF(IFERROR(VLOOKUP(AA39,RULES!$A:$R,18,0),"")="",CONFIG!$B$14,VLOOKUP(AA39,RULES!$A:$R,18,0))</f>
        <v/>
      </c>
      <c r="AR39" s="41">
        <f>IFERROR(VLOOKUP(AA39,RULES!$A:$S,19,0)*1,0)</f>
        <v/>
      </c>
      <c r="AS39" s="41">
        <f>IFERROR(VLOOKUP(AA39,RULES!$A:$T,20,0)*1,0)</f>
        <v/>
      </c>
      <c r="AT39" s="41">
        <f>IFERROR(VLOOKUP(AA39,RULES!$A:$U,21,0)*1,0)</f>
        <v/>
      </c>
      <c r="AU39" s="41">
        <f>IFERROR(VLOOKUP(AA39,RULES!$A:$V,22,0)*1,0)</f>
        <v/>
      </c>
      <c r="AV39" s="41">
        <f>IFERROR(VLOOKUP(AA39,RULES!$A:$W,23,0)*1,0)</f>
        <v/>
      </c>
      <c r="AW39" s="41">
        <f>IFERROR(IF(VLOOKUP(AA39,RULES!$A:$X,24,0)="",999999,VLOOKUP(AA39,RULES!$A:$X,24,0)*1),999999)</f>
        <v/>
      </c>
      <c r="AX39" s="41">
        <f>IFERROR(VLOOKUP(AA39,RULES!$A:$Y,25,0)*1,0)</f>
        <v/>
      </c>
      <c r="AY39" s="41">
        <f>IFERROR(VLOOKUP(AA39,RULES!$A:$Z,26,0),"NONE")</f>
        <v/>
      </c>
      <c r="AZ39" s="41">
        <f>IFERROR(VLOOKUP(AA39,RULES!$A:$AA,27,0)*1,0)</f>
        <v/>
      </c>
      <c r="BA39" s="41">
        <f>IFERROR(VLOOKUP(AA39,RULES!$A:$AB,28,0)*1,0)</f>
        <v/>
      </c>
    </row>
    <row r="40" ht="17" customHeight="1">
      <c r="A40" s="36" t="n"/>
      <c r="B40" s="48" t="inlineStr">
        <is>
          <t>ACC006</t>
        </is>
      </c>
      <c r="C40" s="48" t="inlineStr">
        <is>
          <t>DEFAULT</t>
        </is>
      </c>
      <c r="D40" s="47" t="n"/>
      <c r="E40" s="36">
        <f>IF(OR(D40="",D40=0),"INACTIVE","ACTIVE")</f>
        <v/>
      </c>
      <c r="F40" s="48" t="inlineStr">
        <is>
          <t>NORMAL</t>
        </is>
      </c>
      <c r="G40" s="36" t="n"/>
      <c r="H40" s="36" t="n"/>
      <c r="I40" s="42">
        <f>IF(OR(E40="INACTIVE",H40=""),0,MAX(0,H40-G40))</f>
        <v/>
      </c>
      <c r="J40" s="36" t="n"/>
      <c r="K40" s="42">
        <f>IF(OR(E40="INACTIVE",H40=""),0,IF(AB40="DISABLED",0,IF(AB40="FLAT",AE40,IF(AB40="MANUAL",IF(J40="",0,J40*AC40),IF(AB40="STEP",IF(I40&lt;=AF40,I40*AG40,IF(I40&lt;=AH40,AF40*AG40+(I40-AF40)*AI40,AF40*AG40+(AH40-AF40)*AI40+(I40-AH40)*AK40)),MAX(I40*AC40,AD40))))))</f>
        <v/>
      </c>
      <c r="L40" s="42">
        <f>IF(OR(E40="INACTIVE",H40=""),0,IF(AL40="NONE",0,IF(AL40="FLAT",AM40,IF(AL40="PER_UNIT",I40*AN40,IF(AL40="MANUAL",IF(M40="",0,M40),0)))))</f>
        <v/>
      </c>
      <c r="M40" s="36" t="n"/>
      <c r="N40" s="48" t="inlineStr">
        <is>
          <t>NORMAL</t>
        </is>
      </c>
      <c r="O40" s="36" t="n"/>
      <c r="P40" s="36" t="n"/>
      <c r="Q40" s="42">
        <f>IF(OR(E40="INACTIVE",P40=""),0,MAX(0,P40-O40))</f>
        <v/>
      </c>
      <c r="R40" s="36" t="n"/>
      <c r="S40" s="42">
        <f>IF(OR(E40="INACTIVE",P40=""),0,IF(AO40="DISABLED",0,IF(AO40="FLAT",AR40,IF(AO40="MANUAL",IF(R40="",0,R40*AP40),IF(AO40="STEP",IF(Q40&lt;=AS40,Q40*AT40,IF(Q40&lt;=AU40,AS40*AT40+(Q40-AS40)*AV40,AS40*AT40+(AU40-AS40)*AV40+(Q40-AU40)*AX40)),MAX(Q40*AP40,AQ40))))))</f>
        <v/>
      </c>
      <c r="T40" s="42">
        <f>IF(OR(E40="INACTIVE",P40=""),0,IF(AY40="NONE",0,IF(AY40="FLAT",AZ40,IF(AY40="PER_UNIT",Q40*BA40,IF(AY40="MANUAL",IF(U40="",0,U40),0)))))</f>
        <v/>
      </c>
      <c r="U40" s="36" t="n"/>
      <c r="V40" s="36" t="n"/>
      <c r="W40" s="36" t="n"/>
      <c r="X40" s="42">
        <f>IF(E40="INACTIVE",0,D40+K40+L40+S40+T40+IF(V40="",0,V40)+IF(W40="",0,W40))</f>
        <v/>
      </c>
      <c r="Y40" s="36" t="n"/>
      <c r="Z40" s="42">
        <f>IF(E40="INACTIVE","_",IF(AND(G40&gt;0,H40&gt;0,H40&lt;G40),"[!]น้ำ reset ","")&amp;IF(AND(O40&gt;0,P40&gt;0,P40&lt;O40),"[!]ไฟ reset ","")&amp;IF(AND(F40="MANUAL",J40=""),"[X]units น้ำ ","")&amp;IF(AND(N40="MANUAL",R40=""),"[X]units ไฟ ","")&amp;IF(D40=0,"[!]ค่าเช่า=0",""))</f>
        <v/>
      </c>
      <c r="AA40" s="41">
        <f>IF(C40&lt;&gt;"",C40,CONFIG!$B$6)</f>
        <v/>
      </c>
      <c r="AB40" s="41">
        <f>IF(F40&lt;&gt;"",F40,IFERROR(VLOOKUP(AA40,RULES!$A:$C,3,0),CONFIG!$B$7))</f>
        <v/>
      </c>
      <c r="AC40" s="41">
        <f>IF(IFERROR(VLOOKUP(AA40,RULES!$A:$D,4,0),"")="",CONFIG!$B$10,VLOOKUP(AA40,RULES!$A:$D,4,0))</f>
        <v/>
      </c>
      <c r="AD40" s="41">
        <f>IF(IFERROR(VLOOKUP(AA40,RULES!$A:$E,5,0),"")="",CONFIG!$B$11,VLOOKUP(AA40,RULES!$A:$E,5,0))</f>
        <v/>
      </c>
      <c r="AE40" s="41">
        <f>IFERROR(VLOOKUP(AA40,RULES!$A:$F,6,0)*1,0)</f>
        <v/>
      </c>
      <c r="AF40" s="41">
        <f>IFERROR(VLOOKUP(AA40,RULES!$A:$G,7,0)*1,0)</f>
        <v/>
      </c>
      <c r="AG40" s="41">
        <f>IFERROR(VLOOKUP(AA40,RULES!$A:$H,8,0)*1,0)</f>
        <v/>
      </c>
      <c r="AH40" s="41">
        <f>IFERROR(VLOOKUP(AA40,RULES!$A:$I,9,0)*1,0)</f>
        <v/>
      </c>
      <c r="AI40" s="41">
        <f>IFERROR(VLOOKUP(AA40,RULES!$A:$J,10,0)*1,0)</f>
        <v/>
      </c>
      <c r="AJ40" s="41">
        <f>IFERROR(IF(VLOOKUP(AA40,RULES!$A:$K,11,0)="",999999,VLOOKUP(AA40,RULES!$A:$K,11,0)*1),999999)</f>
        <v/>
      </c>
      <c r="AK40" s="41">
        <f>IFERROR(VLOOKUP(AA40,RULES!$A:$L,12,0)*1,0)</f>
        <v/>
      </c>
      <c r="AL40" s="41">
        <f>IFERROR(VLOOKUP(AA40,RULES!$A:$M,13,0),"NONE")</f>
        <v/>
      </c>
      <c r="AM40" s="41">
        <f>IFERROR(VLOOKUP(AA40,RULES!$A:$N,14,0)*1,0)</f>
        <v/>
      </c>
      <c r="AN40" s="41">
        <f>IFERROR(VLOOKUP(AA40,RULES!$A:$O,15,0)*1,0)</f>
        <v/>
      </c>
      <c r="AO40" s="41">
        <f>IF(N40&lt;&gt;"",N40,IFERROR(VLOOKUP(AA40,RULES!$A:$P,16,0),CONFIG!$B$8))</f>
        <v/>
      </c>
      <c r="AP40" s="41">
        <f>IF(IFERROR(VLOOKUP(AA40,RULES!$A:$Q,17,0),"")="",CONFIG!$B$13,VLOOKUP(AA40,RULES!$A:$Q,17,0))</f>
        <v/>
      </c>
      <c r="AQ40" s="41">
        <f>IF(IFERROR(VLOOKUP(AA40,RULES!$A:$R,18,0),"")="",CONFIG!$B$14,VLOOKUP(AA40,RULES!$A:$R,18,0))</f>
        <v/>
      </c>
      <c r="AR40" s="41">
        <f>IFERROR(VLOOKUP(AA40,RULES!$A:$S,19,0)*1,0)</f>
        <v/>
      </c>
      <c r="AS40" s="41">
        <f>IFERROR(VLOOKUP(AA40,RULES!$A:$T,20,0)*1,0)</f>
        <v/>
      </c>
      <c r="AT40" s="41">
        <f>IFERROR(VLOOKUP(AA40,RULES!$A:$U,21,0)*1,0)</f>
        <v/>
      </c>
      <c r="AU40" s="41">
        <f>IFERROR(VLOOKUP(AA40,RULES!$A:$V,22,0)*1,0)</f>
        <v/>
      </c>
      <c r="AV40" s="41">
        <f>IFERROR(VLOOKUP(AA40,RULES!$A:$W,23,0)*1,0)</f>
        <v/>
      </c>
      <c r="AW40" s="41">
        <f>IFERROR(IF(VLOOKUP(AA40,RULES!$A:$X,24,0)="",999999,VLOOKUP(AA40,RULES!$A:$X,24,0)*1),999999)</f>
        <v/>
      </c>
      <c r="AX40" s="41">
        <f>IFERROR(VLOOKUP(AA40,RULES!$A:$Y,25,0)*1,0)</f>
        <v/>
      </c>
      <c r="AY40" s="41">
        <f>IFERROR(VLOOKUP(AA40,RULES!$A:$Z,26,0),"NONE")</f>
        <v/>
      </c>
      <c r="AZ40" s="41">
        <f>IFERROR(VLOOKUP(AA40,RULES!$A:$AA,27,0)*1,0)</f>
        <v/>
      </c>
      <c r="BA40" s="41">
        <f>IFERROR(VLOOKUP(AA40,RULES!$A:$AB,28,0)*1,0)</f>
        <v/>
      </c>
    </row>
    <row r="41" ht="17" customHeight="1">
      <c r="A41" s="36" t="n"/>
      <c r="B41" s="48" t="inlineStr">
        <is>
          <t>ACC006</t>
        </is>
      </c>
      <c r="C41" s="48" t="inlineStr">
        <is>
          <t>DEFAULT</t>
        </is>
      </c>
      <c r="D41" s="47" t="n"/>
      <c r="E41" s="36">
        <f>IF(OR(D41="",D41=0),"INACTIVE","ACTIVE")</f>
        <v/>
      </c>
      <c r="F41" s="48" t="inlineStr">
        <is>
          <t>NORMAL</t>
        </is>
      </c>
      <c r="G41" s="36" t="n"/>
      <c r="H41" s="36" t="n"/>
      <c r="I41" s="42">
        <f>IF(OR(E41="INACTIVE",H41=""),0,MAX(0,H41-G41))</f>
        <v/>
      </c>
      <c r="J41" s="36" t="n"/>
      <c r="K41" s="42">
        <f>IF(OR(E41="INACTIVE",H41=""),0,IF(AB41="DISABLED",0,IF(AB41="FLAT",AE41,IF(AB41="MANUAL",IF(J41="",0,J41*AC41),IF(AB41="STEP",IF(I41&lt;=AF41,I41*AG41,IF(I41&lt;=AH41,AF41*AG41+(I41-AF41)*AI41,AF41*AG41+(AH41-AF41)*AI41+(I41-AH41)*AK41)),MAX(I41*AC41,AD41))))))</f>
        <v/>
      </c>
      <c r="L41" s="42">
        <f>IF(OR(E41="INACTIVE",H41=""),0,IF(AL41="NONE",0,IF(AL41="FLAT",AM41,IF(AL41="PER_UNIT",I41*AN41,IF(AL41="MANUAL",IF(M41="",0,M41),0)))))</f>
        <v/>
      </c>
      <c r="M41" s="36" t="n"/>
      <c r="N41" s="48" t="inlineStr">
        <is>
          <t>NORMAL</t>
        </is>
      </c>
      <c r="O41" s="36" t="n"/>
      <c r="P41" s="36" t="n"/>
      <c r="Q41" s="42">
        <f>IF(OR(E41="INACTIVE",P41=""),0,MAX(0,P41-O41))</f>
        <v/>
      </c>
      <c r="R41" s="36" t="n"/>
      <c r="S41" s="42">
        <f>IF(OR(E41="INACTIVE",P41=""),0,IF(AO41="DISABLED",0,IF(AO41="FLAT",AR41,IF(AO41="MANUAL",IF(R41="",0,R41*AP41),IF(AO41="STEP",IF(Q41&lt;=AS41,Q41*AT41,IF(Q41&lt;=AU41,AS41*AT41+(Q41-AS41)*AV41,AS41*AT41+(AU41-AS41)*AV41+(Q41-AU41)*AX41)),MAX(Q41*AP41,AQ41))))))</f>
        <v/>
      </c>
      <c r="T41" s="42">
        <f>IF(OR(E41="INACTIVE",P41=""),0,IF(AY41="NONE",0,IF(AY41="FLAT",AZ41,IF(AY41="PER_UNIT",Q41*BA41,IF(AY41="MANUAL",IF(U41="",0,U41),0)))))</f>
        <v/>
      </c>
      <c r="U41" s="36" t="n"/>
      <c r="V41" s="36" t="n"/>
      <c r="W41" s="36" t="n"/>
      <c r="X41" s="42">
        <f>IF(E41="INACTIVE",0,D41+K41+L41+S41+T41+IF(V41="",0,V41)+IF(W41="",0,W41))</f>
        <v/>
      </c>
      <c r="Y41" s="36" t="n"/>
      <c r="Z41" s="42">
        <f>IF(E41="INACTIVE","_",IF(AND(G41&gt;0,H41&gt;0,H41&lt;G41),"[!]น้ำ reset ","")&amp;IF(AND(O41&gt;0,P41&gt;0,P41&lt;O41),"[!]ไฟ reset ","")&amp;IF(AND(F41="MANUAL",J41=""),"[X]units น้ำ ","")&amp;IF(AND(N41="MANUAL",R41=""),"[X]units ไฟ ","")&amp;IF(D41=0,"[!]ค่าเช่า=0",""))</f>
        <v/>
      </c>
      <c r="AA41" s="41">
        <f>IF(C41&lt;&gt;"",C41,CONFIG!$B$6)</f>
        <v/>
      </c>
      <c r="AB41" s="41">
        <f>IF(F41&lt;&gt;"",F41,IFERROR(VLOOKUP(AA41,RULES!$A:$C,3,0),CONFIG!$B$7))</f>
        <v/>
      </c>
      <c r="AC41" s="41">
        <f>IF(IFERROR(VLOOKUP(AA41,RULES!$A:$D,4,0),"")="",CONFIG!$B$10,VLOOKUP(AA41,RULES!$A:$D,4,0))</f>
        <v/>
      </c>
      <c r="AD41" s="41">
        <f>IF(IFERROR(VLOOKUP(AA41,RULES!$A:$E,5,0),"")="",CONFIG!$B$11,VLOOKUP(AA41,RULES!$A:$E,5,0))</f>
        <v/>
      </c>
      <c r="AE41" s="41">
        <f>IFERROR(VLOOKUP(AA41,RULES!$A:$F,6,0)*1,0)</f>
        <v/>
      </c>
      <c r="AF41" s="41">
        <f>IFERROR(VLOOKUP(AA41,RULES!$A:$G,7,0)*1,0)</f>
        <v/>
      </c>
      <c r="AG41" s="41">
        <f>IFERROR(VLOOKUP(AA41,RULES!$A:$H,8,0)*1,0)</f>
        <v/>
      </c>
      <c r="AH41" s="41">
        <f>IFERROR(VLOOKUP(AA41,RULES!$A:$I,9,0)*1,0)</f>
        <v/>
      </c>
      <c r="AI41" s="41">
        <f>IFERROR(VLOOKUP(AA41,RULES!$A:$J,10,0)*1,0)</f>
        <v/>
      </c>
      <c r="AJ41" s="41">
        <f>IFERROR(IF(VLOOKUP(AA41,RULES!$A:$K,11,0)="",999999,VLOOKUP(AA41,RULES!$A:$K,11,0)*1),999999)</f>
        <v/>
      </c>
      <c r="AK41" s="41">
        <f>IFERROR(VLOOKUP(AA41,RULES!$A:$L,12,0)*1,0)</f>
        <v/>
      </c>
      <c r="AL41" s="41">
        <f>IFERROR(VLOOKUP(AA41,RULES!$A:$M,13,0),"NONE")</f>
        <v/>
      </c>
      <c r="AM41" s="41">
        <f>IFERROR(VLOOKUP(AA41,RULES!$A:$N,14,0)*1,0)</f>
        <v/>
      </c>
      <c r="AN41" s="41">
        <f>IFERROR(VLOOKUP(AA41,RULES!$A:$O,15,0)*1,0)</f>
        <v/>
      </c>
      <c r="AO41" s="41">
        <f>IF(N41&lt;&gt;"",N41,IFERROR(VLOOKUP(AA41,RULES!$A:$P,16,0),CONFIG!$B$8))</f>
        <v/>
      </c>
      <c r="AP41" s="41">
        <f>IF(IFERROR(VLOOKUP(AA41,RULES!$A:$Q,17,0),"")="",CONFIG!$B$13,VLOOKUP(AA41,RULES!$A:$Q,17,0))</f>
        <v/>
      </c>
      <c r="AQ41" s="41">
        <f>IF(IFERROR(VLOOKUP(AA41,RULES!$A:$R,18,0),"")="",CONFIG!$B$14,VLOOKUP(AA41,RULES!$A:$R,18,0))</f>
        <v/>
      </c>
      <c r="AR41" s="41">
        <f>IFERROR(VLOOKUP(AA41,RULES!$A:$S,19,0)*1,0)</f>
        <v/>
      </c>
      <c r="AS41" s="41">
        <f>IFERROR(VLOOKUP(AA41,RULES!$A:$T,20,0)*1,0)</f>
        <v/>
      </c>
      <c r="AT41" s="41">
        <f>IFERROR(VLOOKUP(AA41,RULES!$A:$U,21,0)*1,0)</f>
        <v/>
      </c>
      <c r="AU41" s="41">
        <f>IFERROR(VLOOKUP(AA41,RULES!$A:$V,22,0)*1,0)</f>
        <v/>
      </c>
      <c r="AV41" s="41">
        <f>IFERROR(VLOOKUP(AA41,RULES!$A:$W,23,0)*1,0)</f>
        <v/>
      </c>
      <c r="AW41" s="41">
        <f>IFERROR(IF(VLOOKUP(AA41,RULES!$A:$X,24,0)="",999999,VLOOKUP(AA41,RULES!$A:$X,24,0)*1),999999)</f>
        <v/>
      </c>
      <c r="AX41" s="41">
        <f>IFERROR(VLOOKUP(AA41,RULES!$A:$Y,25,0)*1,0)</f>
        <v/>
      </c>
      <c r="AY41" s="41">
        <f>IFERROR(VLOOKUP(AA41,RULES!$A:$Z,26,0),"NONE")</f>
        <v/>
      </c>
      <c r="AZ41" s="41">
        <f>IFERROR(VLOOKUP(AA41,RULES!$A:$AA,27,0)*1,0)</f>
        <v/>
      </c>
      <c r="BA41" s="41">
        <f>IFERROR(VLOOKUP(AA41,RULES!$A:$AB,28,0)*1,0)</f>
        <v/>
      </c>
    </row>
    <row r="42" ht="17" customHeight="1">
      <c r="A42" s="36" t="n"/>
      <c r="B42" s="48" t="inlineStr">
        <is>
          <t>ACC006</t>
        </is>
      </c>
      <c r="C42" s="48" t="inlineStr">
        <is>
          <t>DEFAULT</t>
        </is>
      </c>
      <c r="D42" s="47" t="n"/>
      <c r="E42" s="36">
        <f>IF(OR(D42="",D42=0),"INACTIVE","ACTIVE")</f>
        <v/>
      </c>
      <c r="F42" s="48" t="inlineStr">
        <is>
          <t>NORMAL</t>
        </is>
      </c>
      <c r="G42" s="36" t="n"/>
      <c r="H42" s="36" t="n"/>
      <c r="I42" s="42">
        <f>IF(OR(E42="INACTIVE",H42=""),0,MAX(0,H42-G42))</f>
        <v/>
      </c>
      <c r="J42" s="36" t="n"/>
      <c r="K42" s="42">
        <f>IF(OR(E42="INACTIVE",H42=""),0,IF(AB42="DISABLED",0,IF(AB42="FLAT",AE42,IF(AB42="MANUAL",IF(J42="",0,J42*AC42),IF(AB42="STEP",IF(I42&lt;=AF42,I42*AG42,IF(I42&lt;=AH42,AF42*AG42+(I42-AF42)*AI42,AF42*AG42+(AH42-AF42)*AI42+(I42-AH42)*AK42)),MAX(I42*AC42,AD42))))))</f>
        <v/>
      </c>
      <c r="L42" s="42">
        <f>IF(OR(E42="INACTIVE",H42=""),0,IF(AL42="NONE",0,IF(AL42="FLAT",AM42,IF(AL42="PER_UNIT",I42*AN42,IF(AL42="MANUAL",IF(M42="",0,M42),0)))))</f>
        <v/>
      </c>
      <c r="M42" s="36" t="n"/>
      <c r="N42" s="48" t="inlineStr">
        <is>
          <t>NORMAL</t>
        </is>
      </c>
      <c r="O42" s="36" t="n"/>
      <c r="P42" s="36" t="n"/>
      <c r="Q42" s="42">
        <f>IF(OR(E42="INACTIVE",P42=""),0,MAX(0,P42-O42))</f>
        <v/>
      </c>
      <c r="R42" s="36" t="n"/>
      <c r="S42" s="42">
        <f>IF(OR(E42="INACTIVE",P42=""),0,IF(AO42="DISABLED",0,IF(AO42="FLAT",AR42,IF(AO42="MANUAL",IF(R42="",0,R42*AP42),IF(AO42="STEP",IF(Q42&lt;=AS42,Q42*AT42,IF(Q42&lt;=AU42,AS42*AT42+(Q42-AS42)*AV42,AS42*AT42+(AU42-AS42)*AV42+(Q42-AU42)*AX42)),MAX(Q42*AP42,AQ42))))))</f>
        <v/>
      </c>
      <c r="T42" s="42">
        <f>IF(OR(E42="INACTIVE",P42=""),0,IF(AY42="NONE",0,IF(AY42="FLAT",AZ42,IF(AY42="PER_UNIT",Q42*BA42,IF(AY42="MANUAL",IF(U42="",0,U42),0)))))</f>
        <v/>
      </c>
      <c r="U42" s="36" t="n"/>
      <c r="V42" s="36" t="n"/>
      <c r="W42" s="36" t="n"/>
      <c r="X42" s="42">
        <f>IF(E42="INACTIVE",0,D42+K42+L42+S42+T42+IF(V42="",0,V42)+IF(W42="",0,W42))</f>
        <v/>
      </c>
      <c r="Y42" s="36" t="n"/>
      <c r="Z42" s="42">
        <f>IF(E42="INACTIVE","_",IF(AND(G42&gt;0,H42&gt;0,H42&lt;G42),"[!]น้ำ reset ","")&amp;IF(AND(O42&gt;0,P42&gt;0,P42&lt;O42),"[!]ไฟ reset ","")&amp;IF(AND(F42="MANUAL",J42=""),"[X]units น้ำ ","")&amp;IF(AND(N42="MANUAL",R42=""),"[X]units ไฟ ","")&amp;IF(D42=0,"[!]ค่าเช่า=0",""))</f>
        <v/>
      </c>
      <c r="AA42" s="41">
        <f>IF(C42&lt;&gt;"",C42,CONFIG!$B$6)</f>
        <v/>
      </c>
      <c r="AB42" s="41">
        <f>IF(F42&lt;&gt;"",F42,IFERROR(VLOOKUP(AA42,RULES!$A:$C,3,0),CONFIG!$B$7))</f>
        <v/>
      </c>
      <c r="AC42" s="41">
        <f>IF(IFERROR(VLOOKUP(AA42,RULES!$A:$D,4,0),"")="",CONFIG!$B$10,VLOOKUP(AA42,RULES!$A:$D,4,0))</f>
        <v/>
      </c>
      <c r="AD42" s="41">
        <f>IF(IFERROR(VLOOKUP(AA42,RULES!$A:$E,5,0),"")="",CONFIG!$B$11,VLOOKUP(AA42,RULES!$A:$E,5,0))</f>
        <v/>
      </c>
      <c r="AE42" s="41">
        <f>IFERROR(VLOOKUP(AA42,RULES!$A:$F,6,0)*1,0)</f>
        <v/>
      </c>
      <c r="AF42" s="41">
        <f>IFERROR(VLOOKUP(AA42,RULES!$A:$G,7,0)*1,0)</f>
        <v/>
      </c>
      <c r="AG42" s="41">
        <f>IFERROR(VLOOKUP(AA42,RULES!$A:$H,8,0)*1,0)</f>
        <v/>
      </c>
      <c r="AH42" s="41">
        <f>IFERROR(VLOOKUP(AA42,RULES!$A:$I,9,0)*1,0)</f>
        <v/>
      </c>
      <c r="AI42" s="41">
        <f>IFERROR(VLOOKUP(AA42,RULES!$A:$J,10,0)*1,0)</f>
        <v/>
      </c>
      <c r="AJ42" s="41">
        <f>IFERROR(IF(VLOOKUP(AA42,RULES!$A:$K,11,0)="",999999,VLOOKUP(AA42,RULES!$A:$K,11,0)*1),999999)</f>
        <v/>
      </c>
      <c r="AK42" s="41">
        <f>IFERROR(VLOOKUP(AA42,RULES!$A:$L,12,0)*1,0)</f>
        <v/>
      </c>
      <c r="AL42" s="41">
        <f>IFERROR(VLOOKUP(AA42,RULES!$A:$M,13,0),"NONE")</f>
        <v/>
      </c>
      <c r="AM42" s="41">
        <f>IFERROR(VLOOKUP(AA42,RULES!$A:$N,14,0)*1,0)</f>
        <v/>
      </c>
      <c r="AN42" s="41">
        <f>IFERROR(VLOOKUP(AA42,RULES!$A:$O,15,0)*1,0)</f>
        <v/>
      </c>
      <c r="AO42" s="41">
        <f>IF(N42&lt;&gt;"",N42,IFERROR(VLOOKUP(AA42,RULES!$A:$P,16,0),CONFIG!$B$8))</f>
        <v/>
      </c>
      <c r="AP42" s="41">
        <f>IF(IFERROR(VLOOKUP(AA42,RULES!$A:$Q,17,0),"")="",CONFIG!$B$13,VLOOKUP(AA42,RULES!$A:$Q,17,0))</f>
        <v/>
      </c>
      <c r="AQ42" s="41">
        <f>IF(IFERROR(VLOOKUP(AA42,RULES!$A:$R,18,0),"")="",CONFIG!$B$14,VLOOKUP(AA42,RULES!$A:$R,18,0))</f>
        <v/>
      </c>
      <c r="AR42" s="41">
        <f>IFERROR(VLOOKUP(AA42,RULES!$A:$S,19,0)*1,0)</f>
        <v/>
      </c>
      <c r="AS42" s="41">
        <f>IFERROR(VLOOKUP(AA42,RULES!$A:$T,20,0)*1,0)</f>
        <v/>
      </c>
      <c r="AT42" s="41">
        <f>IFERROR(VLOOKUP(AA42,RULES!$A:$U,21,0)*1,0)</f>
        <v/>
      </c>
      <c r="AU42" s="41">
        <f>IFERROR(VLOOKUP(AA42,RULES!$A:$V,22,0)*1,0)</f>
        <v/>
      </c>
      <c r="AV42" s="41">
        <f>IFERROR(VLOOKUP(AA42,RULES!$A:$W,23,0)*1,0)</f>
        <v/>
      </c>
      <c r="AW42" s="41">
        <f>IFERROR(IF(VLOOKUP(AA42,RULES!$A:$X,24,0)="",999999,VLOOKUP(AA42,RULES!$A:$X,24,0)*1),999999)</f>
        <v/>
      </c>
      <c r="AX42" s="41">
        <f>IFERROR(VLOOKUP(AA42,RULES!$A:$Y,25,0)*1,0)</f>
        <v/>
      </c>
      <c r="AY42" s="41">
        <f>IFERROR(VLOOKUP(AA42,RULES!$A:$Z,26,0),"NONE")</f>
        <v/>
      </c>
      <c r="AZ42" s="41">
        <f>IFERROR(VLOOKUP(AA42,RULES!$A:$AA,27,0)*1,0)</f>
        <v/>
      </c>
      <c r="BA42" s="41">
        <f>IFERROR(VLOOKUP(AA42,RULES!$A:$AB,28,0)*1,0)</f>
        <v/>
      </c>
    </row>
    <row r="43" ht="17" customHeight="1">
      <c r="A43" s="36" t="n"/>
      <c r="B43" s="48" t="inlineStr">
        <is>
          <t>ACC006</t>
        </is>
      </c>
      <c r="C43" s="48" t="inlineStr">
        <is>
          <t>DEFAULT</t>
        </is>
      </c>
      <c r="D43" s="47" t="n"/>
      <c r="E43" s="36">
        <f>IF(OR(D43="",D43=0),"INACTIVE","ACTIVE")</f>
        <v/>
      </c>
      <c r="F43" s="48" t="inlineStr">
        <is>
          <t>NORMAL</t>
        </is>
      </c>
      <c r="G43" s="36" t="n"/>
      <c r="H43" s="36" t="n"/>
      <c r="I43" s="42">
        <f>IF(OR(E43="INACTIVE",H43=""),0,MAX(0,H43-G43))</f>
        <v/>
      </c>
      <c r="J43" s="36" t="n"/>
      <c r="K43" s="42">
        <f>IF(OR(E43="INACTIVE",H43=""),0,IF(AB43="DISABLED",0,IF(AB43="FLAT",AE43,IF(AB43="MANUAL",IF(J43="",0,J43*AC43),IF(AB43="STEP",IF(I43&lt;=AF43,I43*AG43,IF(I43&lt;=AH43,AF43*AG43+(I43-AF43)*AI43,AF43*AG43+(AH43-AF43)*AI43+(I43-AH43)*AK43)),MAX(I43*AC43,AD43))))))</f>
        <v/>
      </c>
      <c r="L43" s="42">
        <f>IF(OR(E43="INACTIVE",H43=""),0,IF(AL43="NONE",0,IF(AL43="FLAT",AM43,IF(AL43="PER_UNIT",I43*AN43,IF(AL43="MANUAL",IF(M43="",0,M43),0)))))</f>
        <v/>
      </c>
      <c r="M43" s="36" t="n"/>
      <c r="N43" s="48" t="inlineStr">
        <is>
          <t>NORMAL</t>
        </is>
      </c>
      <c r="O43" s="36" t="n"/>
      <c r="P43" s="36" t="n"/>
      <c r="Q43" s="42">
        <f>IF(OR(E43="INACTIVE",P43=""),0,MAX(0,P43-O43))</f>
        <v/>
      </c>
      <c r="R43" s="36" t="n"/>
      <c r="S43" s="42">
        <f>IF(OR(E43="INACTIVE",P43=""),0,IF(AO43="DISABLED",0,IF(AO43="FLAT",AR43,IF(AO43="MANUAL",IF(R43="",0,R43*AP43),IF(AO43="STEP",IF(Q43&lt;=AS43,Q43*AT43,IF(Q43&lt;=AU43,AS43*AT43+(Q43-AS43)*AV43,AS43*AT43+(AU43-AS43)*AV43+(Q43-AU43)*AX43)),MAX(Q43*AP43,AQ43))))))</f>
        <v/>
      </c>
      <c r="T43" s="42">
        <f>IF(OR(E43="INACTIVE",P43=""),0,IF(AY43="NONE",0,IF(AY43="FLAT",AZ43,IF(AY43="PER_UNIT",Q43*BA43,IF(AY43="MANUAL",IF(U43="",0,U43),0)))))</f>
        <v/>
      </c>
      <c r="U43" s="36" t="n"/>
      <c r="V43" s="36" t="n"/>
      <c r="W43" s="36" t="n"/>
      <c r="X43" s="42">
        <f>IF(E43="INACTIVE",0,D43+K43+L43+S43+T43+IF(V43="",0,V43)+IF(W43="",0,W43))</f>
        <v/>
      </c>
      <c r="Y43" s="36" t="n"/>
      <c r="Z43" s="42">
        <f>IF(E43="INACTIVE","_",IF(AND(G43&gt;0,H43&gt;0,H43&lt;G43),"[!]น้ำ reset ","")&amp;IF(AND(O43&gt;0,P43&gt;0,P43&lt;O43),"[!]ไฟ reset ","")&amp;IF(AND(F43="MANUAL",J43=""),"[X]units น้ำ ","")&amp;IF(AND(N43="MANUAL",R43=""),"[X]units ไฟ ","")&amp;IF(D43=0,"[!]ค่าเช่า=0",""))</f>
        <v/>
      </c>
      <c r="AA43" s="41">
        <f>IF(C43&lt;&gt;"",C43,CONFIG!$B$6)</f>
        <v/>
      </c>
      <c r="AB43" s="41">
        <f>IF(F43&lt;&gt;"",F43,IFERROR(VLOOKUP(AA43,RULES!$A:$C,3,0),CONFIG!$B$7))</f>
        <v/>
      </c>
      <c r="AC43" s="41">
        <f>IF(IFERROR(VLOOKUP(AA43,RULES!$A:$D,4,0),"")="",CONFIG!$B$10,VLOOKUP(AA43,RULES!$A:$D,4,0))</f>
        <v/>
      </c>
      <c r="AD43" s="41">
        <f>IF(IFERROR(VLOOKUP(AA43,RULES!$A:$E,5,0),"")="",CONFIG!$B$11,VLOOKUP(AA43,RULES!$A:$E,5,0))</f>
        <v/>
      </c>
      <c r="AE43" s="41">
        <f>IFERROR(VLOOKUP(AA43,RULES!$A:$F,6,0)*1,0)</f>
        <v/>
      </c>
      <c r="AF43" s="41">
        <f>IFERROR(VLOOKUP(AA43,RULES!$A:$G,7,0)*1,0)</f>
        <v/>
      </c>
      <c r="AG43" s="41">
        <f>IFERROR(VLOOKUP(AA43,RULES!$A:$H,8,0)*1,0)</f>
        <v/>
      </c>
      <c r="AH43" s="41">
        <f>IFERROR(VLOOKUP(AA43,RULES!$A:$I,9,0)*1,0)</f>
        <v/>
      </c>
      <c r="AI43" s="41">
        <f>IFERROR(VLOOKUP(AA43,RULES!$A:$J,10,0)*1,0)</f>
        <v/>
      </c>
      <c r="AJ43" s="41">
        <f>IFERROR(IF(VLOOKUP(AA43,RULES!$A:$K,11,0)="",999999,VLOOKUP(AA43,RULES!$A:$K,11,0)*1),999999)</f>
        <v/>
      </c>
      <c r="AK43" s="41">
        <f>IFERROR(VLOOKUP(AA43,RULES!$A:$L,12,0)*1,0)</f>
        <v/>
      </c>
      <c r="AL43" s="41">
        <f>IFERROR(VLOOKUP(AA43,RULES!$A:$M,13,0),"NONE")</f>
        <v/>
      </c>
      <c r="AM43" s="41">
        <f>IFERROR(VLOOKUP(AA43,RULES!$A:$N,14,0)*1,0)</f>
        <v/>
      </c>
      <c r="AN43" s="41">
        <f>IFERROR(VLOOKUP(AA43,RULES!$A:$O,15,0)*1,0)</f>
        <v/>
      </c>
      <c r="AO43" s="41">
        <f>IF(N43&lt;&gt;"",N43,IFERROR(VLOOKUP(AA43,RULES!$A:$P,16,0),CONFIG!$B$8))</f>
        <v/>
      </c>
      <c r="AP43" s="41">
        <f>IF(IFERROR(VLOOKUP(AA43,RULES!$A:$Q,17,0),"")="",CONFIG!$B$13,VLOOKUP(AA43,RULES!$A:$Q,17,0))</f>
        <v/>
      </c>
      <c r="AQ43" s="41">
        <f>IF(IFERROR(VLOOKUP(AA43,RULES!$A:$R,18,0),"")="",CONFIG!$B$14,VLOOKUP(AA43,RULES!$A:$R,18,0))</f>
        <v/>
      </c>
      <c r="AR43" s="41">
        <f>IFERROR(VLOOKUP(AA43,RULES!$A:$S,19,0)*1,0)</f>
        <v/>
      </c>
      <c r="AS43" s="41">
        <f>IFERROR(VLOOKUP(AA43,RULES!$A:$T,20,0)*1,0)</f>
        <v/>
      </c>
      <c r="AT43" s="41">
        <f>IFERROR(VLOOKUP(AA43,RULES!$A:$U,21,0)*1,0)</f>
        <v/>
      </c>
      <c r="AU43" s="41">
        <f>IFERROR(VLOOKUP(AA43,RULES!$A:$V,22,0)*1,0)</f>
        <v/>
      </c>
      <c r="AV43" s="41">
        <f>IFERROR(VLOOKUP(AA43,RULES!$A:$W,23,0)*1,0)</f>
        <v/>
      </c>
      <c r="AW43" s="41">
        <f>IFERROR(IF(VLOOKUP(AA43,RULES!$A:$X,24,0)="",999999,VLOOKUP(AA43,RULES!$A:$X,24,0)*1),999999)</f>
        <v/>
      </c>
      <c r="AX43" s="41">
        <f>IFERROR(VLOOKUP(AA43,RULES!$A:$Y,25,0)*1,0)</f>
        <v/>
      </c>
      <c r="AY43" s="41">
        <f>IFERROR(VLOOKUP(AA43,RULES!$A:$Z,26,0),"NONE")</f>
        <v/>
      </c>
      <c r="AZ43" s="41">
        <f>IFERROR(VLOOKUP(AA43,RULES!$A:$AA,27,0)*1,0)</f>
        <v/>
      </c>
      <c r="BA43" s="41">
        <f>IFERROR(VLOOKUP(AA43,RULES!$A:$AB,28,0)*1,0)</f>
        <v/>
      </c>
    </row>
    <row r="44" ht="17" customHeight="1">
      <c r="A44" s="36" t="n"/>
      <c r="B44" s="48" t="inlineStr">
        <is>
          <t>ACC006</t>
        </is>
      </c>
      <c r="C44" s="48" t="inlineStr">
        <is>
          <t>DEFAULT</t>
        </is>
      </c>
      <c r="D44" s="47" t="n"/>
      <c r="E44" s="36">
        <f>IF(OR(D44="",D44=0),"INACTIVE","ACTIVE")</f>
        <v/>
      </c>
      <c r="F44" s="48" t="inlineStr">
        <is>
          <t>NORMAL</t>
        </is>
      </c>
      <c r="G44" s="36" t="n"/>
      <c r="H44" s="36" t="n"/>
      <c r="I44" s="42">
        <f>IF(OR(E44="INACTIVE",H44=""),0,MAX(0,H44-G44))</f>
        <v/>
      </c>
      <c r="J44" s="36" t="n"/>
      <c r="K44" s="42">
        <f>IF(OR(E44="INACTIVE",H44=""),0,IF(AB44="DISABLED",0,IF(AB44="FLAT",AE44,IF(AB44="MANUAL",IF(J44="",0,J44*AC44),IF(AB44="STEP",IF(I44&lt;=AF44,I44*AG44,IF(I44&lt;=AH44,AF44*AG44+(I44-AF44)*AI44,AF44*AG44+(AH44-AF44)*AI44+(I44-AH44)*AK44)),MAX(I44*AC44,AD44))))))</f>
        <v/>
      </c>
      <c r="L44" s="42">
        <f>IF(OR(E44="INACTIVE",H44=""),0,IF(AL44="NONE",0,IF(AL44="FLAT",AM44,IF(AL44="PER_UNIT",I44*AN44,IF(AL44="MANUAL",IF(M44="",0,M44),0)))))</f>
        <v/>
      </c>
      <c r="M44" s="36" t="n"/>
      <c r="N44" s="48" t="inlineStr">
        <is>
          <t>NORMAL</t>
        </is>
      </c>
      <c r="O44" s="36" t="n"/>
      <c r="P44" s="36" t="n"/>
      <c r="Q44" s="42">
        <f>IF(OR(E44="INACTIVE",P44=""),0,MAX(0,P44-O44))</f>
        <v/>
      </c>
      <c r="R44" s="36" t="n"/>
      <c r="S44" s="42">
        <f>IF(OR(E44="INACTIVE",P44=""),0,IF(AO44="DISABLED",0,IF(AO44="FLAT",AR44,IF(AO44="MANUAL",IF(R44="",0,R44*AP44),IF(AO44="STEP",IF(Q44&lt;=AS44,Q44*AT44,IF(Q44&lt;=AU44,AS44*AT44+(Q44-AS44)*AV44,AS44*AT44+(AU44-AS44)*AV44+(Q44-AU44)*AX44)),MAX(Q44*AP44,AQ44))))))</f>
        <v/>
      </c>
      <c r="T44" s="42">
        <f>IF(OR(E44="INACTIVE",P44=""),0,IF(AY44="NONE",0,IF(AY44="FLAT",AZ44,IF(AY44="PER_UNIT",Q44*BA44,IF(AY44="MANUAL",IF(U44="",0,U44),0)))))</f>
        <v/>
      </c>
      <c r="U44" s="36" t="n"/>
      <c r="V44" s="36" t="n"/>
      <c r="W44" s="36" t="n"/>
      <c r="X44" s="42">
        <f>IF(E44="INACTIVE",0,D44+K44+L44+S44+T44+IF(V44="",0,V44)+IF(W44="",0,W44))</f>
        <v/>
      </c>
      <c r="Y44" s="36" t="n"/>
      <c r="Z44" s="42">
        <f>IF(E44="INACTIVE","_",IF(AND(G44&gt;0,H44&gt;0,H44&lt;G44),"[!]น้ำ reset ","")&amp;IF(AND(O44&gt;0,P44&gt;0,P44&lt;O44),"[!]ไฟ reset ","")&amp;IF(AND(F44="MANUAL",J44=""),"[X]units น้ำ ","")&amp;IF(AND(N44="MANUAL",R44=""),"[X]units ไฟ ","")&amp;IF(D44=0,"[!]ค่าเช่า=0",""))</f>
        <v/>
      </c>
      <c r="AA44" s="41">
        <f>IF(C44&lt;&gt;"",C44,CONFIG!$B$6)</f>
        <v/>
      </c>
      <c r="AB44" s="41">
        <f>IF(F44&lt;&gt;"",F44,IFERROR(VLOOKUP(AA44,RULES!$A:$C,3,0),CONFIG!$B$7))</f>
        <v/>
      </c>
      <c r="AC44" s="41">
        <f>IF(IFERROR(VLOOKUP(AA44,RULES!$A:$D,4,0),"")="",CONFIG!$B$10,VLOOKUP(AA44,RULES!$A:$D,4,0))</f>
        <v/>
      </c>
      <c r="AD44" s="41">
        <f>IF(IFERROR(VLOOKUP(AA44,RULES!$A:$E,5,0),"")="",CONFIG!$B$11,VLOOKUP(AA44,RULES!$A:$E,5,0))</f>
        <v/>
      </c>
      <c r="AE44" s="41">
        <f>IFERROR(VLOOKUP(AA44,RULES!$A:$F,6,0)*1,0)</f>
        <v/>
      </c>
      <c r="AF44" s="41">
        <f>IFERROR(VLOOKUP(AA44,RULES!$A:$G,7,0)*1,0)</f>
        <v/>
      </c>
      <c r="AG44" s="41">
        <f>IFERROR(VLOOKUP(AA44,RULES!$A:$H,8,0)*1,0)</f>
        <v/>
      </c>
      <c r="AH44" s="41">
        <f>IFERROR(VLOOKUP(AA44,RULES!$A:$I,9,0)*1,0)</f>
        <v/>
      </c>
      <c r="AI44" s="41">
        <f>IFERROR(VLOOKUP(AA44,RULES!$A:$J,10,0)*1,0)</f>
        <v/>
      </c>
      <c r="AJ44" s="41">
        <f>IFERROR(IF(VLOOKUP(AA44,RULES!$A:$K,11,0)="",999999,VLOOKUP(AA44,RULES!$A:$K,11,0)*1),999999)</f>
        <v/>
      </c>
      <c r="AK44" s="41">
        <f>IFERROR(VLOOKUP(AA44,RULES!$A:$L,12,0)*1,0)</f>
        <v/>
      </c>
      <c r="AL44" s="41">
        <f>IFERROR(VLOOKUP(AA44,RULES!$A:$M,13,0),"NONE")</f>
        <v/>
      </c>
      <c r="AM44" s="41">
        <f>IFERROR(VLOOKUP(AA44,RULES!$A:$N,14,0)*1,0)</f>
        <v/>
      </c>
      <c r="AN44" s="41">
        <f>IFERROR(VLOOKUP(AA44,RULES!$A:$O,15,0)*1,0)</f>
        <v/>
      </c>
      <c r="AO44" s="41">
        <f>IF(N44&lt;&gt;"",N44,IFERROR(VLOOKUP(AA44,RULES!$A:$P,16,0),CONFIG!$B$8))</f>
        <v/>
      </c>
      <c r="AP44" s="41">
        <f>IF(IFERROR(VLOOKUP(AA44,RULES!$A:$Q,17,0),"")="",CONFIG!$B$13,VLOOKUP(AA44,RULES!$A:$Q,17,0))</f>
        <v/>
      </c>
      <c r="AQ44" s="41">
        <f>IF(IFERROR(VLOOKUP(AA44,RULES!$A:$R,18,0),"")="",CONFIG!$B$14,VLOOKUP(AA44,RULES!$A:$R,18,0))</f>
        <v/>
      </c>
      <c r="AR44" s="41">
        <f>IFERROR(VLOOKUP(AA44,RULES!$A:$S,19,0)*1,0)</f>
        <v/>
      </c>
      <c r="AS44" s="41">
        <f>IFERROR(VLOOKUP(AA44,RULES!$A:$T,20,0)*1,0)</f>
        <v/>
      </c>
      <c r="AT44" s="41">
        <f>IFERROR(VLOOKUP(AA44,RULES!$A:$U,21,0)*1,0)</f>
        <v/>
      </c>
      <c r="AU44" s="41">
        <f>IFERROR(VLOOKUP(AA44,RULES!$A:$V,22,0)*1,0)</f>
        <v/>
      </c>
      <c r="AV44" s="41">
        <f>IFERROR(VLOOKUP(AA44,RULES!$A:$W,23,0)*1,0)</f>
        <v/>
      </c>
      <c r="AW44" s="41">
        <f>IFERROR(IF(VLOOKUP(AA44,RULES!$A:$X,24,0)="",999999,VLOOKUP(AA44,RULES!$A:$X,24,0)*1),999999)</f>
        <v/>
      </c>
      <c r="AX44" s="41">
        <f>IFERROR(VLOOKUP(AA44,RULES!$A:$Y,25,0)*1,0)</f>
        <v/>
      </c>
      <c r="AY44" s="41">
        <f>IFERROR(VLOOKUP(AA44,RULES!$A:$Z,26,0),"NONE")</f>
        <v/>
      </c>
      <c r="AZ44" s="41">
        <f>IFERROR(VLOOKUP(AA44,RULES!$A:$AA,27,0)*1,0)</f>
        <v/>
      </c>
      <c r="BA44" s="41">
        <f>IFERROR(VLOOKUP(AA44,RULES!$A:$AB,28,0)*1,0)</f>
        <v/>
      </c>
    </row>
    <row r="45" ht="17" customHeight="1">
      <c r="A45" s="36" t="n"/>
      <c r="B45" s="48" t="inlineStr">
        <is>
          <t>ACC006</t>
        </is>
      </c>
      <c r="C45" s="48" t="inlineStr">
        <is>
          <t>DEFAULT</t>
        </is>
      </c>
      <c r="D45" s="47" t="n"/>
      <c r="E45" s="36">
        <f>IF(OR(D45="",D45=0),"INACTIVE","ACTIVE")</f>
        <v/>
      </c>
      <c r="F45" s="48" t="inlineStr">
        <is>
          <t>NORMAL</t>
        </is>
      </c>
      <c r="G45" s="36" t="n"/>
      <c r="H45" s="36" t="n"/>
      <c r="I45" s="42">
        <f>IF(OR(E45="INACTIVE",H45=""),0,MAX(0,H45-G45))</f>
        <v/>
      </c>
      <c r="J45" s="36" t="n"/>
      <c r="K45" s="42">
        <f>IF(OR(E45="INACTIVE",H45=""),0,IF(AB45="DISABLED",0,IF(AB45="FLAT",AE45,IF(AB45="MANUAL",IF(J45="",0,J45*AC45),IF(AB45="STEP",IF(I45&lt;=AF45,I45*AG45,IF(I45&lt;=AH45,AF45*AG45+(I45-AF45)*AI45,AF45*AG45+(AH45-AF45)*AI45+(I45-AH45)*AK45)),MAX(I45*AC45,AD45))))))</f>
        <v/>
      </c>
      <c r="L45" s="42">
        <f>IF(OR(E45="INACTIVE",H45=""),0,IF(AL45="NONE",0,IF(AL45="FLAT",AM45,IF(AL45="PER_UNIT",I45*AN45,IF(AL45="MANUAL",IF(M45="",0,M45),0)))))</f>
        <v/>
      </c>
      <c r="M45" s="36" t="n"/>
      <c r="N45" s="48" t="inlineStr">
        <is>
          <t>NORMAL</t>
        </is>
      </c>
      <c r="O45" s="36" t="n"/>
      <c r="P45" s="36" t="n"/>
      <c r="Q45" s="42">
        <f>IF(OR(E45="INACTIVE",P45=""),0,MAX(0,P45-O45))</f>
        <v/>
      </c>
      <c r="R45" s="36" t="n"/>
      <c r="S45" s="42">
        <f>IF(OR(E45="INACTIVE",P45=""),0,IF(AO45="DISABLED",0,IF(AO45="FLAT",AR45,IF(AO45="MANUAL",IF(R45="",0,R45*AP45),IF(AO45="STEP",IF(Q45&lt;=AS45,Q45*AT45,IF(Q45&lt;=AU45,AS45*AT45+(Q45-AS45)*AV45,AS45*AT45+(AU45-AS45)*AV45+(Q45-AU45)*AX45)),MAX(Q45*AP45,AQ45))))))</f>
        <v/>
      </c>
      <c r="T45" s="42">
        <f>IF(OR(E45="INACTIVE",P45=""),0,IF(AY45="NONE",0,IF(AY45="FLAT",AZ45,IF(AY45="PER_UNIT",Q45*BA45,IF(AY45="MANUAL",IF(U45="",0,U45),0)))))</f>
        <v/>
      </c>
      <c r="U45" s="36" t="n"/>
      <c r="V45" s="36" t="n"/>
      <c r="W45" s="36" t="n"/>
      <c r="X45" s="42">
        <f>IF(E45="INACTIVE",0,D45+K45+L45+S45+T45+IF(V45="",0,V45)+IF(W45="",0,W45))</f>
        <v/>
      </c>
      <c r="Y45" s="36" t="n"/>
      <c r="Z45" s="42">
        <f>IF(E45="INACTIVE","_",IF(AND(G45&gt;0,H45&gt;0,H45&lt;G45),"[!]น้ำ reset ","")&amp;IF(AND(O45&gt;0,P45&gt;0,P45&lt;O45),"[!]ไฟ reset ","")&amp;IF(AND(F45="MANUAL",J45=""),"[X]units น้ำ ","")&amp;IF(AND(N45="MANUAL",R45=""),"[X]units ไฟ ","")&amp;IF(D45=0,"[!]ค่าเช่า=0",""))</f>
        <v/>
      </c>
      <c r="AA45" s="41">
        <f>IF(C45&lt;&gt;"",C45,CONFIG!$B$6)</f>
        <v/>
      </c>
      <c r="AB45" s="41">
        <f>IF(F45&lt;&gt;"",F45,IFERROR(VLOOKUP(AA45,RULES!$A:$C,3,0),CONFIG!$B$7))</f>
        <v/>
      </c>
      <c r="AC45" s="41">
        <f>IF(IFERROR(VLOOKUP(AA45,RULES!$A:$D,4,0),"")="",CONFIG!$B$10,VLOOKUP(AA45,RULES!$A:$D,4,0))</f>
        <v/>
      </c>
      <c r="AD45" s="41">
        <f>IF(IFERROR(VLOOKUP(AA45,RULES!$A:$E,5,0),"")="",CONFIG!$B$11,VLOOKUP(AA45,RULES!$A:$E,5,0))</f>
        <v/>
      </c>
      <c r="AE45" s="41">
        <f>IFERROR(VLOOKUP(AA45,RULES!$A:$F,6,0)*1,0)</f>
        <v/>
      </c>
      <c r="AF45" s="41">
        <f>IFERROR(VLOOKUP(AA45,RULES!$A:$G,7,0)*1,0)</f>
        <v/>
      </c>
      <c r="AG45" s="41">
        <f>IFERROR(VLOOKUP(AA45,RULES!$A:$H,8,0)*1,0)</f>
        <v/>
      </c>
      <c r="AH45" s="41">
        <f>IFERROR(VLOOKUP(AA45,RULES!$A:$I,9,0)*1,0)</f>
        <v/>
      </c>
      <c r="AI45" s="41">
        <f>IFERROR(VLOOKUP(AA45,RULES!$A:$J,10,0)*1,0)</f>
        <v/>
      </c>
      <c r="AJ45" s="41">
        <f>IFERROR(IF(VLOOKUP(AA45,RULES!$A:$K,11,0)="",999999,VLOOKUP(AA45,RULES!$A:$K,11,0)*1),999999)</f>
        <v/>
      </c>
      <c r="AK45" s="41">
        <f>IFERROR(VLOOKUP(AA45,RULES!$A:$L,12,0)*1,0)</f>
        <v/>
      </c>
      <c r="AL45" s="41">
        <f>IFERROR(VLOOKUP(AA45,RULES!$A:$M,13,0),"NONE")</f>
        <v/>
      </c>
      <c r="AM45" s="41">
        <f>IFERROR(VLOOKUP(AA45,RULES!$A:$N,14,0)*1,0)</f>
        <v/>
      </c>
      <c r="AN45" s="41">
        <f>IFERROR(VLOOKUP(AA45,RULES!$A:$O,15,0)*1,0)</f>
        <v/>
      </c>
      <c r="AO45" s="41">
        <f>IF(N45&lt;&gt;"",N45,IFERROR(VLOOKUP(AA45,RULES!$A:$P,16,0),CONFIG!$B$8))</f>
        <v/>
      </c>
      <c r="AP45" s="41">
        <f>IF(IFERROR(VLOOKUP(AA45,RULES!$A:$Q,17,0),"")="",CONFIG!$B$13,VLOOKUP(AA45,RULES!$A:$Q,17,0))</f>
        <v/>
      </c>
      <c r="AQ45" s="41">
        <f>IF(IFERROR(VLOOKUP(AA45,RULES!$A:$R,18,0),"")="",CONFIG!$B$14,VLOOKUP(AA45,RULES!$A:$R,18,0))</f>
        <v/>
      </c>
      <c r="AR45" s="41">
        <f>IFERROR(VLOOKUP(AA45,RULES!$A:$S,19,0)*1,0)</f>
        <v/>
      </c>
      <c r="AS45" s="41">
        <f>IFERROR(VLOOKUP(AA45,RULES!$A:$T,20,0)*1,0)</f>
        <v/>
      </c>
      <c r="AT45" s="41">
        <f>IFERROR(VLOOKUP(AA45,RULES!$A:$U,21,0)*1,0)</f>
        <v/>
      </c>
      <c r="AU45" s="41">
        <f>IFERROR(VLOOKUP(AA45,RULES!$A:$V,22,0)*1,0)</f>
        <v/>
      </c>
      <c r="AV45" s="41">
        <f>IFERROR(VLOOKUP(AA45,RULES!$A:$W,23,0)*1,0)</f>
        <v/>
      </c>
      <c r="AW45" s="41">
        <f>IFERROR(IF(VLOOKUP(AA45,RULES!$A:$X,24,0)="",999999,VLOOKUP(AA45,RULES!$A:$X,24,0)*1),999999)</f>
        <v/>
      </c>
      <c r="AX45" s="41">
        <f>IFERROR(VLOOKUP(AA45,RULES!$A:$Y,25,0)*1,0)</f>
        <v/>
      </c>
      <c r="AY45" s="41">
        <f>IFERROR(VLOOKUP(AA45,RULES!$A:$Z,26,0),"NONE")</f>
        <v/>
      </c>
      <c r="AZ45" s="41">
        <f>IFERROR(VLOOKUP(AA45,RULES!$A:$AA,27,0)*1,0)</f>
        <v/>
      </c>
      <c r="BA45" s="41">
        <f>IFERROR(VLOOKUP(AA45,RULES!$A:$AB,28,0)*1,0)</f>
        <v/>
      </c>
    </row>
    <row r="46" ht="22" customHeight="1">
      <c r="A46" s="43" t="inlineStr">
        <is>
          <t>Summary Floor 6</t>
        </is>
      </c>
      <c r="B46" s="46" t="n"/>
      <c r="C46" s="44" t="n"/>
      <c r="D46" s="44" t="n"/>
      <c r="E46" s="43">
        <f>COUNTIF(E4:E35,"ACTIVE")&amp;" / "&amp;COUNTIF(E4:E35,"INACTIVE")</f>
        <v/>
      </c>
      <c r="F46" s="44" t="n"/>
      <c r="G46" s="44" t="n"/>
      <c r="H46" s="44" t="n"/>
      <c r="I46" s="44" t="n"/>
      <c r="J46" s="44" t="n"/>
      <c r="K46" s="45">
        <f>SUM(K4:K35)</f>
        <v/>
      </c>
      <c r="L46" s="45">
        <f>SUM(L4:L35)</f>
        <v/>
      </c>
      <c r="M46" s="44" t="n"/>
      <c r="N46" s="44" t="n"/>
      <c r="O46" s="44" t="n"/>
      <c r="P46" s="44" t="n"/>
      <c r="Q46" s="44" t="n"/>
      <c r="R46" s="44" t="n"/>
      <c r="S46" s="45">
        <f>SUM(S4:S35)</f>
        <v/>
      </c>
      <c r="T46" s="45">
        <f>SUM(T4:T35)</f>
        <v/>
      </c>
      <c r="U46" s="44" t="n"/>
      <c r="V46" s="44" t="n"/>
      <c r="W46" s="44" t="n"/>
      <c r="X46" s="45">
        <f>SUM(X4:X35)</f>
        <v/>
      </c>
      <c r="Y46" s="44" t="n"/>
      <c r="Z46" s="44" t="n"/>
    </row>
  </sheetData>
  <mergeCells count="3">
    <mergeCell ref="A1:Z1"/>
    <mergeCell ref="A36:B36"/>
    <mergeCell ref="A46:B46"/>
  </mergeCells>
  <conditionalFormatting sqref="A4:Z46">
    <cfRule type="expression" priority="22" dxfId="11">
      <formula>=$E4="INACTIVE"</formula>
    </cfRule>
  </conditionalFormatting>
  <conditionalFormatting sqref="E4:E46">
    <cfRule type="expression" priority="23" dxfId="12">
      <formula>=E4="ACTIVE"</formula>
    </cfRule>
    <cfRule type="expression" priority="24" dxfId="13">
      <formula>=E4="INACTIVE"</formula>
    </cfRule>
  </conditionalFormatting>
  <conditionalFormatting sqref="F4:F46">
    <cfRule type="expression" priority="25" dxfId="14">
      <formula>=F4="NORMAL"</formula>
    </cfRule>
    <cfRule type="expression" priority="26" dxfId="15">
      <formula>=F4="MANUAL"</formula>
    </cfRule>
    <cfRule type="expression" priority="27" dxfId="16">
      <formula>=F4="DISABLED"</formula>
    </cfRule>
    <cfRule type="expression" priority="28" dxfId="17">
      <formula>=F4="FLAT"</formula>
    </cfRule>
    <cfRule type="expression" priority="29" dxfId="18">
      <formula>=F4="STEP"</formula>
    </cfRule>
  </conditionalFormatting>
  <conditionalFormatting sqref="N4:N46">
    <cfRule type="expression" priority="30" dxfId="14">
      <formula>=N4="NORMAL"</formula>
    </cfRule>
    <cfRule type="expression" priority="31" dxfId="15">
      <formula>=N4="MANUAL"</formula>
    </cfRule>
    <cfRule type="expression" priority="32" dxfId="16">
      <formula>=N4="DISABLED"</formula>
    </cfRule>
    <cfRule type="expression" priority="33" dxfId="17">
      <formula>=N4="FLAT"</formula>
    </cfRule>
    <cfRule type="expression" priority="34" dxfId="18">
      <formula>=N4="STEP"</formula>
    </cfRule>
  </conditionalFormatting>
  <conditionalFormatting sqref="Z4:Z46">
    <cfRule type="expression" priority="35" dxfId="19">
      <formula>=ISNUMBER(SEARCH("[X]",Z4))</formula>
    </cfRule>
    <cfRule type="expression" priority="36" dxfId="20">
      <formula>=ISNUMBER(SEARCH("[!]",Z4))</formula>
    </cfRule>
    <cfRule type="expression" priority="37" dxfId="16">
      <formula>=Z4="_"</formula>
    </cfRule>
    <cfRule type="expression" priority="38" dxfId="14">
      <formula>=AND(Z4="",E4="ACTIVE")</formula>
    </cfRule>
  </conditionalFormatting>
  <conditionalFormatting sqref="B4:B46">
    <cfRule type="expression" priority="39" dxfId="21">
      <formula>=B4&lt;&gt;""</formula>
    </cfRule>
  </conditionalFormatting>
  <conditionalFormatting sqref="C4:C46">
    <cfRule type="expression" priority="40" dxfId="21">
      <formula>=AND(C4&lt;&gt;"",C4&lt;&gt;"DEFAULT")</formula>
    </cfRule>
  </conditionalFormatting>
  <conditionalFormatting sqref="J4:J46">
    <cfRule type="expression" priority="41" dxfId="19">
      <formula>=AND(AB4="MANUAL",J4="")</formula>
    </cfRule>
  </conditionalFormatting>
  <conditionalFormatting sqref="R4:R46">
    <cfRule type="expression" priority="42" dxfId="19">
      <formula>=AND(AO4="MANUAL",R4="")</formula>
    </cfRule>
  </conditionalFormatting>
  <dataValidations count="4">
    <dataValidation sqref="B4:B45" showDropDown="0" showInputMessage="0" showErrorMessage="0" allowBlank="0" type="list">
      <formula1>=ACCOUNTS!$A$2:$A$30</formula1>
    </dataValidation>
    <dataValidation sqref="C4:C45" showDropDown="0" showInputMessage="0" showErrorMessage="0" allowBlank="0" type="list">
      <formula1>=RULES!$A$2:$A$50</formula1>
    </dataValidation>
    <dataValidation sqref="F4:F45" showDropDown="0" showInputMessage="0" showErrorMessage="0" allowBlank="0" type="list">
      <formula1>"NORMAL,MANUAL,DISABLED,FLAT,STEP"</formula1>
    </dataValidation>
    <dataValidation sqref="N4:N45" showDropDown="0" showInputMessage="0" showErrorMessage="0" allowBlank="0" type="list">
      <formula1>"NORMAL,MANUAL,DISABLED,FLAT,STEP"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46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1" customWidth="1" min="12" max="12"/>
    <col width="11" customWidth="1" min="13" max="13"/>
    <col width="10" customWidth="1" min="14" max="14"/>
    <col width="8" customWidth="1" min="15" max="15"/>
    <col width="8" customWidth="1" min="16" max="16"/>
    <col width="8" customWidth="1" min="17" max="17"/>
    <col width="10" customWidth="1" min="18" max="18"/>
    <col width="10" customWidth="1" min="19" max="19"/>
    <col width="11" customWidth="1" min="20" max="20"/>
    <col width="11" customWidth="1" min="21" max="21"/>
    <col width="9" customWidth="1" min="22" max="22"/>
    <col width="9" customWidth="1" min="23" max="23"/>
    <col width="11" customWidth="1" min="24" max="24"/>
    <col width="16" customWidth="1" min="25" max="25"/>
    <col width="22" customWidth="1" min="26" max="26"/>
    <col hidden="1" width="0.5" customWidth="1" min="27" max="27"/>
    <col hidden="1" width="0.5" customWidth="1" min="28" max="28"/>
    <col hidden="1" width="0.5" customWidth="1" min="29" max="29"/>
    <col hidden="1" width="0.5" customWidth="1" min="30" max="30"/>
    <col hidden="1" width="0.5" customWidth="1" min="31" max="31"/>
    <col hidden="1" width="0.5" customWidth="1" min="32" max="32"/>
    <col hidden="1" width="0.5" customWidth="1" min="33" max="33"/>
    <col hidden="1" width="0.5" customWidth="1" min="34" max="34"/>
    <col hidden="1" width="0.5" customWidth="1" min="35" max="35"/>
    <col hidden="1" width="0.5" customWidth="1" min="36" max="36"/>
    <col hidden="1" width="0.5" customWidth="1" min="37" max="37"/>
    <col hidden="1" width="0.5" customWidth="1" min="38" max="38"/>
    <col hidden="1" width="0.5" customWidth="1" min="39" max="39"/>
    <col hidden="1" width="0.5" customWidth="1" min="40" max="40"/>
    <col hidden="1" width="0.5" customWidth="1" min="41" max="41"/>
    <col hidden="1" width="0.5" customWidth="1" min="42" max="42"/>
    <col hidden="1" width="0.5" customWidth="1" min="43" max="43"/>
    <col hidden="1" width="0.5" customWidth="1" min="44" max="44"/>
    <col hidden="1" width="0.5" customWidth="1" min="45" max="45"/>
    <col hidden="1" width="0.5" customWidth="1" min="46" max="46"/>
    <col hidden="1" width="0.5" customWidth="1" min="47" max="47"/>
    <col hidden="1" width="0.5" customWidth="1" min="48" max="48"/>
    <col hidden="1" width="0.5" customWidth="1" min="49" max="49"/>
    <col hidden="1" width="0.5" customWidth="1" min="50" max="50"/>
    <col hidden="1" width="0.5" customWidth="1" min="51" max="51"/>
    <col hidden="1" width="0.5" customWidth="1" min="52" max="52"/>
    <col hidden="1" width="0.5" customWidth="1" min="53" max="53"/>
  </cols>
  <sheetData>
    <row r="1" ht="28" customHeight="1">
      <c r="A1" s="1" t="inlineStr">
        <is>
          <t>ข้อมูลบิล ชั้น 7</t>
        </is>
      </c>
    </row>
    <row r="2" ht="20" customHeight="1">
      <c r="A2" s="9" t="inlineStr">
        <is>
          <t>room</t>
        </is>
      </c>
      <c r="B2" s="9" t="inlineStr">
        <is>
          <t>account_id</t>
        </is>
      </c>
      <c r="C2" s="9" t="inlineStr">
        <is>
          <t>rule_code</t>
        </is>
      </c>
      <c r="D2" s="9" t="inlineStr">
        <is>
          <t>rent_amount</t>
        </is>
      </c>
      <c r="E2" s="9" t="inlineStr">
        <is>
          <t>room_status</t>
        </is>
      </c>
      <c r="F2" s="9" t="inlineStr">
        <is>
          <t>water_mode</t>
        </is>
      </c>
      <c r="G2" s="9" t="inlineStr">
        <is>
          <t>water_prev</t>
        </is>
      </c>
      <c r="H2" s="9" t="inlineStr">
        <is>
          <t>water_curr</t>
        </is>
      </c>
      <c r="I2" s="9" t="inlineStr">
        <is>
          <t>water_units</t>
        </is>
      </c>
      <c r="J2" s="9" t="inlineStr">
        <is>
          <t>water_units_manual</t>
        </is>
      </c>
      <c r="K2" s="9" t="inlineStr">
        <is>
          <t>water_charge</t>
        </is>
      </c>
      <c r="L2" s="9" t="inlineStr">
        <is>
          <t>water_fee</t>
        </is>
      </c>
      <c r="M2" s="9" t="inlineStr">
        <is>
          <t>water_fee_manual</t>
        </is>
      </c>
      <c r="N2" s="9" t="inlineStr">
        <is>
          <t>electric_mode</t>
        </is>
      </c>
      <c r="O2" s="9" t="inlineStr">
        <is>
          <t>electric_prev</t>
        </is>
      </c>
      <c r="P2" s="9" t="inlineStr">
        <is>
          <t>electric_curr</t>
        </is>
      </c>
      <c r="Q2" s="9" t="inlineStr">
        <is>
          <t>electric_units</t>
        </is>
      </c>
      <c r="R2" s="9" t="inlineStr">
        <is>
          <t>electric_units_manual</t>
        </is>
      </c>
      <c r="S2" s="9" t="inlineStr">
        <is>
          <t>electric_charge</t>
        </is>
      </c>
      <c r="T2" s="9" t="inlineStr">
        <is>
          <t>electric_fee</t>
        </is>
      </c>
      <c r="U2" s="9" t="inlineStr">
        <is>
          <t>electric_fee_manual</t>
        </is>
      </c>
      <c r="V2" s="9" t="inlineStr">
        <is>
          <t>furniture_fee</t>
        </is>
      </c>
      <c r="W2" s="9" t="inlineStr">
        <is>
          <t>other_fee</t>
        </is>
      </c>
      <c r="X2" s="9" t="inlineStr">
        <is>
          <t>total_due</t>
        </is>
      </c>
      <c r="Y2" s="9" t="inlineStr">
        <is>
          <t>note</t>
        </is>
      </c>
      <c r="Z2" s="9" t="inlineStr">
        <is>
          <t>check_notes</t>
        </is>
      </c>
      <c r="AA2" s="21" t="inlineStr">
        <is>
          <t>_helpers (hidden)</t>
        </is>
      </c>
    </row>
    <row r="3" ht="22" customHeight="1">
      <c r="A3" s="10" t="inlineStr">
        <is>
          <t>เลขห้อง</t>
        </is>
      </c>
      <c r="B3" s="10" t="inlineStr">
        <is>
          <t>บัญชีรับเงิน</t>
        </is>
      </c>
      <c r="C3" s="10" t="inlineStr">
        <is>
          <t>กฎ billing</t>
        </is>
      </c>
      <c r="D3" s="10" t="inlineStr">
        <is>
          <t>ค่าเช่า (กรอกเอง)</t>
        </is>
      </c>
      <c r="E3" s="10" t="inlineStr">
        <is>
          <t>สถานะ</t>
        </is>
      </c>
      <c r="F3" s="10" t="inlineStr">
        <is>
          <t>โหมดน้ำ</t>
        </is>
      </c>
      <c r="G3" s="10" t="inlineStr">
        <is>
          <t>น้ำก่อน</t>
        </is>
      </c>
      <c r="H3" s="10" t="inlineStr">
        <is>
          <t>น้ำหลัง</t>
        </is>
      </c>
      <c r="I3" s="10" t="inlineStr">
        <is>
          <t>ใช้น้ำ</t>
        </is>
      </c>
      <c r="J3" s="10" t="inlineStr">
        <is>
          <t>units น้ำ(manual)</t>
        </is>
      </c>
      <c r="K3" s="10" t="inlineStr">
        <is>
          <t>ค่าน้ำ</t>
        </is>
      </c>
      <c r="L3" s="10" t="inlineStr">
        <is>
          <t>ค่าบริการน้ำ</t>
        </is>
      </c>
      <c r="M3" s="10" t="inlineStr">
        <is>
          <t>ค่าบริการน้ำ(M)</t>
        </is>
      </c>
      <c r="N3" s="10" t="inlineStr">
        <is>
          <t>โหมดไฟ</t>
        </is>
      </c>
      <c r="O3" s="10" t="inlineStr">
        <is>
          <t>ไฟก่อน</t>
        </is>
      </c>
      <c r="P3" s="10" t="inlineStr">
        <is>
          <t>ไฟหลัง</t>
        </is>
      </c>
      <c r="Q3" s="10" t="inlineStr">
        <is>
          <t>ใช้ไฟ</t>
        </is>
      </c>
      <c r="R3" s="10" t="inlineStr">
        <is>
          <t>units ไฟ(manual)</t>
        </is>
      </c>
      <c r="S3" s="10" t="inlineStr">
        <is>
          <t>ค่าไฟ</t>
        </is>
      </c>
      <c r="T3" s="10" t="inlineStr">
        <is>
          <t>ค่าบริการไฟ</t>
        </is>
      </c>
      <c r="U3" s="10" t="inlineStr">
        <is>
          <t>ค่าบริการไฟ(M)</t>
        </is>
      </c>
      <c r="V3" s="10" t="inlineStr">
        <is>
          <t>ค่าเฟอร์</t>
        </is>
      </c>
      <c r="W3" s="10" t="inlineStr">
        <is>
          <t>อื่นๆ</t>
        </is>
      </c>
      <c r="X3" s="10" t="inlineStr">
        <is>
          <t>รวมเงิน</t>
        </is>
      </c>
      <c r="Y3" s="10" t="inlineStr">
        <is>
          <t>หมายเหตุ</t>
        </is>
      </c>
      <c r="Z3" s="10" t="inlineStr">
        <is>
          <t>ตรวจสอบ</t>
        </is>
      </c>
    </row>
    <row r="4" ht="17" customHeight="1">
      <c r="A4" s="22" t="inlineStr">
        <is>
          <t>3701</t>
        </is>
      </c>
      <c r="B4" s="48" t="inlineStr">
        <is>
          <t>ACC007</t>
        </is>
      </c>
      <c r="C4" s="48" t="inlineStr">
        <is>
          <t>DEFAULT</t>
        </is>
      </c>
      <c r="D4" s="47" t="n"/>
      <c r="E4" s="22">
        <f>IF(OR(D4="",D4=0),"INACTIVE","ACTIVE")</f>
        <v/>
      </c>
      <c r="F4" s="48" t="inlineStr">
        <is>
          <t>NORMAL</t>
        </is>
      </c>
      <c r="G4" s="25" t="n"/>
      <c r="H4" s="25" t="n"/>
      <c r="I4" s="26">
        <f>IF(OR(E4="INACTIVE",H4=""),0,MAX(0,H4-G4))</f>
        <v/>
      </c>
      <c r="J4" s="23" t="n"/>
      <c r="K4" s="26">
        <f>IF(OR(E4="INACTIVE",H4=""),0,IF(AB4="DISABLED",0,IF(AB4="FLAT",AE4,IF(AB4="MANUAL",IF(J4="",0,J4*AC4),IF(AB4="STEP",IF(I4&lt;=AF4,I4*AG4,IF(I4&lt;=AH4,AF4*AG4+(I4-AF4)*AI4,AF4*AG4+(AH4-AF4)*AI4+(I4-AH4)*AK4)),MAX(I4*AC4,AD4))))))</f>
        <v/>
      </c>
      <c r="L4" s="26">
        <f>IF(OR(E4="INACTIVE",H4=""),0,IF(AL4="NONE",0,IF(AL4="FLAT",AM4,IF(AL4="PER_UNIT",I4*AN4,IF(AL4="MANUAL",IF(M4="",0,M4),0)))))</f>
        <v/>
      </c>
      <c r="M4" s="23" t="n"/>
      <c r="N4" s="48" t="inlineStr">
        <is>
          <t>NORMAL</t>
        </is>
      </c>
      <c r="O4" s="25" t="n"/>
      <c r="P4" s="25" t="n"/>
      <c r="Q4" s="26">
        <f>IF(OR(E4="INACTIVE",P4=""),0,MAX(0,P4-O4))</f>
        <v/>
      </c>
      <c r="R4" s="23" t="n"/>
      <c r="S4" s="26">
        <f>IF(OR(E4="INACTIVE",P4=""),0,IF(AO4="DISABLED",0,IF(AO4="FLAT",AR4,IF(AO4="MANUAL",IF(R4="",0,R4*AP4),IF(AO4="STEP",IF(Q4&lt;=AS4,Q4*AT4,IF(Q4&lt;=AU4,AS4*AT4+(Q4-AS4)*AV4,AS4*AT4+(AU4-AS4)*AV4+(Q4-AU4)*AX4)),MAX(Q4*AP4,AQ4))))))</f>
        <v/>
      </c>
      <c r="T4" s="26">
        <f>IF(OR(E4="INACTIVE",P4=""),0,IF(AY4="NONE",0,IF(AY4="FLAT",AZ4,IF(AY4="PER_UNIT",Q4*BA4,IF(AY4="MANUAL",IF(U4="",0,U4),0)))))</f>
        <v/>
      </c>
      <c r="U4" s="23" t="n"/>
      <c r="V4" s="25" t="n"/>
      <c r="W4" s="25" t="n"/>
      <c r="X4" s="26">
        <f>IF(E4="INACTIVE",0,D4+K4+L4+S4+T4+IF(V4="",0,V4)+IF(W4="",0,W4))</f>
        <v/>
      </c>
      <c r="Y4" s="27" t="n"/>
      <c r="Z4" s="28">
        <f>IF(E4="INACTIVE","_",IF(AND(G4&gt;0,H4&gt;0,H4&lt;G4),"[!]น้ำ reset ","")&amp;IF(AND(O4&gt;0,P4&gt;0,P4&lt;O4),"[!]ไฟ reset ","")&amp;IF(AND(F4="MANUAL",J4=""),"[X]units น้ำ ","")&amp;IF(AND(N4="MANUAL",R4=""),"[X]units ไฟ ","")&amp;IF(D4=0,"[!]ค่าเช่า=0",""))</f>
        <v/>
      </c>
      <c r="AA4" s="29">
        <f>IF(C4&lt;&gt;"",C4,CONFIG!$B$6)</f>
        <v/>
      </c>
      <c r="AB4" s="29">
        <f>IF(F4&lt;&gt;"",F4,IFERROR(VLOOKUP(AA4,RULES!$A:$C,3,0),CONFIG!$B$7))</f>
        <v/>
      </c>
      <c r="AC4" s="29">
        <f>IF(IFERROR(VLOOKUP(AA4,RULES!$A:$D,4,0),"")="",CONFIG!$B$10,VLOOKUP(AA4,RULES!$A:$D,4,0))</f>
        <v/>
      </c>
      <c r="AD4" s="29">
        <f>IF(IFERROR(VLOOKUP(AA4,RULES!$A:$E,5,0),"")="",CONFIG!$B$11,VLOOKUP(AA4,RULES!$A:$E,5,0))</f>
        <v/>
      </c>
      <c r="AE4" s="29">
        <f>IFERROR(VLOOKUP(AA4,RULES!$A:$F,6,0)*1,0)</f>
        <v/>
      </c>
      <c r="AF4" s="29">
        <f>IFERROR(VLOOKUP(AA4,RULES!$A:$G,7,0)*1,0)</f>
        <v/>
      </c>
      <c r="AG4" s="29">
        <f>IFERROR(VLOOKUP(AA4,RULES!$A:$H,8,0)*1,0)</f>
        <v/>
      </c>
      <c r="AH4" s="29">
        <f>IFERROR(VLOOKUP(AA4,RULES!$A:$I,9,0)*1,0)</f>
        <v/>
      </c>
      <c r="AI4" s="29">
        <f>IFERROR(VLOOKUP(AA4,RULES!$A:$J,10,0)*1,0)</f>
        <v/>
      </c>
      <c r="AJ4" s="29">
        <f>IFERROR(IF(VLOOKUP(AA4,RULES!$A:$K,11,0)="",999999,VLOOKUP(AA4,RULES!$A:$K,11,0)*1),999999)</f>
        <v/>
      </c>
      <c r="AK4" s="29">
        <f>IFERROR(VLOOKUP(AA4,RULES!$A:$L,12,0)*1,0)</f>
        <v/>
      </c>
      <c r="AL4" s="29">
        <f>IFERROR(VLOOKUP(AA4,RULES!$A:$M,13,0),"NONE")</f>
        <v/>
      </c>
      <c r="AM4" s="29">
        <f>IFERROR(VLOOKUP(AA4,RULES!$A:$N,14,0)*1,0)</f>
        <v/>
      </c>
      <c r="AN4" s="29">
        <f>IFERROR(VLOOKUP(AA4,RULES!$A:$O,15,0)*1,0)</f>
        <v/>
      </c>
      <c r="AO4" s="29">
        <f>IF(N4&lt;&gt;"",N4,IFERROR(VLOOKUP(AA4,RULES!$A:$P,16,0),CONFIG!$B$8))</f>
        <v/>
      </c>
      <c r="AP4" s="29">
        <f>IF(IFERROR(VLOOKUP(AA4,RULES!$A:$Q,17,0),"")="",CONFIG!$B$13,VLOOKUP(AA4,RULES!$A:$Q,17,0))</f>
        <v/>
      </c>
      <c r="AQ4" s="29">
        <f>IF(IFERROR(VLOOKUP(AA4,RULES!$A:$R,18,0),"")="",CONFIG!$B$14,VLOOKUP(AA4,RULES!$A:$R,18,0))</f>
        <v/>
      </c>
      <c r="AR4" s="29">
        <f>IFERROR(VLOOKUP(AA4,RULES!$A:$S,19,0)*1,0)</f>
        <v/>
      </c>
      <c r="AS4" s="29">
        <f>IFERROR(VLOOKUP(AA4,RULES!$A:$T,20,0)*1,0)</f>
        <v/>
      </c>
      <c r="AT4" s="29">
        <f>IFERROR(VLOOKUP(AA4,RULES!$A:$U,21,0)*1,0)</f>
        <v/>
      </c>
      <c r="AU4" s="29">
        <f>IFERROR(VLOOKUP(AA4,RULES!$A:$V,22,0)*1,0)</f>
        <v/>
      </c>
      <c r="AV4" s="29">
        <f>IFERROR(VLOOKUP(AA4,RULES!$A:$W,23,0)*1,0)</f>
        <v/>
      </c>
      <c r="AW4" s="29">
        <f>IFERROR(IF(VLOOKUP(AA4,RULES!$A:$X,24,0)="",999999,VLOOKUP(AA4,RULES!$A:$X,24,0)*1),999999)</f>
        <v/>
      </c>
      <c r="AX4" s="29">
        <f>IFERROR(VLOOKUP(AA4,RULES!$A:$Y,25,0)*1,0)</f>
        <v/>
      </c>
      <c r="AY4" s="29">
        <f>IFERROR(VLOOKUP(AA4,RULES!$A:$Z,26,0),"NONE")</f>
        <v/>
      </c>
      <c r="AZ4" s="29">
        <f>IFERROR(VLOOKUP(AA4,RULES!$A:$AA,27,0)*1,0)</f>
        <v/>
      </c>
      <c r="BA4" s="29">
        <f>IFERROR(VLOOKUP(AA4,RULES!$A:$AB,28,0)*1,0)</f>
        <v/>
      </c>
    </row>
    <row r="5" ht="17" customHeight="1">
      <c r="A5" s="22" t="inlineStr">
        <is>
          <t>3702</t>
        </is>
      </c>
      <c r="B5" s="48" t="inlineStr">
        <is>
          <t>ACC007</t>
        </is>
      </c>
      <c r="C5" s="48" t="inlineStr">
        <is>
          <t>DEFAULT</t>
        </is>
      </c>
      <c r="D5" s="47" t="n"/>
      <c r="E5" s="22">
        <f>IF(OR(D5="",D5=0),"INACTIVE","ACTIVE")</f>
        <v/>
      </c>
      <c r="F5" s="48" t="inlineStr">
        <is>
          <t>NORMAL</t>
        </is>
      </c>
      <c r="G5" s="25" t="n"/>
      <c r="H5" s="25" t="n"/>
      <c r="I5" s="26">
        <f>IF(OR(E5="INACTIVE",H5=""),0,MAX(0,H5-G5))</f>
        <v/>
      </c>
      <c r="J5" s="23" t="n"/>
      <c r="K5" s="26">
        <f>IF(OR(E5="INACTIVE",H5=""),0,IF(AB5="DISABLED",0,IF(AB5="FLAT",AE5,IF(AB5="MANUAL",IF(J5="",0,J5*AC5),IF(AB5="STEP",IF(I5&lt;=AF5,I5*AG5,IF(I5&lt;=AH5,AF5*AG5+(I5-AF5)*AI5,AF5*AG5+(AH5-AF5)*AI5+(I5-AH5)*AK5)),MAX(I5*AC5,AD5))))))</f>
        <v/>
      </c>
      <c r="L5" s="26">
        <f>IF(OR(E5="INACTIVE",H5=""),0,IF(AL5="NONE",0,IF(AL5="FLAT",AM5,IF(AL5="PER_UNIT",I5*AN5,IF(AL5="MANUAL",IF(M5="",0,M5),0)))))</f>
        <v/>
      </c>
      <c r="M5" s="23" t="n"/>
      <c r="N5" s="48" t="inlineStr">
        <is>
          <t>NORMAL</t>
        </is>
      </c>
      <c r="O5" s="25" t="n"/>
      <c r="P5" s="25" t="n"/>
      <c r="Q5" s="26">
        <f>IF(OR(E5="INACTIVE",P5=""),0,MAX(0,P5-O5))</f>
        <v/>
      </c>
      <c r="R5" s="23" t="n"/>
      <c r="S5" s="26">
        <f>IF(OR(E5="INACTIVE",P5=""),0,IF(AO5="DISABLED",0,IF(AO5="FLAT",AR5,IF(AO5="MANUAL",IF(R5="",0,R5*AP5),IF(AO5="STEP",IF(Q5&lt;=AS5,Q5*AT5,IF(Q5&lt;=AU5,AS5*AT5+(Q5-AS5)*AV5,AS5*AT5+(AU5-AS5)*AV5+(Q5-AU5)*AX5)),MAX(Q5*AP5,AQ5))))))</f>
        <v/>
      </c>
      <c r="T5" s="26">
        <f>IF(OR(E5="INACTIVE",P5=""),0,IF(AY5="NONE",0,IF(AY5="FLAT",AZ5,IF(AY5="PER_UNIT",Q5*BA5,IF(AY5="MANUAL",IF(U5="",0,U5),0)))))</f>
        <v/>
      </c>
      <c r="U5" s="23" t="n"/>
      <c r="V5" s="25" t="n"/>
      <c r="W5" s="25" t="n"/>
      <c r="X5" s="26">
        <f>IF(E5="INACTIVE",0,D5+K5+L5+S5+T5+IF(V5="",0,V5)+IF(W5="",0,W5))</f>
        <v/>
      </c>
      <c r="Y5" s="27" t="n"/>
      <c r="Z5" s="28">
        <f>IF(E5="INACTIVE","_",IF(AND(G5&gt;0,H5&gt;0,H5&lt;G5),"[!]น้ำ reset ","")&amp;IF(AND(O5&gt;0,P5&gt;0,P5&lt;O5),"[!]ไฟ reset ","")&amp;IF(AND(F5="MANUAL",J5=""),"[X]units น้ำ ","")&amp;IF(AND(N5="MANUAL",R5=""),"[X]units ไฟ ","")&amp;IF(D5=0,"[!]ค่าเช่า=0",""))</f>
        <v/>
      </c>
      <c r="AA5" s="29">
        <f>IF(C5&lt;&gt;"",C5,CONFIG!$B$6)</f>
        <v/>
      </c>
      <c r="AB5" s="29">
        <f>IF(F5&lt;&gt;"",F5,IFERROR(VLOOKUP(AA5,RULES!$A:$C,3,0),CONFIG!$B$7))</f>
        <v/>
      </c>
      <c r="AC5" s="29">
        <f>IF(IFERROR(VLOOKUP(AA5,RULES!$A:$D,4,0),"")="",CONFIG!$B$10,VLOOKUP(AA5,RULES!$A:$D,4,0))</f>
        <v/>
      </c>
      <c r="AD5" s="29">
        <f>IF(IFERROR(VLOOKUP(AA5,RULES!$A:$E,5,0),"")="",CONFIG!$B$11,VLOOKUP(AA5,RULES!$A:$E,5,0))</f>
        <v/>
      </c>
      <c r="AE5" s="29">
        <f>IFERROR(VLOOKUP(AA5,RULES!$A:$F,6,0)*1,0)</f>
        <v/>
      </c>
      <c r="AF5" s="29">
        <f>IFERROR(VLOOKUP(AA5,RULES!$A:$G,7,0)*1,0)</f>
        <v/>
      </c>
      <c r="AG5" s="29">
        <f>IFERROR(VLOOKUP(AA5,RULES!$A:$H,8,0)*1,0)</f>
        <v/>
      </c>
      <c r="AH5" s="29">
        <f>IFERROR(VLOOKUP(AA5,RULES!$A:$I,9,0)*1,0)</f>
        <v/>
      </c>
      <c r="AI5" s="29">
        <f>IFERROR(VLOOKUP(AA5,RULES!$A:$J,10,0)*1,0)</f>
        <v/>
      </c>
      <c r="AJ5" s="29">
        <f>IFERROR(IF(VLOOKUP(AA5,RULES!$A:$K,11,0)="",999999,VLOOKUP(AA5,RULES!$A:$K,11,0)*1),999999)</f>
        <v/>
      </c>
      <c r="AK5" s="29">
        <f>IFERROR(VLOOKUP(AA5,RULES!$A:$L,12,0)*1,0)</f>
        <v/>
      </c>
      <c r="AL5" s="29">
        <f>IFERROR(VLOOKUP(AA5,RULES!$A:$M,13,0),"NONE")</f>
        <v/>
      </c>
      <c r="AM5" s="29">
        <f>IFERROR(VLOOKUP(AA5,RULES!$A:$N,14,0)*1,0)</f>
        <v/>
      </c>
      <c r="AN5" s="29">
        <f>IFERROR(VLOOKUP(AA5,RULES!$A:$O,15,0)*1,0)</f>
        <v/>
      </c>
      <c r="AO5" s="29">
        <f>IF(N5&lt;&gt;"",N5,IFERROR(VLOOKUP(AA5,RULES!$A:$P,16,0),CONFIG!$B$8))</f>
        <v/>
      </c>
      <c r="AP5" s="29">
        <f>IF(IFERROR(VLOOKUP(AA5,RULES!$A:$Q,17,0),"")="",CONFIG!$B$13,VLOOKUP(AA5,RULES!$A:$Q,17,0))</f>
        <v/>
      </c>
      <c r="AQ5" s="29">
        <f>IF(IFERROR(VLOOKUP(AA5,RULES!$A:$R,18,0),"")="",CONFIG!$B$14,VLOOKUP(AA5,RULES!$A:$R,18,0))</f>
        <v/>
      </c>
      <c r="AR5" s="29">
        <f>IFERROR(VLOOKUP(AA5,RULES!$A:$S,19,0)*1,0)</f>
        <v/>
      </c>
      <c r="AS5" s="29">
        <f>IFERROR(VLOOKUP(AA5,RULES!$A:$T,20,0)*1,0)</f>
        <v/>
      </c>
      <c r="AT5" s="29">
        <f>IFERROR(VLOOKUP(AA5,RULES!$A:$U,21,0)*1,0)</f>
        <v/>
      </c>
      <c r="AU5" s="29">
        <f>IFERROR(VLOOKUP(AA5,RULES!$A:$V,22,0)*1,0)</f>
        <v/>
      </c>
      <c r="AV5" s="29">
        <f>IFERROR(VLOOKUP(AA5,RULES!$A:$W,23,0)*1,0)</f>
        <v/>
      </c>
      <c r="AW5" s="29">
        <f>IFERROR(IF(VLOOKUP(AA5,RULES!$A:$X,24,0)="",999999,VLOOKUP(AA5,RULES!$A:$X,24,0)*1),999999)</f>
        <v/>
      </c>
      <c r="AX5" s="29">
        <f>IFERROR(VLOOKUP(AA5,RULES!$A:$Y,25,0)*1,0)</f>
        <v/>
      </c>
      <c r="AY5" s="29">
        <f>IFERROR(VLOOKUP(AA5,RULES!$A:$Z,26,0),"NONE")</f>
        <v/>
      </c>
      <c r="AZ5" s="29">
        <f>IFERROR(VLOOKUP(AA5,RULES!$A:$AA,27,0)*1,0)</f>
        <v/>
      </c>
      <c r="BA5" s="29">
        <f>IFERROR(VLOOKUP(AA5,RULES!$A:$AB,28,0)*1,0)</f>
        <v/>
      </c>
    </row>
    <row r="6" ht="17" customHeight="1">
      <c r="A6" s="22" t="inlineStr">
        <is>
          <t>3703</t>
        </is>
      </c>
      <c r="B6" s="48" t="inlineStr">
        <is>
          <t>ACC007</t>
        </is>
      </c>
      <c r="C6" s="48" t="inlineStr">
        <is>
          <t>DEFAULT</t>
        </is>
      </c>
      <c r="D6" s="47" t="n"/>
      <c r="E6" s="22">
        <f>IF(OR(D6="",D6=0),"INACTIVE","ACTIVE")</f>
        <v/>
      </c>
      <c r="F6" s="48" t="inlineStr">
        <is>
          <t>NORMAL</t>
        </is>
      </c>
      <c r="G6" s="25" t="n"/>
      <c r="H6" s="25" t="n"/>
      <c r="I6" s="26">
        <f>IF(OR(E6="INACTIVE",H6=""),0,MAX(0,H6-G6))</f>
        <v/>
      </c>
      <c r="J6" s="23" t="n"/>
      <c r="K6" s="26">
        <f>IF(OR(E6="INACTIVE",H6=""),0,IF(AB6="DISABLED",0,IF(AB6="FLAT",AE6,IF(AB6="MANUAL",IF(J6="",0,J6*AC6),IF(AB6="STEP",IF(I6&lt;=AF6,I6*AG6,IF(I6&lt;=AH6,AF6*AG6+(I6-AF6)*AI6,AF6*AG6+(AH6-AF6)*AI6+(I6-AH6)*AK6)),MAX(I6*AC6,AD6))))))</f>
        <v/>
      </c>
      <c r="L6" s="26">
        <f>IF(OR(E6="INACTIVE",H6=""),0,IF(AL6="NONE",0,IF(AL6="FLAT",AM6,IF(AL6="PER_UNIT",I6*AN6,IF(AL6="MANUAL",IF(M6="",0,M6),0)))))</f>
        <v/>
      </c>
      <c r="M6" s="23" t="n"/>
      <c r="N6" s="48" t="inlineStr">
        <is>
          <t>NORMAL</t>
        </is>
      </c>
      <c r="O6" s="25" t="n"/>
      <c r="P6" s="25" t="n"/>
      <c r="Q6" s="26">
        <f>IF(OR(E6="INACTIVE",P6=""),0,MAX(0,P6-O6))</f>
        <v/>
      </c>
      <c r="R6" s="23" t="n"/>
      <c r="S6" s="26">
        <f>IF(OR(E6="INACTIVE",P6=""),0,IF(AO6="DISABLED",0,IF(AO6="FLAT",AR6,IF(AO6="MANUAL",IF(R6="",0,R6*AP6),IF(AO6="STEP",IF(Q6&lt;=AS6,Q6*AT6,IF(Q6&lt;=AU6,AS6*AT6+(Q6-AS6)*AV6,AS6*AT6+(AU6-AS6)*AV6+(Q6-AU6)*AX6)),MAX(Q6*AP6,AQ6))))))</f>
        <v/>
      </c>
      <c r="T6" s="26">
        <f>IF(OR(E6="INACTIVE",P6=""),0,IF(AY6="NONE",0,IF(AY6="FLAT",AZ6,IF(AY6="PER_UNIT",Q6*BA6,IF(AY6="MANUAL",IF(U6="",0,U6),0)))))</f>
        <v/>
      </c>
      <c r="U6" s="23" t="n"/>
      <c r="V6" s="25" t="n"/>
      <c r="W6" s="25" t="n"/>
      <c r="X6" s="26">
        <f>IF(E6="INACTIVE",0,D6+K6+L6+S6+T6+IF(V6="",0,V6)+IF(W6="",0,W6))</f>
        <v/>
      </c>
      <c r="Y6" s="27" t="n"/>
      <c r="Z6" s="28">
        <f>IF(E6="INACTIVE","_",IF(AND(G6&gt;0,H6&gt;0,H6&lt;G6),"[!]น้ำ reset ","")&amp;IF(AND(O6&gt;0,P6&gt;0,P6&lt;O6),"[!]ไฟ reset ","")&amp;IF(AND(F6="MANUAL",J6=""),"[X]units น้ำ ","")&amp;IF(AND(N6="MANUAL",R6=""),"[X]units ไฟ ","")&amp;IF(D6=0,"[!]ค่าเช่า=0",""))</f>
        <v/>
      </c>
      <c r="AA6" s="29">
        <f>IF(C6&lt;&gt;"",C6,CONFIG!$B$6)</f>
        <v/>
      </c>
      <c r="AB6" s="29">
        <f>IF(F6&lt;&gt;"",F6,IFERROR(VLOOKUP(AA6,RULES!$A:$C,3,0),CONFIG!$B$7))</f>
        <v/>
      </c>
      <c r="AC6" s="29">
        <f>IF(IFERROR(VLOOKUP(AA6,RULES!$A:$D,4,0),"")="",CONFIG!$B$10,VLOOKUP(AA6,RULES!$A:$D,4,0))</f>
        <v/>
      </c>
      <c r="AD6" s="29">
        <f>IF(IFERROR(VLOOKUP(AA6,RULES!$A:$E,5,0),"")="",CONFIG!$B$11,VLOOKUP(AA6,RULES!$A:$E,5,0))</f>
        <v/>
      </c>
      <c r="AE6" s="29">
        <f>IFERROR(VLOOKUP(AA6,RULES!$A:$F,6,0)*1,0)</f>
        <v/>
      </c>
      <c r="AF6" s="29">
        <f>IFERROR(VLOOKUP(AA6,RULES!$A:$G,7,0)*1,0)</f>
        <v/>
      </c>
      <c r="AG6" s="29">
        <f>IFERROR(VLOOKUP(AA6,RULES!$A:$H,8,0)*1,0)</f>
        <v/>
      </c>
      <c r="AH6" s="29">
        <f>IFERROR(VLOOKUP(AA6,RULES!$A:$I,9,0)*1,0)</f>
        <v/>
      </c>
      <c r="AI6" s="29">
        <f>IFERROR(VLOOKUP(AA6,RULES!$A:$J,10,0)*1,0)</f>
        <v/>
      </c>
      <c r="AJ6" s="29">
        <f>IFERROR(IF(VLOOKUP(AA6,RULES!$A:$K,11,0)="",999999,VLOOKUP(AA6,RULES!$A:$K,11,0)*1),999999)</f>
        <v/>
      </c>
      <c r="AK6" s="29">
        <f>IFERROR(VLOOKUP(AA6,RULES!$A:$L,12,0)*1,0)</f>
        <v/>
      </c>
      <c r="AL6" s="29">
        <f>IFERROR(VLOOKUP(AA6,RULES!$A:$M,13,0),"NONE")</f>
        <v/>
      </c>
      <c r="AM6" s="29">
        <f>IFERROR(VLOOKUP(AA6,RULES!$A:$N,14,0)*1,0)</f>
        <v/>
      </c>
      <c r="AN6" s="29">
        <f>IFERROR(VLOOKUP(AA6,RULES!$A:$O,15,0)*1,0)</f>
        <v/>
      </c>
      <c r="AO6" s="29">
        <f>IF(N6&lt;&gt;"",N6,IFERROR(VLOOKUP(AA6,RULES!$A:$P,16,0),CONFIG!$B$8))</f>
        <v/>
      </c>
      <c r="AP6" s="29">
        <f>IF(IFERROR(VLOOKUP(AA6,RULES!$A:$Q,17,0),"")="",CONFIG!$B$13,VLOOKUP(AA6,RULES!$A:$Q,17,0))</f>
        <v/>
      </c>
      <c r="AQ6" s="29">
        <f>IF(IFERROR(VLOOKUP(AA6,RULES!$A:$R,18,0),"")="",CONFIG!$B$14,VLOOKUP(AA6,RULES!$A:$R,18,0))</f>
        <v/>
      </c>
      <c r="AR6" s="29">
        <f>IFERROR(VLOOKUP(AA6,RULES!$A:$S,19,0)*1,0)</f>
        <v/>
      </c>
      <c r="AS6" s="29">
        <f>IFERROR(VLOOKUP(AA6,RULES!$A:$T,20,0)*1,0)</f>
        <v/>
      </c>
      <c r="AT6" s="29">
        <f>IFERROR(VLOOKUP(AA6,RULES!$A:$U,21,0)*1,0)</f>
        <v/>
      </c>
      <c r="AU6" s="29">
        <f>IFERROR(VLOOKUP(AA6,RULES!$A:$V,22,0)*1,0)</f>
        <v/>
      </c>
      <c r="AV6" s="29">
        <f>IFERROR(VLOOKUP(AA6,RULES!$A:$W,23,0)*1,0)</f>
        <v/>
      </c>
      <c r="AW6" s="29">
        <f>IFERROR(IF(VLOOKUP(AA6,RULES!$A:$X,24,0)="",999999,VLOOKUP(AA6,RULES!$A:$X,24,0)*1),999999)</f>
        <v/>
      </c>
      <c r="AX6" s="29">
        <f>IFERROR(VLOOKUP(AA6,RULES!$A:$Y,25,0)*1,0)</f>
        <v/>
      </c>
      <c r="AY6" s="29">
        <f>IFERROR(VLOOKUP(AA6,RULES!$A:$Z,26,0),"NONE")</f>
        <v/>
      </c>
      <c r="AZ6" s="29">
        <f>IFERROR(VLOOKUP(AA6,RULES!$A:$AA,27,0)*1,0)</f>
        <v/>
      </c>
      <c r="BA6" s="29">
        <f>IFERROR(VLOOKUP(AA6,RULES!$A:$AB,28,0)*1,0)</f>
        <v/>
      </c>
    </row>
    <row r="7" ht="17" customHeight="1">
      <c r="A7" s="22" t="inlineStr">
        <is>
          <t>3704</t>
        </is>
      </c>
      <c r="B7" s="48" t="inlineStr">
        <is>
          <t>ACC007</t>
        </is>
      </c>
      <c r="C7" s="48" t="inlineStr">
        <is>
          <t>DEFAULT</t>
        </is>
      </c>
      <c r="D7" s="47" t="n"/>
      <c r="E7" s="22">
        <f>IF(OR(D7="",D7=0),"INACTIVE","ACTIVE")</f>
        <v/>
      </c>
      <c r="F7" s="48" t="inlineStr">
        <is>
          <t>NORMAL</t>
        </is>
      </c>
      <c r="G7" s="25" t="n"/>
      <c r="H7" s="25" t="n"/>
      <c r="I7" s="26">
        <f>IF(OR(E7="INACTIVE",H7=""),0,MAX(0,H7-G7))</f>
        <v/>
      </c>
      <c r="J7" s="23" t="n"/>
      <c r="K7" s="26">
        <f>IF(OR(E7="INACTIVE",H7=""),0,IF(AB7="DISABLED",0,IF(AB7="FLAT",AE7,IF(AB7="MANUAL",IF(J7="",0,J7*AC7),IF(AB7="STEP",IF(I7&lt;=AF7,I7*AG7,IF(I7&lt;=AH7,AF7*AG7+(I7-AF7)*AI7,AF7*AG7+(AH7-AF7)*AI7+(I7-AH7)*AK7)),MAX(I7*AC7,AD7))))))</f>
        <v/>
      </c>
      <c r="L7" s="26">
        <f>IF(OR(E7="INACTIVE",H7=""),0,IF(AL7="NONE",0,IF(AL7="FLAT",AM7,IF(AL7="PER_UNIT",I7*AN7,IF(AL7="MANUAL",IF(M7="",0,M7),0)))))</f>
        <v/>
      </c>
      <c r="M7" s="23" t="n"/>
      <c r="N7" s="48" t="inlineStr">
        <is>
          <t>NORMAL</t>
        </is>
      </c>
      <c r="O7" s="25" t="n"/>
      <c r="P7" s="25" t="n"/>
      <c r="Q7" s="26">
        <f>IF(OR(E7="INACTIVE",P7=""),0,MAX(0,P7-O7))</f>
        <v/>
      </c>
      <c r="R7" s="23" t="n"/>
      <c r="S7" s="26">
        <f>IF(OR(E7="INACTIVE",P7=""),0,IF(AO7="DISABLED",0,IF(AO7="FLAT",AR7,IF(AO7="MANUAL",IF(R7="",0,R7*AP7),IF(AO7="STEP",IF(Q7&lt;=AS7,Q7*AT7,IF(Q7&lt;=AU7,AS7*AT7+(Q7-AS7)*AV7,AS7*AT7+(AU7-AS7)*AV7+(Q7-AU7)*AX7)),MAX(Q7*AP7,AQ7))))))</f>
        <v/>
      </c>
      <c r="T7" s="26">
        <f>IF(OR(E7="INACTIVE",P7=""),0,IF(AY7="NONE",0,IF(AY7="FLAT",AZ7,IF(AY7="PER_UNIT",Q7*BA7,IF(AY7="MANUAL",IF(U7="",0,U7),0)))))</f>
        <v/>
      </c>
      <c r="U7" s="23" t="n"/>
      <c r="V7" s="25" t="n"/>
      <c r="W7" s="25" t="n"/>
      <c r="X7" s="26">
        <f>IF(E7="INACTIVE",0,D7+K7+L7+S7+T7+IF(V7="",0,V7)+IF(W7="",0,W7))</f>
        <v/>
      </c>
      <c r="Y7" s="27" t="n"/>
      <c r="Z7" s="28">
        <f>IF(E7="INACTIVE","_",IF(AND(G7&gt;0,H7&gt;0,H7&lt;G7),"[!]น้ำ reset ","")&amp;IF(AND(O7&gt;0,P7&gt;0,P7&lt;O7),"[!]ไฟ reset ","")&amp;IF(AND(F7="MANUAL",J7=""),"[X]units น้ำ ","")&amp;IF(AND(N7="MANUAL",R7=""),"[X]units ไฟ ","")&amp;IF(D7=0,"[!]ค่าเช่า=0",""))</f>
        <v/>
      </c>
      <c r="AA7" s="29">
        <f>IF(C7&lt;&gt;"",C7,CONFIG!$B$6)</f>
        <v/>
      </c>
      <c r="AB7" s="29">
        <f>IF(F7&lt;&gt;"",F7,IFERROR(VLOOKUP(AA7,RULES!$A:$C,3,0),CONFIG!$B$7))</f>
        <v/>
      </c>
      <c r="AC7" s="29">
        <f>IF(IFERROR(VLOOKUP(AA7,RULES!$A:$D,4,0),"")="",CONFIG!$B$10,VLOOKUP(AA7,RULES!$A:$D,4,0))</f>
        <v/>
      </c>
      <c r="AD7" s="29">
        <f>IF(IFERROR(VLOOKUP(AA7,RULES!$A:$E,5,0),"")="",CONFIG!$B$11,VLOOKUP(AA7,RULES!$A:$E,5,0))</f>
        <v/>
      </c>
      <c r="AE7" s="29">
        <f>IFERROR(VLOOKUP(AA7,RULES!$A:$F,6,0)*1,0)</f>
        <v/>
      </c>
      <c r="AF7" s="29">
        <f>IFERROR(VLOOKUP(AA7,RULES!$A:$G,7,0)*1,0)</f>
        <v/>
      </c>
      <c r="AG7" s="29">
        <f>IFERROR(VLOOKUP(AA7,RULES!$A:$H,8,0)*1,0)</f>
        <v/>
      </c>
      <c r="AH7" s="29">
        <f>IFERROR(VLOOKUP(AA7,RULES!$A:$I,9,0)*1,0)</f>
        <v/>
      </c>
      <c r="AI7" s="29">
        <f>IFERROR(VLOOKUP(AA7,RULES!$A:$J,10,0)*1,0)</f>
        <v/>
      </c>
      <c r="AJ7" s="29">
        <f>IFERROR(IF(VLOOKUP(AA7,RULES!$A:$K,11,0)="",999999,VLOOKUP(AA7,RULES!$A:$K,11,0)*1),999999)</f>
        <v/>
      </c>
      <c r="AK7" s="29">
        <f>IFERROR(VLOOKUP(AA7,RULES!$A:$L,12,0)*1,0)</f>
        <v/>
      </c>
      <c r="AL7" s="29">
        <f>IFERROR(VLOOKUP(AA7,RULES!$A:$M,13,0),"NONE")</f>
        <v/>
      </c>
      <c r="AM7" s="29">
        <f>IFERROR(VLOOKUP(AA7,RULES!$A:$N,14,0)*1,0)</f>
        <v/>
      </c>
      <c r="AN7" s="29">
        <f>IFERROR(VLOOKUP(AA7,RULES!$A:$O,15,0)*1,0)</f>
        <v/>
      </c>
      <c r="AO7" s="29">
        <f>IF(N7&lt;&gt;"",N7,IFERROR(VLOOKUP(AA7,RULES!$A:$P,16,0),CONFIG!$B$8))</f>
        <v/>
      </c>
      <c r="AP7" s="29">
        <f>IF(IFERROR(VLOOKUP(AA7,RULES!$A:$Q,17,0),"")="",CONFIG!$B$13,VLOOKUP(AA7,RULES!$A:$Q,17,0))</f>
        <v/>
      </c>
      <c r="AQ7" s="29">
        <f>IF(IFERROR(VLOOKUP(AA7,RULES!$A:$R,18,0),"")="",CONFIG!$B$14,VLOOKUP(AA7,RULES!$A:$R,18,0))</f>
        <v/>
      </c>
      <c r="AR7" s="29">
        <f>IFERROR(VLOOKUP(AA7,RULES!$A:$S,19,0)*1,0)</f>
        <v/>
      </c>
      <c r="AS7" s="29">
        <f>IFERROR(VLOOKUP(AA7,RULES!$A:$T,20,0)*1,0)</f>
        <v/>
      </c>
      <c r="AT7" s="29">
        <f>IFERROR(VLOOKUP(AA7,RULES!$A:$U,21,0)*1,0)</f>
        <v/>
      </c>
      <c r="AU7" s="29">
        <f>IFERROR(VLOOKUP(AA7,RULES!$A:$V,22,0)*1,0)</f>
        <v/>
      </c>
      <c r="AV7" s="29">
        <f>IFERROR(VLOOKUP(AA7,RULES!$A:$W,23,0)*1,0)</f>
        <v/>
      </c>
      <c r="AW7" s="29">
        <f>IFERROR(IF(VLOOKUP(AA7,RULES!$A:$X,24,0)="",999999,VLOOKUP(AA7,RULES!$A:$X,24,0)*1),999999)</f>
        <v/>
      </c>
      <c r="AX7" s="29">
        <f>IFERROR(VLOOKUP(AA7,RULES!$A:$Y,25,0)*1,0)</f>
        <v/>
      </c>
      <c r="AY7" s="29">
        <f>IFERROR(VLOOKUP(AA7,RULES!$A:$Z,26,0),"NONE")</f>
        <v/>
      </c>
      <c r="AZ7" s="29">
        <f>IFERROR(VLOOKUP(AA7,RULES!$A:$AA,27,0)*1,0)</f>
        <v/>
      </c>
      <c r="BA7" s="29">
        <f>IFERROR(VLOOKUP(AA7,RULES!$A:$AB,28,0)*1,0)</f>
        <v/>
      </c>
    </row>
    <row r="8" ht="17" customHeight="1">
      <c r="A8" s="22" t="inlineStr">
        <is>
          <t>3705</t>
        </is>
      </c>
      <c r="B8" s="48" t="inlineStr">
        <is>
          <t>ACC007</t>
        </is>
      </c>
      <c r="C8" s="48" t="inlineStr">
        <is>
          <t>DEFAULT</t>
        </is>
      </c>
      <c r="D8" s="47" t="n"/>
      <c r="E8" s="22">
        <f>IF(OR(D8="",D8=0),"INACTIVE","ACTIVE")</f>
        <v/>
      </c>
      <c r="F8" s="48" t="inlineStr">
        <is>
          <t>NORMAL</t>
        </is>
      </c>
      <c r="G8" s="25" t="n"/>
      <c r="H8" s="25" t="n"/>
      <c r="I8" s="26">
        <f>IF(OR(E8="INACTIVE",H8=""),0,MAX(0,H8-G8))</f>
        <v/>
      </c>
      <c r="J8" s="23" t="n"/>
      <c r="K8" s="26">
        <f>IF(OR(E8="INACTIVE",H8=""),0,IF(AB8="DISABLED",0,IF(AB8="FLAT",AE8,IF(AB8="MANUAL",IF(J8="",0,J8*AC8),IF(AB8="STEP",IF(I8&lt;=AF8,I8*AG8,IF(I8&lt;=AH8,AF8*AG8+(I8-AF8)*AI8,AF8*AG8+(AH8-AF8)*AI8+(I8-AH8)*AK8)),MAX(I8*AC8,AD8))))))</f>
        <v/>
      </c>
      <c r="L8" s="26">
        <f>IF(OR(E8="INACTIVE",H8=""),0,IF(AL8="NONE",0,IF(AL8="FLAT",AM8,IF(AL8="PER_UNIT",I8*AN8,IF(AL8="MANUAL",IF(M8="",0,M8),0)))))</f>
        <v/>
      </c>
      <c r="M8" s="23" t="n"/>
      <c r="N8" s="48" t="inlineStr">
        <is>
          <t>NORMAL</t>
        </is>
      </c>
      <c r="O8" s="25" t="n"/>
      <c r="P8" s="25" t="n"/>
      <c r="Q8" s="26">
        <f>IF(OR(E8="INACTIVE",P8=""),0,MAX(0,P8-O8))</f>
        <v/>
      </c>
      <c r="R8" s="23" t="n"/>
      <c r="S8" s="26">
        <f>IF(OR(E8="INACTIVE",P8=""),0,IF(AO8="DISABLED",0,IF(AO8="FLAT",AR8,IF(AO8="MANUAL",IF(R8="",0,R8*AP8),IF(AO8="STEP",IF(Q8&lt;=AS8,Q8*AT8,IF(Q8&lt;=AU8,AS8*AT8+(Q8-AS8)*AV8,AS8*AT8+(AU8-AS8)*AV8+(Q8-AU8)*AX8)),MAX(Q8*AP8,AQ8))))))</f>
        <v/>
      </c>
      <c r="T8" s="26">
        <f>IF(OR(E8="INACTIVE",P8=""),0,IF(AY8="NONE",0,IF(AY8="FLAT",AZ8,IF(AY8="PER_UNIT",Q8*BA8,IF(AY8="MANUAL",IF(U8="",0,U8),0)))))</f>
        <v/>
      </c>
      <c r="U8" s="23" t="n"/>
      <c r="V8" s="25" t="n"/>
      <c r="W8" s="25" t="n"/>
      <c r="X8" s="26">
        <f>IF(E8="INACTIVE",0,D8+K8+L8+S8+T8+IF(V8="",0,V8)+IF(W8="",0,W8))</f>
        <v/>
      </c>
      <c r="Y8" s="27" t="n"/>
      <c r="Z8" s="28">
        <f>IF(E8="INACTIVE","_",IF(AND(G8&gt;0,H8&gt;0,H8&lt;G8),"[!]น้ำ reset ","")&amp;IF(AND(O8&gt;0,P8&gt;0,P8&lt;O8),"[!]ไฟ reset ","")&amp;IF(AND(F8="MANUAL",J8=""),"[X]units น้ำ ","")&amp;IF(AND(N8="MANUAL",R8=""),"[X]units ไฟ ","")&amp;IF(D8=0,"[!]ค่าเช่า=0",""))</f>
        <v/>
      </c>
      <c r="AA8" s="29">
        <f>IF(C8&lt;&gt;"",C8,CONFIG!$B$6)</f>
        <v/>
      </c>
      <c r="AB8" s="29">
        <f>IF(F8&lt;&gt;"",F8,IFERROR(VLOOKUP(AA8,RULES!$A:$C,3,0),CONFIG!$B$7))</f>
        <v/>
      </c>
      <c r="AC8" s="29">
        <f>IF(IFERROR(VLOOKUP(AA8,RULES!$A:$D,4,0),"")="",CONFIG!$B$10,VLOOKUP(AA8,RULES!$A:$D,4,0))</f>
        <v/>
      </c>
      <c r="AD8" s="29">
        <f>IF(IFERROR(VLOOKUP(AA8,RULES!$A:$E,5,0),"")="",CONFIG!$B$11,VLOOKUP(AA8,RULES!$A:$E,5,0))</f>
        <v/>
      </c>
      <c r="AE8" s="29">
        <f>IFERROR(VLOOKUP(AA8,RULES!$A:$F,6,0)*1,0)</f>
        <v/>
      </c>
      <c r="AF8" s="29">
        <f>IFERROR(VLOOKUP(AA8,RULES!$A:$G,7,0)*1,0)</f>
        <v/>
      </c>
      <c r="AG8" s="29">
        <f>IFERROR(VLOOKUP(AA8,RULES!$A:$H,8,0)*1,0)</f>
        <v/>
      </c>
      <c r="AH8" s="29">
        <f>IFERROR(VLOOKUP(AA8,RULES!$A:$I,9,0)*1,0)</f>
        <v/>
      </c>
      <c r="AI8" s="29">
        <f>IFERROR(VLOOKUP(AA8,RULES!$A:$J,10,0)*1,0)</f>
        <v/>
      </c>
      <c r="AJ8" s="29">
        <f>IFERROR(IF(VLOOKUP(AA8,RULES!$A:$K,11,0)="",999999,VLOOKUP(AA8,RULES!$A:$K,11,0)*1),999999)</f>
        <v/>
      </c>
      <c r="AK8" s="29">
        <f>IFERROR(VLOOKUP(AA8,RULES!$A:$L,12,0)*1,0)</f>
        <v/>
      </c>
      <c r="AL8" s="29">
        <f>IFERROR(VLOOKUP(AA8,RULES!$A:$M,13,0),"NONE")</f>
        <v/>
      </c>
      <c r="AM8" s="29">
        <f>IFERROR(VLOOKUP(AA8,RULES!$A:$N,14,0)*1,0)</f>
        <v/>
      </c>
      <c r="AN8" s="29">
        <f>IFERROR(VLOOKUP(AA8,RULES!$A:$O,15,0)*1,0)</f>
        <v/>
      </c>
      <c r="AO8" s="29">
        <f>IF(N8&lt;&gt;"",N8,IFERROR(VLOOKUP(AA8,RULES!$A:$P,16,0),CONFIG!$B$8))</f>
        <v/>
      </c>
      <c r="AP8" s="29">
        <f>IF(IFERROR(VLOOKUP(AA8,RULES!$A:$Q,17,0),"")="",CONFIG!$B$13,VLOOKUP(AA8,RULES!$A:$Q,17,0))</f>
        <v/>
      </c>
      <c r="AQ8" s="29">
        <f>IF(IFERROR(VLOOKUP(AA8,RULES!$A:$R,18,0),"")="",CONFIG!$B$14,VLOOKUP(AA8,RULES!$A:$R,18,0))</f>
        <v/>
      </c>
      <c r="AR8" s="29">
        <f>IFERROR(VLOOKUP(AA8,RULES!$A:$S,19,0)*1,0)</f>
        <v/>
      </c>
      <c r="AS8" s="29">
        <f>IFERROR(VLOOKUP(AA8,RULES!$A:$T,20,0)*1,0)</f>
        <v/>
      </c>
      <c r="AT8" s="29">
        <f>IFERROR(VLOOKUP(AA8,RULES!$A:$U,21,0)*1,0)</f>
        <v/>
      </c>
      <c r="AU8" s="29">
        <f>IFERROR(VLOOKUP(AA8,RULES!$A:$V,22,0)*1,0)</f>
        <v/>
      </c>
      <c r="AV8" s="29">
        <f>IFERROR(VLOOKUP(AA8,RULES!$A:$W,23,0)*1,0)</f>
        <v/>
      </c>
      <c r="AW8" s="29">
        <f>IFERROR(IF(VLOOKUP(AA8,RULES!$A:$X,24,0)="",999999,VLOOKUP(AA8,RULES!$A:$X,24,0)*1),999999)</f>
        <v/>
      </c>
      <c r="AX8" s="29">
        <f>IFERROR(VLOOKUP(AA8,RULES!$A:$Y,25,0)*1,0)</f>
        <v/>
      </c>
      <c r="AY8" s="29">
        <f>IFERROR(VLOOKUP(AA8,RULES!$A:$Z,26,0),"NONE")</f>
        <v/>
      </c>
      <c r="AZ8" s="29">
        <f>IFERROR(VLOOKUP(AA8,RULES!$A:$AA,27,0)*1,0)</f>
        <v/>
      </c>
      <c r="BA8" s="29">
        <f>IFERROR(VLOOKUP(AA8,RULES!$A:$AB,28,0)*1,0)</f>
        <v/>
      </c>
    </row>
    <row r="9" ht="17" customHeight="1">
      <c r="A9" s="22" t="inlineStr">
        <is>
          <t>3706</t>
        </is>
      </c>
      <c r="B9" s="48" t="inlineStr">
        <is>
          <t>ACC007</t>
        </is>
      </c>
      <c r="C9" s="48" t="inlineStr">
        <is>
          <t>DEFAULT</t>
        </is>
      </c>
      <c r="D9" s="47" t="n"/>
      <c r="E9" s="22">
        <f>IF(OR(D9="",D9=0),"INACTIVE","ACTIVE")</f>
        <v/>
      </c>
      <c r="F9" s="48" t="inlineStr">
        <is>
          <t>NORMAL</t>
        </is>
      </c>
      <c r="G9" s="25" t="n"/>
      <c r="H9" s="25" t="n"/>
      <c r="I9" s="26">
        <f>IF(OR(E9="INACTIVE",H9=""),0,MAX(0,H9-G9))</f>
        <v/>
      </c>
      <c r="J9" s="23" t="n"/>
      <c r="K9" s="26">
        <f>IF(OR(E9="INACTIVE",H9=""),0,IF(AB9="DISABLED",0,IF(AB9="FLAT",AE9,IF(AB9="MANUAL",IF(J9="",0,J9*AC9),IF(AB9="STEP",IF(I9&lt;=AF9,I9*AG9,IF(I9&lt;=AH9,AF9*AG9+(I9-AF9)*AI9,AF9*AG9+(AH9-AF9)*AI9+(I9-AH9)*AK9)),MAX(I9*AC9,AD9))))))</f>
        <v/>
      </c>
      <c r="L9" s="26">
        <f>IF(OR(E9="INACTIVE",H9=""),0,IF(AL9="NONE",0,IF(AL9="FLAT",AM9,IF(AL9="PER_UNIT",I9*AN9,IF(AL9="MANUAL",IF(M9="",0,M9),0)))))</f>
        <v/>
      </c>
      <c r="M9" s="23" t="n"/>
      <c r="N9" s="48" t="inlineStr">
        <is>
          <t>NORMAL</t>
        </is>
      </c>
      <c r="O9" s="25" t="n"/>
      <c r="P9" s="25" t="n"/>
      <c r="Q9" s="26">
        <f>IF(OR(E9="INACTIVE",P9=""),0,MAX(0,P9-O9))</f>
        <v/>
      </c>
      <c r="R9" s="23" t="n"/>
      <c r="S9" s="26">
        <f>IF(OR(E9="INACTIVE",P9=""),0,IF(AO9="DISABLED",0,IF(AO9="FLAT",AR9,IF(AO9="MANUAL",IF(R9="",0,R9*AP9),IF(AO9="STEP",IF(Q9&lt;=AS9,Q9*AT9,IF(Q9&lt;=AU9,AS9*AT9+(Q9-AS9)*AV9,AS9*AT9+(AU9-AS9)*AV9+(Q9-AU9)*AX9)),MAX(Q9*AP9,AQ9))))))</f>
        <v/>
      </c>
      <c r="T9" s="26">
        <f>IF(OR(E9="INACTIVE",P9=""),0,IF(AY9="NONE",0,IF(AY9="FLAT",AZ9,IF(AY9="PER_UNIT",Q9*BA9,IF(AY9="MANUAL",IF(U9="",0,U9),0)))))</f>
        <v/>
      </c>
      <c r="U9" s="23" t="n"/>
      <c r="V9" s="25" t="n"/>
      <c r="W9" s="25" t="n"/>
      <c r="X9" s="26">
        <f>IF(E9="INACTIVE",0,D9+K9+L9+S9+T9+IF(V9="",0,V9)+IF(W9="",0,W9))</f>
        <v/>
      </c>
      <c r="Y9" s="27" t="n"/>
      <c r="Z9" s="28">
        <f>IF(E9="INACTIVE","_",IF(AND(G9&gt;0,H9&gt;0,H9&lt;G9),"[!]น้ำ reset ","")&amp;IF(AND(O9&gt;0,P9&gt;0,P9&lt;O9),"[!]ไฟ reset ","")&amp;IF(AND(F9="MANUAL",J9=""),"[X]units น้ำ ","")&amp;IF(AND(N9="MANUAL",R9=""),"[X]units ไฟ ","")&amp;IF(D9=0,"[!]ค่าเช่า=0",""))</f>
        <v/>
      </c>
      <c r="AA9" s="29">
        <f>IF(C9&lt;&gt;"",C9,CONFIG!$B$6)</f>
        <v/>
      </c>
      <c r="AB9" s="29">
        <f>IF(F9&lt;&gt;"",F9,IFERROR(VLOOKUP(AA9,RULES!$A:$C,3,0),CONFIG!$B$7))</f>
        <v/>
      </c>
      <c r="AC9" s="29">
        <f>IF(IFERROR(VLOOKUP(AA9,RULES!$A:$D,4,0),"")="",CONFIG!$B$10,VLOOKUP(AA9,RULES!$A:$D,4,0))</f>
        <v/>
      </c>
      <c r="AD9" s="29">
        <f>IF(IFERROR(VLOOKUP(AA9,RULES!$A:$E,5,0),"")="",CONFIG!$B$11,VLOOKUP(AA9,RULES!$A:$E,5,0))</f>
        <v/>
      </c>
      <c r="AE9" s="29">
        <f>IFERROR(VLOOKUP(AA9,RULES!$A:$F,6,0)*1,0)</f>
        <v/>
      </c>
      <c r="AF9" s="29">
        <f>IFERROR(VLOOKUP(AA9,RULES!$A:$G,7,0)*1,0)</f>
        <v/>
      </c>
      <c r="AG9" s="29">
        <f>IFERROR(VLOOKUP(AA9,RULES!$A:$H,8,0)*1,0)</f>
        <v/>
      </c>
      <c r="AH9" s="29">
        <f>IFERROR(VLOOKUP(AA9,RULES!$A:$I,9,0)*1,0)</f>
        <v/>
      </c>
      <c r="AI9" s="29">
        <f>IFERROR(VLOOKUP(AA9,RULES!$A:$J,10,0)*1,0)</f>
        <v/>
      </c>
      <c r="AJ9" s="29">
        <f>IFERROR(IF(VLOOKUP(AA9,RULES!$A:$K,11,0)="",999999,VLOOKUP(AA9,RULES!$A:$K,11,0)*1),999999)</f>
        <v/>
      </c>
      <c r="AK9" s="29">
        <f>IFERROR(VLOOKUP(AA9,RULES!$A:$L,12,0)*1,0)</f>
        <v/>
      </c>
      <c r="AL9" s="29">
        <f>IFERROR(VLOOKUP(AA9,RULES!$A:$M,13,0),"NONE")</f>
        <v/>
      </c>
      <c r="AM9" s="29">
        <f>IFERROR(VLOOKUP(AA9,RULES!$A:$N,14,0)*1,0)</f>
        <v/>
      </c>
      <c r="AN9" s="29">
        <f>IFERROR(VLOOKUP(AA9,RULES!$A:$O,15,0)*1,0)</f>
        <v/>
      </c>
      <c r="AO9" s="29">
        <f>IF(N9&lt;&gt;"",N9,IFERROR(VLOOKUP(AA9,RULES!$A:$P,16,0),CONFIG!$B$8))</f>
        <v/>
      </c>
      <c r="AP9" s="29">
        <f>IF(IFERROR(VLOOKUP(AA9,RULES!$A:$Q,17,0),"")="",CONFIG!$B$13,VLOOKUP(AA9,RULES!$A:$Q,17,0))</f>
        <v/>
      </c>
      <c r="AQ9" s="29">
        <f>IF(IFERROR(VLOOKUP(AA9,RULES!$A:$R,18,0),"")="",CONFIG!$B$14,VLOOKUP(AA9,RULES!$A:$R,18,0))</f>
        <v/>
      </c>
      <c r="AR9" s="29">
        <f>IFERROR(VLOOKUP(AA9,RULES!$A:$S,19,0)*1,0)</f>
        <v/>
      </c>
      <c r="AS9" s="29">
        <f>IFERROR(VLOOKUP(AA9,RULES!$A:$T,20,0)*1,0)</f>
        <v/>
      </c>
      <c r="AT9" s="29">
        <f>IFERROR(VLOOKUP(AA9,RULES!$A:$U,21,0)*1,0)</f>
        <v/>
      </c>
      <c r="AU9" s="29">
        <f>IFERROR(VLOOKUP(AA9,RULES!$A:$V,22,0)*1,0)</f>
        <v/>
      </c>
      <c r="AV9" s="29">
        <f>IFERROR(VLOOKUP(AA9,RULES!$A:$W,23,0)*1,0)</f>
        <v/>
      </c>
      <c r="AW9" s="29">
        <f>IFERROR(IF(VLOOKUP(AA9,RULES!$A:$X,24,0)="",999999,VLOOKUP(AA9,RULES!$A:$X,24,0)*1),999999)</f>
        <v/>
      </c>
      <c r="AX9" s="29">
        <f>IFERROR(VLOOKUP(AA9,RULES!$A:$Y,25,0)*1,0)</f>
        <v/>
      </c>
      <c r="AY9" s="29">
        <f>IFERROR(VLOOKUP(AA9,RULES!$A:$Z,26,0),"NONE")</f>
        <v/>
      </c>
      <c r="AZ9" s="29">
        <f>IFERROR(VLOOKUP(AA9,RULES!$A:$AA,27,0)*1,0)</f>
        <v/>
      </c>
      <c r="BA9" s="29">
        <f>IFERROR(VLOOKUP(AA9,RULES!$A:$AB,28,0)*1,0)</f>
        <v/>
      </c>
    </row>
    <row r="10" ht="17" customHeight="1">
      <c r="A10" s="22" t="inlineStr">
        <is>
          <t>3707</t>
        </is>
      </c>
      <c r="B10" s="48" t="inlineStr">
        <is>
          <t>ACC007</t>
        </is>
      </c>
      <c r="C10" s="48" t="inlineStr">
        <is>
          <t>DEFAULT</t>
        </is>
      </c>
      <c r="D10" s="47" t="n"/>
      <c r="E10" s="22">
        <f>IF(OR(D10="",D10=0),"INACTIVE","ACTIVE")</f>
        <v/>
      </c>
      <c r="F10" s="48" t="inlineStr">
        <is>
          <t>NORMAL</t>
        </is>
      </c>
      <c r="G10" s="25" t="n"/>
      <c r="H10" s="25" t="n"/>
      <c r="I10" s="26">
        <f>IF(OR(E10="INACTIVE",H10=""),0,MAX(0,H10-G10))</f>
        <v/>
      </c>
      <c r="J10" s="23" t="n"/>
      <c r="K10" s="26">
        <f>IF(OR(E10="INACTIVE",H10=""),0,IF(AB10="DISABLED",0,IF(AB10="FLAT",AE10,IF(AB10="MANUAL",IF(J10="",0,J10*AC10),IF(AB10="STEP",IF(I10&lt;=AF10,I10*AG10,IF(I10&lt;=AH10,AF10*AG10+(I10-AF10)*AI10,AF10*AG10+(AH10-AF10)*AI10+(I10-AH10)*AK10)),MAX(I10*AC10,AD10))))))</f>
        <v/>
      </c>
      <c r="L10" s="26">
        <f>IF(OR(E10="INACTIVE",H10=""),0,IF(AL10="NONE",0,IF(AL10="FLAT",AM10,IF(AL10="PER_UNIT",I10*AN10,IF(AL10="MANUAL",IF(M10="",0,M10),0)))))</f>
        <v/>
      </c>
      <c r="M10" s="23" t="n"/>
      <c r="N10" s="48" t="inlineStr">
        <is>
          <t>NORMAL</t>
        </is>
      </c>
      <c r="O10" s="25" t="n"/>
      <c r="P10" s="25" t="n"/>
      <c r="Q10" s="26">
        <f>IF(OR(E10="INACTIVE",P10=""),0,MAX(0,P10-O10))</f>
        <v/>
      </c>
      <c r="R10" s="23" t="n"/>
      <c r="S10" s="26">
        <f>IF(OR(E10="INACTIVE",P10=""),0,IF(AO10="DISABLED",0,IF(AO10="FLAT",AR10,IF(AO10="MANUAL",IF(R10="",0,R10*AP10),IF(AO10="STEP",IF(Q10&lt;=AS10,Q10*AT10,IF(Q10&lt;=AU10,AS10*AT10+(Q10-AS10)*AV10,AS10*AT10+(AU10-AS10)*AV10+(Q10-AU10)*AX10)),MAX(Q10*AP10,AQ10))))))</f>
        <v/>
      </c>
      <c r="T10" s="26">
        <f>IF(OR(E10="INACTIVE",P10=""),0,IF(AY10="NONE",0,IF(AY10="FLAT",AZ10,IF(AY10="PER_UNIT",Q10*BA10,IF(AY10="MANUAL",IF(U10="",0,U10),0)))))</f>
        <v/>
      </c>
      <c r="U10" s="23" t="n"/>
      <c r="V10" s="25" t="n"/>
      <c r="W10" s="25" t="n"/>
      <c r="X10" s="26">
        <f>IF(E10="INACTIVE",0,D10+K10+L10+S10+T10+IF(V10="",0,V10)+IF(W10="",0,W10))</f>
        <v/>
      </c>
      <c r="Y10" s="27" t="n"/>
      <c r="Z10" s="28">
        <f>IF(E10="INACTIVE","_",IF(AND(G10&gt;0,H10&gt;0,H10&lt;G10),"[!]น้ำ reset ","")&amp;IF(AND(O10&gt;0,P10&gt;0,P10&lt;O10),"[!]ไฟ reset ","")&amp;IF(AND(F10="MANUAL",J10=""),"[X]units น้ำ ","")&amp;IF(AND(N10="MANUAL",R10=""),"[X]units ไฟ ","")&amp;IF(D10=0,"[!]ค่าเช่า=0",""))</f>
        <v/>
      </c>
      <c r="AA10" s="29">
        <f>IF(C10&lt;&gt;"",C10,CONFIG!$B$6)</f>
        <v/>
      </c>
      <c r="AB10" s="29">
        <f>IF(F10&lt;&gt;"",F10,IFERROR(VLOOKUP(AA10,RULES!$A:$C,3,0),CONFIG!$B$7))</f>
        <v/>
      </c>
      <c r="AC10" s="29">
        <f>IF(IFERROR(VLOOKUP(AA10,RULES!$A:$D,4,0),"")="",CONFIG!$B$10,VLOOKUP(AA10,RULES!$A:$D,4,0))</f>
        <v/>
      </c>
      <c r="AD10" s="29">
        <f>IF(IFERROR(VLOOKUP(AA10,RULES!$A:$E,5,0),"")="",CONFIG!$B$11,VLOOKUP(AA10,RULES!$A:$E,5,0))</f>
        <v/>
      </c>
      <c r="AE10" s="29">
        <f>IFERROR(VLOOKUP(AA10,RULES!$A:$F,6,0)*1,0)</f>
        <v/>
      </c>
      <c r="AF10" s="29">
        <f>IFERROR(VLOOKUP(AA10,RULES!$A:$G,7,0)*1,0)</f>
        <v/>
      </c>
      <c r="AG10" s="29">
        <f>IFERROR(VLOOKUP(AA10,RULES!$A:$H,8,0)*1,0)</f>
        <v/>
      </c>
      <c r="AH10" s="29">
        <f>IFERROR(VLOOKUP(AA10,RULES!$A:$I,9,0)*1,0)</f>
        <v/>
      </c>
      <c r="AI10" s="29">
        <f>IFERROR(VLOOKUP(AA10,RULES!$A:$J,10,0)*1,0)</f>
        <v/>
      </c>
      <c r="AJ10" s="29">
        <f>IFERROR(IF(VLOOKUP(AA10,RULES!$A:$K,11,0)="",999999,VLOOKUP(AA10,RULES!$A:$K,11,0)*1),999999)</f>
        <v/>
      </c>
      <c r="AK10" s="29">
        <f>IFERROR(VLOOKUP(AA10,RULES!$A:$L,12,0)*1,0)</f>
        <v/>
      </c>
      <c r="AL10" s="29">
        <f>IFERROR(VLOOKUP(AA10,RULES!$A:$M,13,0),"NONE")</f>
        <v/>
      </c>
      <c r="AM10" s="29">
        <f>IFERROR(VLOOKUP(AA10,RULES!$A:$N,14,0)*1,0)</f>
        <v/>
      </c>
      <c r="AN10" s="29">
        <f>IFERROR(VLOOKUP(AA10,RULES!$A:$O,15,0)*1,0)</f>
        <v/>
      </c>
      <c r="AO10" s="29">
        <f>IF(N10&lt;&gt;"",N10,IFERROR(VLOOKUP(AA10,RULES!$A:$P,16,0),CONFIG!$B$8))</f>
        <v/>
      </c>
      <c r="AP10" s="29">
        <f>IF(IFERROR(VLOOKUP(AA10,RULES!$A:$Q,17,0),"")="",CONFIG!$B$13,VLOOKUP(AA10,RULES!$A:$Q,17,0))</f>
        <v/>
      </c>
      <c r="AQ10" s="29">
        <f>IF(IFERROR(VLOOKUP(AA10,RULES!$A:$R,18,0),"")="",CONFIG!$B$14,VLOOKUP(AA10,RULES!$A:$R,18,0))</f>
        <v/>
      </c>
      <c r="AR10" s="29">
        <f>IFERROR(VLOOKUP(AA10,RULES!$A:$S,19,0)*1,0)</f>
        <v/>
      </c>
      <c r="AS10" s="29">
        <f>IFERROR(VLOOKUP(AA10,RULES!$A:$T,20,0)*1,0)</f>
        <v/>
      </c>
      <c r="AT10" s="29">
        <f>IFERROR(VLOOKUP(AA10,RULES!$A:$U,21,0)*1,0)</f>
        <v/>
      </c>
      <c r="AU10" s="29">
        <f>IFERROR(VLOOKUP(AA10,RULES!$A:$V,22,0)*1,0)</f>
        <v/>
      </c>
      <c r="AV10" s="29">
        <f>IFERROR(VLOOKUP(AA10,RULES!$A:$W,23,0)*1,0)</f>
        <v/>
      </c>
      <c r="AW10" s="29">
        <f>IFERROR(IF(VLOOKUP(AA10,RULES!$A:$X,24,0)="",999999,VLOOKUP(AA10,RULES!$A:$X,24,0)*1),999999)</f>
        <v/>
      </c>
      <c r="AX10" s="29">
        <f>IFERROR(VLOOKUP(AA10,RULES!$A:$Y,25,0)*1,0)</f>
        <v/>
      </c>
      <c r="AY10" s="29">
        <f>IFERROR(VLOOKUP(AA10,RULES!$A:$Z,26,0),"NONE")</f>
        <v/>
      </c>
      <c r="AZ10" s="29">
        <f>IFERROR(VLOOKUP(AA10,RULES!$A:$AA,27,0)*1,0)</f>
        <v/>
      </c>
      <c r="BA10" s="29">
        <f>IFERROR(VLOOKUP(AA10,RULES!$A:$AB,28,0)*1,0)</f>
        <v/>
      </c>
    </row>
    <row r="11" ht="17" customHeight="1">
      <c r="A11" s="22" t="inlineStr">
        <is>
          <t>3708</t>
        </is>
      </c>
      <c r="B11" s="48" t="inlineStr">
        <is>
          <t>ACC007</t>
        </is>
      </c>
      <c r="C11" s="48" t="inlineStr">
        <is>
          <t>DEFAULT</t>
        </is>
      </c>
      <c r="D11" s="47" t="n"/>
      <c r="E11" s="22">
        <f>IF(OR(D11="",D11=0),"INACTIVE","ACTIVE")</f>
        <v/>
      </c>
      <c r="F11" s="48" t="inlineStr">
        <is>
          <t>NORMAL</t>
        </is>
      </c>
      <c r="G11" s="25" t="n"/>
      <c r="H11" s="25" t="n"/>
      <c r="I11" s="26">
        <f>IF(OR(E11="INACTIVE",H11=""),0,MAX(0,H11-G11))</f>
        <v/>
      </c>
      <c r="J11" s="23" t="n"/>
      <c r="K11" s="26">
        <f>IF(OR(E11="INACTIVE",H11=""),0,IF(AB11="DISABLED",0,IF(AB11="FLAT",AE11,IF(AB11="MANUAL",IF(J11="",0,J11*AC11),IF(AB11="STEP",IF(I11&lt;=AF11,I11*AG11,IF(I11&lt;=AH11,AF11*AG11+(I11-AF11)*AI11,AF11*AG11+(AH11-AF11)*AI11+(I11-AH11)*AK11)),MAX(I11*AC11,AD11))))))</f>
        <v/>
      </c>
      <c r="L11" s="26">
        <f>IF(OR(E11="INACTIVE",H11=""),0,IF(AL11="NONE",0,IF(AL11="FLAT",AM11,IF(AL11="PER_UNIT",I11*AN11,IF(AL11="MANUAL",IF(M11="",0,M11),0)))))</f>
        <v/>
      </c>
      <c r="M11" s="23" t="n"/>
      <c r="N11" s="48" t="inlineStr">
        <is>
          <t>NORMAL</t>
        </is>
      </c>
      <c r="O11" s="25" t="n"/>
      <c r="P11" s="25" t="n"/>
      <c r="Q11" s="26">
        <f>IF(OR(E11="INACTIVE",P11=""),0,MAX(0,P11-O11))</f>
        <v/>
      </c>
      <c r="R11" s="23" t="n"/>
      <c r="S11" s="26">
        <f>IF(OR(E11="INACTIVE",P11=""),0,IF(AO11="DISABLED",0,IF(AO11="FLAT",AR11,IF(AO11="MANUAL",IF(R11="",0,R11*AP11),IF(AO11="STEP",IF(Q11&lt;=AS11,Q11*AT11,IF(Q11&lt;=AU11,AS11*AT11+(Q11-AS11)*AV11,AS11*AT11+(AU11-AS11)*AV11+(Q11-AU11)*AX11)),MAX(Q11*AP11,AQ11))))))</f>
        <v/>
      </c>
      <c r="T11" s="26">
        <f>IF(OR(E11="INACTIVE",P11=""),0,IF(AY11="NONE",0,IF(AY11="FLAT",AZ11,IF(AY11="PER_UNIT",Q11*BA11,IF(AY11="MANUAL",IF(U11="",0,U11),0)))))</f>
        <v/>
      </c>
      <c r="U11" s="23" t="n"/>
      <c r="V11" s="25" t="n"/>
      <c r="W11" s="25" t="n"/>
      <c r="X11" s="26">
        <f>IF(E11="INACTIVE",0,D11+K11+L11+S11+T11+IF(V11="",0,V11)+IF(W11="",0,W11))</f>
        <v/>
      </c>
      <c r="Y11" s="27" t="n"/>
      <c r="Z11" s="28">
        <f>IF(E11="INACTIVE","_",IF(AND(G11&gt;0,H11&gt;0,H11&lt;G11),"[!]น้ำ reset ","")&amp;IF(AND(O11&gt;0,P11&gt;0,P11&lt;O11),"[!]ไฟ reset ","")&amp;IF(AND(F11="MANUAL",J11=""),"[X]units น้ำ ","")&amp;IF(AND(N11="MANUAL",R11=""),"[X]units ไฟ ","")&amp;IF(D11=0,"[!]ค่าเช่า=0",""))</f>
        <v/>
      </c>
      <c r="AA11" s="29">
        <f>IF(C11&lt;&gt;"",C11,CONFIG!$B$6)</f>
        <v/>
      </c>
      <c r="AB11" s="29">
        <f>IF(F11&lt;&gt;"",F11,IFERROR(VLOOKUP(AA11,RULES!$A:$C,3,0),CONFIG!$B$7))</f>
        <v/>
      </c>
      <c r="AC11" s="29">
        <f>IF(IFERROR(VLOOKUP(AA11,RULES!$A:$D,4,0),"")="",CONFIG!$B$10,VLOOKUP(AA11,RULES!$A:$D,4,0))</f>
        <v/>
      </c>
      <c r="AD11" s="29">
        <f>IF(IFERROR(VLOOKUP(AA11,RULES!$A:$E,5,0),"")="",CONFIG!$B$11,VLOOKUP(AA11,RULES!$A:$E,5,0))</f>
        <v/>
      </c>
      <c r="AE11" s="29">
        <f>IFERROR(VLOOKUP(AA11,RULES!$A:$F,6,0)*1,0)</f>
        <v/>
      </c>
      <c r="AF11" s="29">
        <f>IFERROR(VLOOKUP(AA11,RULES!$A:$G,7,0)*1,0)</f>
        <v/>
      </c>
      <c r="AG11" s="29">
        <f>IFERROR(VLOOKUP(AA11,RULES!$A:$H,8,0)*1,0)</f>
        <v/>
      </c>
      <c r="AH11" s="29">
        <f>IFERROR(VLOOKUP(AA11,RULES!$A:$I,9,0)*1,0)</f>
        <v/>
      </c>
      <c r="AI11" s="29">
        <f>IFERROR(VLOOKUP(AA11,RULES!$A:$J,10,0)*1,0)</f>
        <v/>
      </c>
      <c r="AJ11" s="29">
        <f>IFERROR(IF(VLOOKUP(AA11,RULES!$A:$K,11,0)="",999999,VLOOKUP(AA11,RULES!$A:$K,11,0)*1),999999)</f>
        <v/>
      </c>
      <c r="AK11" s="29">
        <f>IFERROR(VLOOKUP(AA11,RULES!$A:$L,12,0)*1,0)</f>
        <v/>
      </c>
      <c r="AL11" s="29">
        <f>IFERROR(VLOOKUP(AA11,RULES!$A:$M,13,0),"NONE")</f>
        <v/>
      </c>
      <c r="AM11" s="29">
        <f>IFERROR(VLOOKUP(AA11,RULES!$A:$N,14,0)*1,0)</f>
        <v/>
      </c>
      <c r="AN11" s="29">
        <f>IFERROR(VLOOKUP(AA11,RULES!$A:$O,15,0)*1,0)</f>
        <v/>
      </c>
      <c r="AO11" s="29">
        <f>IF(N11&lt;&gt;"",N11,IFERROR(VLOOKUP(AA11,RULES!$A:$P,16,0),CONFIG!$B$8))</f>
        <v/>
      </c>
      <c r="AP11" s="29">
        <f>IF(IFERROR(VLOOKUP(AA11,RULES!$A:$Q,17,0),"")="",CONFIG!$B$13,VLOOKUP(AA11,RULES!$A:$Q,17,0))</f>
        <v/>
      </c>
      <c r="AQ11" s="29">
        <f>IF(IFERROR(VLOOKUP(AA11,RULES!$A:$R,18,0),"")="",CONFIG!$B$14,VLOOKUP(AA11,RULES!$A:$R,18,0))</f>
        <v/>
      </c>
      <c r="AR11" s="29">
        <f>IFERROR(VLOOKUP(AA11,RULES!$A:$S,19,0)*1,0)</f>
        <v/>
      </c>
      <c r="AS11" s="29">
        <f>IFERROR(VLOOKUP(AA11,RULES!$A:$T,20,0)*1,0)</f>
        <v/>
      </c>
      <c r="AT11" s="29">
        <f>IFERROR(VLOOKUP(AA11,RULES!$A:$U,21,0)*1,0)</f>
        <v/>
      </c>
      <c r="AU11" s="29">
        <f>IFERROR(VLOOKUP(AA11,RULES!$A:$V,22,0)*1,0)</f>
        <v/>
      </c>
      <c r="AV11" s="29">
        <f>IFERROR(VLOOKUP(AA11,RULES!$A:$W,23,0)*1,0)</f>
        <v/>
      </c>
      <c r="AW11" s="29">
        <f>IFERROR(IF(VLOOKUP(AA11,RULES!$A:$X,24,0)="",999999,VLOOKUP(AA11,RULES!$A:$X,24,0)*1),999999)</f>
        <v/>
      </c>
      <c r="AX11" s="29">
        <f>IFERROR(VLOOKUP(AA11,RULES!$A:$Y,25,0)*1,0)</f>
        <v/>
      </c>
      <c r="AY11" s="29">
        <f>IFERROR(VLOOKUP(AA11,RULES!$A:$Z,26,0),"NONE")</f>
        <v/>
      </c>
      <c r="AZ11" s="29">
        <f>IFERROR(VLOOKUP(AA11,RULES!$A:$AA,27,0)*1,0)</f>
        <v/>
      </c>
      <c r="BA11" s="29">
        <f>IFERROR(VLOOKUP(AA11,RULES!$A:$AB,28,0)*1,0)</f>
        <v/>
      </c>
    </row>
    <row r="12" ht="17" customHeight="1">
      <c r="A12" s="22" t="inlineStr">
        <is>
          <t>3709</t>
        </is>
      </c>
      <c r="B12" s="48" t="inlineStr">
        <is>
          <t>ACC007</t>
        </is>
      </c>
      <c r="C12" s="48" t="inlineStr">
        <is>
          <t>DEFAULT</t>
        </is>
      </c>
      <c r="D12" s="47" t="n"/>
      <c r="E12" s="22">
        <f>IF(OR(D12="",D12=0),"INACTIVE","ACTIVE")</f>
        <v/>
      </c>
      <c r="F12" s="48" t="inlineStr">
        <is>
          <t>NORMAL</t>
        </is>
      </c>
      <c r="G12" s="25" t="n"/>
      <c r="H12" s="25" t="n"/>
      <c r="I12" s="26">
        <f>IF(OR(E12="INACTIVE",H12=""),0,MAX(0,H12-G12))</f>
        <v/>
      </c>
      <c r="J12" s="23" t="n"/>
      <c r="K12" s="26">
        <f>IF(OR(E12="INACTIVE",H12=""),0,IF(AB12="DISABLED",0,IF(AB12="FLAT",AE12,IF(AB12="MANUAL",IF(J12="",0,J12*AC12),IF(AB12="STEP",IF(I12&lt;=AF12,I12*AG12,IF(I12&lt;=AH12,AF12*AG12+(I12-AF12)*AI12,AF12*AG12+(AH12-AF12)*AI12+(I12-AH12)*AK12)),MAX(I12*AC12,AD12))))))</f>
        <v/>
      </c>
      <c r="L12" s="26">
        <f>IF(OR(E12="INACTIVE",H12=""),0,IF(AL12="NONE",0,IF(AL12="FLAT",AM12,IF(AL12="PER_UNIT",I12*AN12,IF(AL12="MANUAL",IF(M12="",0,M12),0)))))</f>
        <v/>
      </c>
      <c r="M12" s="23" t="n"/>
      <c r="N12" s="48" t="inlineStr">
        <is>
          <t>NORMAL</t>
        </is>
      </c>
      <c r="O12" s="25" t="n"/>
      <c r="P12" s="25" t="n"/>
      <c r="Q12" s="26">
        <f>IF(OR(E12="INACTIVE",P12=""),0,MAX(0,P12-O12))</f>
        <v/>
      </c>
      <c r="R12" s="23" t="n"/>
      <c r="S12" s="26">
        <f>IF(OR(E12="INACTIVE",P12=""),0,IF(AO12="DISABLED",0,IF(AO12="FLAT",AR12,IF(AO12="MANUAL",IF(R12="",0,R12*AP12),IF(AO12="STEP",IF(Q12&lt;=AS12,Q12*AT12,IF(Q12&lt;=AU12,AS12*AT12+(Q12-AS12)*AV12,AS12*AT12+(AU12-AS12)*AV12+(Q12-AU12)*AX12)),MAX(Q12*AP12,AQ12))))))</f>
        <v/>
      </c>
      <c r="T12" s="26">
        <f>IF(OR(E12="INACTIVE",P12=""),0,IF(AY12="NONE",0,IF(AY12="FLAT",AZ12,IF(AY12="PER_UNIT",Q12*BA12,IF(AY12="MANUAL",IF(U12="",0,U12),0)))))</f>
        <v/>
      </c>
      <c r="U12" s="23" t="n"/>
      <c r="V12" s="25" t="n"/>
      <c r="W12" s="25" t="n"/>
      <c r="X12" s="26">
        <f>IF(E12="INACTIVE",0,D12+K12+L12+S12+T12+IF(V12="",0,V12)+IF(W12="",0,W12))</f>
        <v/>
      </c>
      <c r="Y12" s="27" t="n"/>
      <c r="Z12" s="28">
        <f>IF(E12="INACTIVE","_",IF(AND(G12&gt;0,H12&gt;0,H12&lt;G12),"[!]น้ำ reset ","")&amp;IF(AND(O12&gt;0,P12&gt;0,P12&lt;O12),"[!]ไฟ reset ","")&amp;IF(AND(F12="MANUAL",J12=""),"[X]units น้ำ ","")&amp;IF(AND(N12="MANUAL",R12=""),"[X]units ไฟ ","")&amp;IF(D12=0,"[!]ค่าเช่า=0",""))</f>
        <v/>
      </c>
      <c r="AA12" s="29">
        <f>IF(C12&lt;&gt;"",C12,CONFIG!$B$6)</f>
        <v/>
      </c>
      <c r="AB12" s="29">
        <f>IF(F12&lt;&gt;"",F12,IFERROR(VLOOKUP(AA12,RULES!$A:$C,3,0),CONFIG!$B$7))</f>
        <v/>
      </c>
      <c r="AC12" s="29">
        <f>IF(IFERROR(VLOOKUP(AA12,RULES!$A:$D,4,0),"")="",CONFIG!$B$10,VLOOKUP(AA12,RULES!$A:$D,4,0))</f>
        <v/>
      </c>
      <c r="AD12" s="29">
        <f>IF(IFERROR(VLOOKUP(AA12,RULES!$A:$E,5,0),"")="",CONFIG!$B$11,VLOOKUP(AA12,RULES!$A:$E,5,0))</f>
        <v/>
      </c>
      <c r="AE12" s="29">
        <f>IFERROR(VLOOKUP(AA12,RULES!$A:$F,6,0)*1,0)</f>
        <v/>
      </c>
      <c r="AF12" s="29">
        <f>IFERROR(VLOOKUP(AA12,RULES!$A:$G,7,0)*1,0)</f>
        <v/>
      </c>
      <c r="AG12" s="29">
        <f>IFERROR(VLOOKUP(AA12,RULES!$A:$H,8,0)*1,0)</f>
        <v/>
      </c>
      <c r="AH12" s="29">
        <f>IFERROR(VLOOKUP(AA12,RULES!$A:$I,9,0)*1,0)</f>
        <v/>
      </c>
      <c r="AI12" s="29">
        <f>IFERROR(VLOOKUP(AA12,RULES!$A:$J,10,0)*1,0)</f>
        <v/>
      </c>
      <c r="AJ12" s="29">
        <f>IFERROR(IF(VLOOKUP(AA12,RULES!$A:$K,11,0)="",999999,VLOOKUP(AA12,RULES!$A:$K,11,0)*1),999999)</f>
        <v/>
      </c>
      <c r="AK12" s="29">
        <f>IFERROR(VLOOKUP(AA12,RULES!$A:$L,12,0)*1,0)</f>
        <v/>
      </c>
      <c r="AL12" s="29">
        <f>IFERROR(VLOOKUP(AA12,RULES!$A:$M,13,0),"NONE")</f>
        <v/>
      </c>
      <c r="AM12" s="29">
        <f>IFERROR(VLOOKUP(AA12,RULES!$A:$N,14,0)*1,0)</f>
        <v/>
      </c>
      <c r="AN12" s="29">
        <f>IFERROR(VLOOKUP(AA12,RULES!$A:$O,15,0)*1,0)</f>
        <v/>
      </c>
      <c r="AO12" s="29">
        <f>IF(N12&lt;&gt;"",N12,IFERROR(VLOOKUP(AA12,RULES!$A:$P,16,0),CONFIG!$B$8))</f>
        <v/>
      </c>
      <c r="AP12" s="29">
        <f>IF(IFERROR(VLOOKUP(AA12,RULES!$A:$Q,17,0),"")="",CONFIG!$B$13,VLOOKUP(AA12,RULES!$A:$Q,17,0))</f>
        <v/>
      </c>
      <c r="AQ12" s="29">
        <f>IF(IFERROR(VLOOKUP(AA12,RULES!$A:$R,18,0),"")="",CONFIG!$B$14,VLOOKUP(AA12,RULES!$A:$R,18,0))</f>
        <v/>
      </c>
      <c r="AR12" s="29">
        <f>IFERROR(VLOOKUP(AA12,RULES!$A:$S,19,0)*1,0)</f>
        <v/>
      </c>
      <c r="AS12" s="29">
        <f>IFERROR(VLOOKUP(AA12,RULES!$A:$T,20,0)*1,0)</f>
        <v/>
      </c>
      <c r="AT12" s="29">
        <f>IFERROR(VLOOKUP(AA12,RULES!$A:$U,21,0)*1,0)</f>
        <v/>
      </c>
      <c r="AU12" s="29">
        <f>IFERROR(VLOOKUP(AA12,RULES!$A:$V,22,0)*1,0)</f>
        <v/>
      </c>
      <c r="AV12" s="29">
        <f>IFERROR(VLOOKUP(AA12,RULES!$A:$W,23,0)*1,0)</f>
        <v/>
      </c>
      <c r="AW12" s="29">
        <f>IFERROR(IF(VLOOKUP(AA12,RULES!$A:$X,24,0)="",999999,VLOOKUP(AA12,RULES!$A:$X,24,0)*1),999999)</f>
        <v/>
      </c>
      <c r="AX12" s="29">
        <f>IFERROR(VLOOKUP(AA12,RULES!$A:$Y,25,0)*1,0)</f>
        <v/>
      </c>
      <c r="AY12" s="29">
        <f>IFERROR(VLOOKUP(AA12,RULES!$A:$Z,26,0),"NONE")</f>
        <v/>
      </c>
      <c r="AZ12" s="29">
        <f>IFERROR(VLOOKUP(AA12,RULES!$A:$AA,27,0)*1,0)</f>
        <v/>
      </c>
      <c r="BA12" s="29">
        <f>IFERROR(VLOOKUP(AA12,RULES!$A:$AB,28,0)*1,0)</f>
        <v/>
      </c>
    </row>
    <row r="13" ht="17" customHeight="1">
      <c r="A13" s="22" t="inlineStr">
        <is>
          <t>3710</t>
        </is>
      </c>
      <c r="B13" s="48" t="inlineStr">
        <is>
          <t>ACC007</t>
        </is>
      </c>
      <c r="C13" s="48" t="inlineStr">
        <is>
          <t>DEFAULT</t>
        </is>
      </c>
      <c r="D13" s="47" t="n"/>
      <c r="E13" s="22">
        <f>IF(OR(D13="",D13=0),"INACTIVE","ACTIVE")</f>
        <v/>
      </c>
      <c r="F13" s="48" t="inlineStr">
        <is>
          <t>NORMAL</t>
        </is>
      </c>
      <c r="G13" s="25" t="n"/>
      <c r="H13" s="25" t="n"/>
      <c r="I13" s="26">
        <f>IF(OR(E13="INACTIVE",H13=""),0,MAX(0,H13-G13))</f>
        <v/>
      </c>
      <c r="J13" s="23" t="n"/>
      <c r="K13" s="26">
        <f>IF(OR(E13="INACTIVE",H13=""),0,IF(AB13="DISABLED",0,IF(AB13="FLAT",AE13,IF(AB13="MANUAL",IF(J13="",0,J13*AC13),IF(AB13="STEP",IF(I13&lt;=AF13,I13*AG13,IF(I13&lt;=AH13,AF13*AG13+(I13-AF13)*AI13,AF13*AG13+(AH13-AF13)*AI13+(I13-AH13)*AK13)),MAX(I13*AC13,AD13))))))</f>
        <v/>
      </c>
      <c r="L13" s="26">
        <f>IF(OR(E13="INACTIVE",H13=""),0,IF(AL13="NONE",0,IF(AL13="FLAT",AM13,IF(AL13="PER_UNIT",I13*AN13,IF(AL13="MANUAL",IF(M13="",0,M13),0)))))</f>
        <v/>
      </c>
      <c r="M13" s="23" t="n"/>
      <c r="N13" s="48" t="inlineStr">
        <is>
          <t>NORMAL</t>
        </is>
      </c>
      <c r="O13" s="25" t="n"/>
      <c r="P13" s="25" t="n"/>
      <c r="Q13" s="26">
        <f>IF(OR(E13="INACTIVE",P13=""),0,MAX(0,P13-O13))</f>
        <v/>
      </c>
      <c r="R13" s="23" t="n"/>
      <c r="S13" s="26">
        <f>IF(OR(E13="INACTIVE",P13=""),0,IF(AO13="DISABLED",0,IF(AO13="FLAT",AR13,IF(AO13="MANUAL",IF(R13="",0,R13*AP13),IF(AO13="STEP",IF(Q13&lt;=AS13,Q13*AT13,IF(Q13&lt;=AU13,AS13*AT13+(Q13-AS13)*AV13,AS13*AT13+(AU13-AS13)*AV13+(Q13-AU13)*AX13)),MAX(Q13*AP13,AQ13))))))</f>
        <v/>
      </c>
      <c r="T13" s="26">
        <f>IF(OR(E13="INACTIVE",P13=""),0,IF(AY13="NONE",0,IF(AY13="FLAT",AZ13,IF(AY13="PER_UNIT",Q13*BA13,IF(AY13="MANUAL",IF(U13="",0,U13),0)))))</f>
        <v/>
      </c>
      <c r="U13" s="23" t="n"/>
      <c r="V13" s="25" t="n"/>
      <c r="W13" s="25" t="n"/>
      <c r="X13" s="26">
        <f>IF(E13="INACTIVE",0,D13+K13+L13+S13+T13+IF(V13="",0,V13)+IF(W13="",0,W13))</f>
        <v/>
      </c>
      <c r="Y13" s="27" t="n"/>
      <c r="Z13" s="28">
        <f>IF(E13="INACTIVE","_",IF(AND(G13&gt;0,H13&gt;0,H13&lt;G13),"[!]น้ำ reset ","")&amp;IF(AND(O13&gt;0,P13&gt;0,P13&lt;O13),"[!]ไฟ reset ","")&amp;IF(AND(F13="MANUAL",J13=""),"[X]units น้ำ ","")&amp;IF(AND(N13="MANUAL",R13=""),"[X]units ไฟ ","")&amp;IF(D13=0,"[!]ค่าเช่า=0",""))</f>
        <v/>
      </c>
      <c r="AA13" s="29">
        <f>IF(C13&lt;&gt;"",C13,CONFIG!$B$6)</f>
        <v/>
      </c>
      <c r="AB13" s="29">
        <f>IF(F13&lt;&gt;"",F13,IFERROR(VLOOKUP(AA13,RULES!$A:$C,3,0),CONFIG!$B$7))</f>
        <v/>
      </c>
      <c r="AC13" s="29">
        <f>IF(IFERROR(VLOOKUP(AA13,RULES!$A:$D,4,0),"")="",CONFIG!$B$10,VLOOKUP(AA13,RULES!$A:$D,4,0))</f>
        <v/>
      </c>
      <c r="AD13" s="29">
        <f>IF(IFERROR(VLOOKUP(AA13,RULES!$A:$E,5,0),"")="",CONFIG!$B$11,VLOOKUP(AA13,RULES!$A:$E,5,0))</f>
        <v/>
      </c>
      <c r="AE13" s="29">
        <f>IFERROR(VLOOKUP(AA13,RULES!$A:$F,6,0)*1,0)</f>
        <v/>
      </c>
      <c r="AF13" s="29">
        <f>IFERROR(VLOOKUP(AA13,RULES!$A:$G,7,0)*1,0)</f>
        <v/>
      </c>
      <c r="AG13" s="29">
        <f>IFERROR(VLOOKUP(AA13,RULES!$A:$H,8,0)*1,0)</f>
        <v/>
      </c>
      <c r="AH13" s="29">
        <f>IFERROR(VLOOKUP(AA13,RULES!$A:$I,9,0)*1,0)</f>
        <v/>
      </c>
      <c r="AI13" s="29">
        <f>IFERROR(VLOOKUP(AA13,RULES!$A:$J,10,0)*1,0)</f>
        <v/>
      </c>
      <c r="AJ13" s="29">
        <f>IFERROR(IF(VLOOKUP(AA13,RULES!$A:$K,11,0)="",999999,VLOOKUP(AA13,RULES!$A:$K,11,0)*1),999999)</f>
        <v/>
      </c>
      <c r="AK13" s="29">
        <f>IFERROR(VLOOKUP(AA13,RULES!$A:$L,12,0)*1,0)</f>
        <v/>
      </c>
      <c r="AL13" s="29">
        <f>IFERROR(VLOOKUP(AA13,RULES!$A:$M,13,0),"NONE")</f>
        <v/>
      </c>
      <c r="AM13" s="29">
        <f>IFERROR(VLOOKUP(AA13,RULES!$A:$N,14,0)*1,0)</f>
        <v/>
      </c>
      <c r="AN13" s="29">
        <f>IFERROR(VLOOKUP(AA13,RULES!$A:$O,15,0)*1,0)</f>
        <v/>
      </c>
      <c r="AO13" s="29">
        <f>IF(N13&lt;&gt;"",N13,IFERROR(VLOOKUP(AA13,RULES!$A:$P,16,0),CONFIG!$B$8))</f>
        <v/>
      </c>
      <c r="AP13" s="29">
        <f>IF(IFERROR(VLOOKUP(AA13,RULES!$A:$Q,17,0),"")="",CONFIG!$B$13,VLOOKUP(AA13,RULES!$A:$Q,17,0))</f>
        <v/>
      </c>
      <c r="AQ13" s="29">
        <f>IF(IFERROR(VLOOKUP(AA13,RULES!$A:$R,18,0),"")="",CONFIG!$B$14,VLOOKUP(AA13,RULES!$A:$R,18,0))</f>
        <v/>
      </c>
      <c r="AR13" s="29">
        <f>IFERROR(VLOOKUP(AA13,RULES!$A:$S,19,0)*1,0)</f>
        <v/>
      </c>
      <c r="AS13" s="29">
        <f>IFERROR(VLOOKUP(AA13,RULES!$A:$T,20,0)*1,0)</f>
        <v/>
      </c>
      <c r="AT13" s="29">
        <f>IFERROR(VLOOKUP(AA13,RULES!$A:$U,21,0)*1,0)</f>
        <v/>
      </c>
      <c r="AU13" s="29">
        <f>IFERROR(VLOOKUP(AA13,RULES!$A:$V,22,0)*1,0)</f>
        <v/>
      </c>
      <c r="AV13" s="29">
        <f>IFERROR(VLOOKUP(AA13,RULES!$A:$W,23,0)*1,0)</f>
        <v/>
      </c>
      <c r="AW13" s="29">
        <f>IFERROR(IF(VLOOKUP(AA13,RULES!$A:$X,24,0)="",999999,VLOOKUP(AA13,RULES!$A:$X,24,0)*1),999999)</f>
        <v/>
      </c>
      <c r="AX13" s="29">
        <f>IFERROR(VLOOKUP(AA13,RULES!$A:$Y,25,0)*1,0)</f>
        <v/>
      </c>
      <c r="AY13" s="29">
        <f>IFERROR(VLOOKUP(AA13,RULES!$A:$Z,26,0),"NONE")</f>
        <v/>
      </c>
      <c r="AZ13" s="29">
        <f>IFERROR(VLOOKUP(AA13,RULES!$A:$AA,27,0)*1,0)</f>
        <v/>
      </c>
      <c r="BA13" s="29">
        <f>IFERROR(VLOOKUP(AA13,RULES!$A:$AB,28,0)*1,0)</f>
        <v/>
      </c>
    </row>
    <row r="14" ht="17" customHeight="1">
      <c r="A14" s="22" t="inlineStr">
        <is>
          <t>3711</t>
        </is>
      </c>
      <c r="B14" s="48" t="inlineStr">
        <is>
          <t>ACC007</t>
        </is>
      </c>
      <c r="C14" s="48" t="inlineStr">
        <is>
          <t>DEFAULT</t>
        </is>
      </c>
      <c r="D14" s="47" t="n"/>
      <c r="E14" s="22">
        <f>IF(OR(D14="",D14=0),"INACTIVE","ACTIVE")</f>
        <v/>
      </c>
      <c r="F14" s="48" t="inlineStr">
        <is>
          <t>NORMAL</t>
        </is>
      </c>
      <c r="G14" s="25" t="n"/>
      <c r="H14" s="25" t="n"/>
      <c r="I14" s="26">
        <f>IF(OR(E14="INACTIVE",H14=""),0,MAX(0,H14-G14))</f>
        <v/>
      </c>
      <c r="J14" s="23" t="n"/>
      <c r="K14" s="26">
        <f>IF(OR(E14="INACTIVE",H14=""),0,IF(AB14="DISABLED",0,IF(AB14="FLAT",AE14,IF(AB14="MANUAL",IF(J14="",0,J14*AC14),IF(AB14="STEP",IF(I14&lt;=AF14,I14*AG14,IF(I14&lt;=AH14,AF14*AG14+(I14-AF14)*AI14,AF14*AG14+(AH14-AF14)*AI14+(I14-AH14)*AK14)),MAX(I14*AC14,AD14))))))</f>
        <v/>
      </c>
      <c r="L14" s="26">
        <f>IF(OR(E14="INACTIVE",H14=""),0,IF(AL14="NONE",0,IF(AL14="FLAT",AM14,IF(AL14="PER_UNIT",I14*AN14,IF(AL14="MANUAL",IF(M14="",0,M14),0)))))</f>
        <v/>
      </c>
      <c r="M14" s="23" t="n"/>
      <c r="N14" s="48" t="inlineStr">
        <is>
          <t>NORMAL</t>
        </is>
      </c>
      <c r="O14" s="25" t="n"/>
      <c r="P14" s="25" t="n"/>
      <c r="Q14" s="26">
        <f>IF(OR(E14="INACTIVE",P14=""),0,MAX(0,P14-O14))</f>
        <v/>
      </c>
      <c r="R14" s="23" t="n"/>
      <c r="S14" s="26">
        <f>IF(OR(E14="INACTIVE",P14=""),0,IF(AO14="DISABLED",0,IF(AO14="FLAT",AR14,IF(AO14="MANUAL",IF(R14="",0,R14*AP14),IF(AO14="STEP",IF(Q14&lt;=AS14,Q14*AT14,IF(Q14&lt;=AU14,AS14*AT14+(Q14-AS14)*AV14,AS14*AT14+(AU14-AS14)*AV14+(Q14-AU14)*AX14)),MAX(Q14*AP14,AQ14))))))</f>
        <v/>
      </c>
      <c r="T14" s="26">
        <f>IF(OR(E14="INACTIVE",P14=""),0,IF(AY14="NONE",0,IF(AY14="FLAT",AZ14,IF(AY14="PER_UNIT",Q14*BA14,IF(AY14="MANUAL",IF(U14="",0,U14),0)))))</f>
        <v/>
      </c>
      <c r="U14" s="23" t="n"/>
      <c r="V14" s="25" t="n"/>
      <c r="W14" s="25" t="n"/>
      <c r="X14" s="26">
        <f>IF(E14="INACTIVE",0,D14+K14+L14+S14+T14+IF(V14="",0,V14)+IF(W14="",0,W14))</f>
        <v/>
      </c>
      <c r="Y14" s="27" t="n"/>
      <c r="Z14" s="28">
        <f>IF(E14="INACTIVE","_",IF(AND(G14&gt;0,H14&gt;0,H14&lt;G14),"[!]น้ำ reset ","")&amp;IF(AND(O14&gt;0,P14&gt;0,P14&lt;O14),"[!]ไฟ reset ","")&amp;IF(AND(F14="MANUAL",J14=""),"[X]units น้ำ ","")&amp;IF(AND(N14="MANUAL",R14=""),"[X]units ไฟ ","")&amp;IF(D14=0,"[!]ค่าเช่า=0",""))</f>
        <v/>
      </c>
      <c r="AA14" s="29">
        <f>IF(C14&lt;&gt;"",C14,CONFIG!$B$6)</f>
        <v/>
      </c>
      <c r="AB14" s="29">
        <f>IF(F14&lt;&gt;"",F14,IFERROR(VLOOKUP(AA14,RULES!$A:$C,3,0),CONFIG!$B$7))</f>
        <v/>
      </c>
      <c r="AC14" s="29">
        <f>IF(IFERROR(VLOOKUP(AA14,RULES!$A:$D,4,0),"")="",CONFIG!$B$10,VLOOKUP(AA14,RULES!$A:$D,4,0))</f>
        <v/>
      </c>
      <c r="AD14" s="29">
        <f>IF(IFERROR(VLOOKUP(AA14,RULES!$A:$E,5,0),"")="",CONFIG!$B$11,VLOOKUP(AA14,RULES!$A:$E,5,0))</f>
        <v/>
      </c>
      <c r="AE14" s="29">
        <f>IFERROR(VLOOKUP(AA14,RULES!$A:$F,6,0)*1,0)</f>
        <v/>
      </c>
      <c r="AF14" s="29">
        <f>IFERROR(VLOOKUP(AA14,RULES!$A:$G,7,0)*1,0)</f>
        <v/>
      </c>
      <c r="AG14" s="29">
        <f>IFERROR(VLOOKUP(AA14,RULES!$A:$H,8,0)*1,0)</f>
        <v/>
      </c>
      <c r="AH14" s="29">
        <f>IFERROR(VLOOKUP(AA14,RULES!$A:$I,9,0)*1,0)</f>
        <v/>
      </c>
      <c r="AI14" s="29">
        <f>IFERROR(VLOOKUP(AA14,RULES!$A:$J,10,0)*1,0)</f>
        <v/>
      </c>
      <c r="AJ14" s="29">
        <f>IFERROR(IF(VLOOKUP(AA14,RULES!$A:$K,11,0)="",999999,VLOOKUP(AA14,RULES!$A:$K,11,0)*1),999999)</f>
        <v/>
      </c>
      <c r="AK14" s="29">
        <f>IFERROR(VLOOKUP(AA14,RULES!$A:$L,12,0)*1,0)</f>
        <v/>
      </c>
      <c r="AL14" s="29">
        <f>IFERROR(VLOOKUP(AA14,RULES!$A:$M,13,0),"NONE")</f>
        <v/>
      </c>
      <c r="AM14" s="29">
        <f>IFERROR(VLOOKUP(AA14,RULES!$A:$N,14,0)*1,0)</f>
        <v/>
      </c>
      <c r="AN14" s="29">
        <f>IFERROR(VLOOKUP(AA14,RULES!$A:$O,15,0)*1,0)</f>
        <v/>
      </c>
      <c r="AO14" s="29">
        <f>IF(N14&lt;&gt;"",N14,IFERROR(VLOOKUP(AA14,RULES!$A:$P,16,0),CONFIG!$B$8))</f>
        <v/>
      </c>
      <c r="AP14" s="29">
        <f>IF(IFERROR(VLOOKUP(AA14,RULES!$A:$Q,17,0),"")="",CONFIG!$B$13,VLOOKUP(AA14,RULES!$A:$Q,17,0))</f>
        <v/>
      </c>
      <c r="AQ14" s="29">
        <f>IF(IFERROR(VLOOKUP(AA14,RULES!$A:$R,18,0),"")="",CONFIG!$B$14,VLOOKUP(AA14,RULES!$A:$R,18,0))</f>
        <v/>
      </c>
      <c r="AR14" s="29">
        <f>IFERROR(VLOOKUP(AA14,RULES!$A:$S,19,0)*1,0)</f>
        <v/>
      </c>
      <c r="AS14" s="29">
        <f>IFERROR(VLOOKUP(AA14,RULES!$A:$T,20,0)*1,0)</f>
        <v/>
      </c>
      <c r="AT14" s="29">
        <f>IFERROR(VLOOKUP(AA14,RULES!$A:$U,21,0)*1,0)</f>
        <v/>
      </c>
      <c r="AU14" s="29">
        <f>IFERROR(VLOOKUP(AA14,RULES!$A:$V,22,0)*1,0)</f>
        <v/>
      </c>
      <c r="AV14" s="29">
        <f>IFERROR(VLOOKUP(AA14,RULES!$A:$W,23,0)*1,0)</f>
        <v/>
      </c>
      <c r="AW14" s="29">
        <f>IFERROR(IF(VLOOKUP(AA14,RULES!$A:$X,24,0)="",999999,VLOOKUP(AA14,RULES!$A:$X,24,0)*1),999999)</f>
        <v/>
      </c>
      <c r="AX14" s="29">
        <f>IFERROR(VLOOKUP(AA14,RULES!$A:$Y,25,0)*1,0)</f>
        <v/>
      </c>
      <c r="AY14" s="29">
        <f>IFERROR(VLOOKUP(AA14,RULES!$A:$Z,26,0),"NONE")</f>
        <v/>
      </c>
      <c r="AZ14" s="29">
        <f>IFERROR(VLOOKUP(AA14,RULES!$A:$AA,27,0)*1,0)</f>
        <v/>
      </c>
      <c r="BA14" s="29">
        <f>IFERROR(VLOOKUP(AA14,RULES!$A:$AB,28,0)*1,0)</f>
        <v/>
      </c>
    </row>
    <row r="15" ht="17" customHeight="1">
      <c r="A15" s="22" t="inlineStr">
        <is>
          <t>3712</t>
        </is>
      </c>
      <c r="B15" s="48" t="inlineStr">
        <is>
          <t>ACC007</t>
        </is>
      </c>
      <c r="C15" s="48" t="inlineStr">
        <is>
          <t>DEFAULT</t>
        </is>
      </c>
      <c r="D15" s="47" t="n"/>
      <c r="E15" s="22">
        <f>IF(OR(D15="",D15=0),"INACTIVE","ACTIVE")</f>
        <v/>
      </c>
      <c r="F15" s="48" t="inlineStr">
        <is>
          <t>NORMAL</t>
        </is>
      </c>
      <c r="G15" s="25" t="n"/>
      <c r="H15" s="25" t="n"/>
      <c r="I15" s="26">
        <f>IF(OR(E15="INACTIVE",H15=""),0,MAX(0,H15-G15))</f>
        <v/>
      </c>
      <c r="J15" s="23" t="n"/>
      <c r="K15" s="26">
        <f>IF(OR(E15="INACTIVE",H15=""),0,IF(AB15="DISABLED",0,IF(AB15="FLAT",AE15,IF(AB15="MANUAL",IF(J15="",0,J15*AC15),IF(AB15="STEP",IF(I15&lt;=AF15,I15*AG15,IF(I15&lt;=AH15,AF15*AG15+(I15-AF15)*AI15,AF15*AG15+(AH15-AF15)*AI15+(I15-AH15)*AK15)),MAX(I15*AC15,AD15))))))</f>
        <v/>
      </c>
      <c r="L15" s="26">
        <f>IF(OR(E15="INACTIVE",H15=""),0,IF(AL15="NONE",0,IF(AL15="FLAT",AM15,IF(AL15="PER_UNIT",I15*AN15,IF(AL15="MANUAL",IF(M15="",0,M15),0)))))</f>
        <v/>
      </c>
      <c r="M15" s="23" t="n"/>
      <c r="N15" s="48" t="inlineStr">
        <is>
          <t>NORMAL</t>
        </is>
      </c>
      <c r="O15" s="25" t="n"/>
      <c r="P15" s="25" t="n"/>
      <c r="Q15" s="26">
        <f>IF(OR(E15="INACTIVE",P15=""),0,MAX(0,P15-O15))</f>
        <v/>
      </c>
      <c r="R15" s="23" t="n"/>
      <c r="S15" s="26">
        <f>IF(OR(E15="INACTIVE",P15=""),0,IF(AO15="DISABLED",0,IF(AO15="FLAT",AR15,IF(AO15="MANUAL",IF(R15="",0,R15*AP15),IF(AO15="STEP",IF(Q15&lt;=AS15,Q15*AT15,IF(Q15&lt;=AU15,AS15*AT15+(Q15-AS15)*AV15,AS15*AT15+(AU15-AS15)*AV15+(Q15-AU15)*AX15)),MAX(Q15*AP15,AQ15))))))</f>
        <v/>
      </c>
      <c r="T15" s="26">
        <f>IF(OR(E15="INACTIVE",P15=""),0,IF(AY15="NONE",0,IF(AY15="FLAT",AZ15,IF(AY15="PER_UNIT",Q15*BA15,IF(AY15="MANUAL",IF(U15="",0,U15),0)))))</f>
        <v/>
      </c>
      <c r="U15" s="23" t="n"/>
      <c r="V15" s="25" t="n"/>
      <c r="W15" s="25" t="n"/>
      <c r="X15" s="26">
        <f>IF(E15="INACTIVE",0,D15+K15+L15+S15+T15+IF(V15="",0,V15)+IF(W15="",0,W15))</f>
        <v/>
      </c>
      <c r="Y15" s="27" t="n"/>
      <c r="Z15" s="28">
        <f>IF(E15="INACTIVE","_",IF(AND(G15&gt;0,H15&gt;0,H15&lt;G15),"[!]น้ำ reset ","")&amp;IF(AND(O15&gt;0,P15&gt;0,P15&lt;O15),"[!]ไฟ reset ","")&amp;IF(AND(F15="MANUAL",J15=""),"[X]units น้ำ ","")&amp;IF(AND(N15="MANUAL",R15=""),"[X]units ไฟ ","")&amp;IF(D15=0,"[!]ค่าเช่า=0",""))</f>
        <v/>
      </c>
      <c r="AA15" s="29">
        <f>IF(C15&lt;&gt;"",C15,CONFIG!$B$6)</f>
        <v/>
      </c>
      <c r="AB15" s="29">
        <f>IF(F15&lt;&gt;"",F15,IFERROR(VLOOKUP(AA15,RULES!$A:$C,3,0),CONFIG!$B$7))</f>
        <v/>
      </c>
      <c r="AC15" s="29">
        <f>IF(IFERROR(VLOOKUP(AA15,RULES!$A:$D,4,0),"")="",CONFIG!$B$10,VLOOKUP(AA15,RULES!$A:$D,4,0))</f>
        <v/>
      </c>
      <c r="AD15" s="29">
        <f>IF(IFERROR(VLOOKUP(AA15,RULES!$A:$E,5,0),"")="",CONFIG!$B$11,VLOOKUP(AA15,RULES!$A:$E,5,0))</f>
        <v/>
      </c>
      <c r="AE15" s="29">
        <f>IFERROR(VLOOKUP(AA15,RULES!$A:$F,6,0)*1,0)</f>
        <v/>
      </c>
      <c r="AF15" s="29">
        <f>IFERROR(VLOOKUP(AA15,RULES!$A:$G,7,0)*1,0)</f>
        <v/>
      </c>
      <c r="AG15" s="29">
        <f>IFERROR(VLOOKUP(AA15,RULES!$A:$H,8,0)*1,0)</f>
        <v/>
      </c>
      <c r="AH15" s="29">
        <f>IFERROR(VLOOKUP(AA15,RULES!$A:$I,9,0)*1,0)</f>
        <v/>
      </c>
      <c r="AI15" s="29">
        <f>IFERROR(VLOOKUP(AA15,RULES!$A:$J,10,0)*1,0)</f>
        <v/>
      </c>
      <c r="AJ15" s="29">
        <f>IFERROR(IF(VLOOKUP(AA15,RULES!$A:$K,11,0)="",999999,VLOOKUP(AA15,RULES!$A:$K,11,0)*1),999999)</f>
        <v/>
      </c>
      <c r="AK15" s="29">
        <f>IFERROR(VLOOKUP(AA15,RULES!$A:$L,12,0)*1,0)</f>
        <v/>
      </c>
      <c r="AL15" s="29">
        <f>IFERROR(VLOOKUP(AA15,RULES!$A:$M,13,0),"NONE")</f>
        <v/>
      </c>
      <c r="AM15" s="29">
        <f>IFERROR(VLOOKUP(AA15,RULES!$A:$N,14,0)*1,0)</f>
        <v/>
      </c>
      <c r="AN15" s="29">
        <f>IFERROR(VLOOKUP(AA15,RULES!$A:$O,15,0)*1,0)</f>
        <v/>
      </c>
      <c r="AO15" s="29">
        <f>IF(N15&lt;&gt;"",N15,IFERROR(VLOOKUP(AA15,RULES!$A:$P,16,0),CONFIG!$B$8))</f>
        <v/>
      </c>
      <c r="AP15" s="29">
        <f>IF(IFERROR(VLOOKUP(AA15,RULES!$A:$Q,17,0),"")="",CONFIG!$B$13,VLOOKUP(AA15,RULES!$A:$Q,17,0))</f>
        <v/>
      </c>
      <c r="AQ15" s="29">
        <f>IF(IFERROR(VLOOKUP(AA15,RULES!$A:$R,18,0),"")="",CONFIG!$B$14,VLOOKUP(AA15,RULES!$A:$R,18,0))</f>
        <v/>
      </c>
      <c r="AR15" s="29">
        <f>IFERROR(VLOOKUP(AA15,RULES!$A:$S,19,0)*1,0)</f>
        <v/>
      </c>
      <c r="AS15" s="29">
        <f>IFERROR(VLOOKUP(AA15,RULES!$A:$T,20,0)*1,0)</f>
        <v/>
      </c>
      <c r="AT15" s="29">
        <f>IFERROR(VLOOKUP(AA15,RULES!$A:$U,21,0)*1,0)</f>
        <v/>
      </c>
      <c r="AU15" s="29">
        <f>IFERROR(VLOOKUP(AA15,RULES!$A:$V,22,0)*1,0)</f>
        <v/>
      </c>
      <c r="AV15" s="29">
        <f>IFERROR(VLOOKUP(AA15,RULES!$A:$W,23,0)*1,0)</f>
        <v/>
      </c>
      <c r="AW15" s="29">
        <f>IFERROR(IF(VLOOKUP(AA15,RULES!$A:$X,24,0)="",999999,VLOOKUP(AA15,RULES!$A:$X,24,0)*1),999999)</f>
        <v/>
      </c>
      <c r="AX15" s="29">
        <f>IFERROR(VLOOKUP(AA15,RULES!$A:$Y,25,0)*1,0)</f>
        <v/>
      </c>
      <c r="AY15" s="29">
        <f>IFERROR(VLOOKUP(AA15,RULES!$A:$Z,26,0),"NONE")</f>
        <v/>
      </c>
      <c r="AZ15" s="29">
        <f>IFERROR(VLOOKUP(AA15,RULES!$A:$AA,27,0)*1,0)</f>
        <v/>
      </c>
      <c r="BA15" s="29">
        <f>IFERROR(VLOOKUP(AA15,RULES!$A:$AB,28,0)*1,0)</f>
        <v/>
      </c>
    </row>
    <row r="16" ht="17" customHeight="1">
      <c r="A16" s="22" t="inlineStr">
        <is>
          <t>3713</t>
        </is>
      </c>
      <c r="B16" s="48" t="inlineStr">
        <is>
          <t>ACC007</t>
        </is>
      </c>
      <c r="C16" s="48" t="inlineStr">
        <is>
          <t>DEFAULT</t>
        </is>
      </c>
      <c r="D16" s="47" t="n"/>
      <c r="E16" s="22">
        <f>IF(OR(D16="",D16=0),"INACTIVE","ACTIVE")</f>
        <v/>
      </c>
      <c r="F16" s="48" t="inlineStr">
        <is>
          <t>NORMAL</t>
        </is>
      </c>
      <c r="G16" s="25" t="n"/>
      <c r="H16" s="25" t="n"/>
      <c r="I16" s="26">
        <f>IF(OR(E16="INACTIVE",H16=""),0,MAX(0,H16-G16))</f>
        <v/>
      </c>
      <c r="J16" s="23" t="n"/>
      <c r="K16" s="26">
        <f>IF(OR(E16="INACTIVE",H16=""),0,IF(AB16="DISABLED",0,IF(AB16="FLAT",AE16,IF(AB16="MANUAL",IF(J16="",0,J16*AC16),IF(AB16="STEP",IF(I16&lt;=AF16,I16*AG16,IF(I16&lt;=AH16,AF16*AG16+(I16-AF16)*AI16,AF16*AG16+(AH16-AF16)*AI16+(I16-AH16)*AK16)),MAX(I16*AC16,AD16))))))</f>
        <v/>
      </c>
      <c r="L16" s="26">
        <f>IF(OR(E16="INACTIVE",H16=""),0,IF(AL16="NONE",0,IF(AL16="FLAT",AM16,IF(AL16="PER_UNIT",I16*AN16,IF(AL16="MANUAL",IF(M16="",0,M16),0)))))</f>
        <v/>
      </c>
      <c r="M16" s="23" t="n"/>
      <c r="N16" s="48" t="inlineStr">
        <is>
          <t>NORMAL</t>
        </is>
      </c>
      <c r="O16" s="25" t="n"/>
      <c r="P16" s="25" t="n"/>
      <c r="Q16" s="26">
        <f>IF(OR(E16="INACTIVE",P16=""),0,MAX(0,P16-O16))</f>
        <v/>
      </c>
      <c r="R16" s="23" t="n"/>
      <c r="S16" s="26">
        <f>IF(OR(E16="INACTIVE",P16=""),0,IF(AO16="DISABLED",0,IF(AO16="FLAT",AR16,IF(AO16="MANUAL",IF(R16="",0,R16*AP16),IF(AO16="STEP",IF(Q16&lt;=AS16,Q16*AT16,IF(Q16&lt;=AU16,AS16*AT16+(Q16-AS16)*AV16,AS16*AT16+(AU16-AS16)*AV16+(Q16-AU16)*AX16)),MAX(Q16*AP16,AQ16))))))</f>
        <v/>
      </c>
      <c r="T16" s="26">
        <f>IF(OR(E16="INACTIVE",P16=""),0,IF(AY16="NONE",0,IF(AY16="FLAT",AZ16,IF(AY16="PER_UNIT",Q16*BA16,IF(AY16="MANUAL",IF(U16="",0,U16),0)))))</f>
        <v/>
      </c>
      <c r="U16" s="23" t="n"/>
      <c r="V16" s="25" t="n"/>
      <c r="W16" s="25" t="n"/>
      <c r="X16" s="26">
        <f>IF(E16="INACTIVE",0,D16+K16+L16+S16+T16+IF(V16="",0,V16)+IF(W16="",0,W16))</f>
        <v/>
      </c>
      <c r="Y16" s="27" t="n"/>
      <c r="Z16" s="28">
        <f>IF(E16="INACTIVE","_",IF(AND(G16&gt;0,H16&gt;0,H16&lt;G16),"[!]น้ำ reset ","")&amp;IF(AND(O16&gt;0,P16&gt;0,P16&lt;O16),"[!]ไฟ reset ","")&amp;IF(AND(F16="MANUAL",J16=""),"[X]units น้ำ ","")&amp;IF(AND(N16="MANUAL",R16=""),"[X]units ไฟ ","")&amp;IF(D16=0,"[!]ค่าเช่า=0",""))</f>
        <v/>
      </c>
      <c r="AA16" s="29">
        <f>IF(C16&lt;&gt;"",C16,CONFIG!$B$6)</f>
        <v/>
      </c>
      <c r="AB16" s="29">
        <f>IF(F16&lt;&gt;"",F16,IFERROR(VLOOKUP(AA16,RULES!$A:$C,3,0),CONFIG!$B$7))</f>
        <v/>
      </c>
      <c r="AC16" s="29">
        <f>IF(IFERROR(VLOOKUP(AA16,RULES!$A:$D,4,0),"")="",CONFIG!$B$10,VLOOKUP(AA16,RULES!$A:$D,4,0))</f>
        <v/>
      </c>
      <c r="AD16" s="29">
        <f>IF(IFERROR(VLOOKUP(AA16,RULES!$A:$E,5,0),"")="",CONFIG!$B$11,VLOOKUP(AA16,RULES!$A:$E,5,0))</f>
        <v/>
      </c>
      <c r="AE16" s="29">
        <f>IFERROR(VLOOKUP(AA16,RULES!$A:$F,6,0)*1,0)</f>
        <v/>
      </c>
      <c r="AF16" s="29">
        <f>IFERROR(VLOOKUP(AA16,RULES!$A:$G,7,0)*1,0)</f>
        <v/>
      </c>
      <c r="AG16" s="29">
        <f>IFERROR(VLOOKUP(AA16,RULES!$A:$H,8,0)*1,0)</f>
        <v/>
      </c>
      <c r="AH16" s="29">
        <f>IFERROR(VLOOKUP(AA16,RULES!$A:$I,9,0)*1,0)</f>
        <v/>
      </c>
      <c r="AI16" s="29">
        <f>IFERROR(VLOOKUP(AA16,RULES!$A:$J,10,0)*1,0)</f>
        <v/>
      </c>
      <c r="AJ16" s="29">
        <f>IFERROR(IF(VLOOKUP(AA16,RULES!$A:$K,11,0)="",999999,VLOOKUP(AA16,RULES!$A:$K,11,0)*1),999999)</f>
        <v/>
      </c>
      <c r="AK16" s="29">
        <f>IFERROR(VLOOKUP(AA16,RULES!$A:$L,12,0)*1,0)</f>
        <v/>
      </c>
      <c r="AL16" s="29">
        <f>IFERROR(VLOOKUP(AA16,RULES!$A:$M,13,0),"NONE")</f>
        <v/>
      </c>
      <c r="AM16" s="29">
        <f>IFERROR(VLOOKUP(AA16,RULES!$A:$N,14,0)*1,0)</f>
        <v/>
      </c>
      <c r="AN16" s="29">
        <f>IFERROR(VLOOKUP(AA16,RULES!$A:$O,15,0)*1,0)</f>
        <v/>
      </c>
      <c r="AO16" s="29">
        <f>IF(N16&lt;&gt;"",N16,IFERROR(VLOOKUP(AA16,RULES!$A:$P,16,0),CONFIG!$B$8))</f>
        <v/>
      </c>
      <c r="AP16" s="29">
        <f>IF(IFERROR(VLOOKUP(AA16,RULES!$A:$Q,17,0),"")="",CONFIG!$B$13,VLOOKUP(AA16,RULES!$A:$Q,17,0))</f>
        <v/>
      </c>
      <c r="AQ16" s="29">
        <f>IF(IFERROR(VLOOKUP(AA16,RULES!$A:$R,18,0),"")="",CONFIG!$B$14,VLOOKUP(AA16,RULES!$A:$R,18,0))</f>
        <v/>
      </c>
      <c r="AR16" s="29">
        <f>IFERROR(VLOOKUP(AA16,RULES!$A:$S,19,0)*1,0)</f>
        <v/>
      </c>
      <c r="AS16" s="29">
        <f>IFERROR(VLOOKUP(AA16,RULES!$A:$T,20,0)*1,0)</f>
        <v/>
      </c>
      <c r="AT16" s="29">
        <f>IFERROR(VLOOKUP(AA16,RULES!$A:$U,21,0)*1,0)</f>
        <v/>
      </c>
      <c r="AU16" s="29">
        <f>IFERROR(VLOOKUP(AA16,RULES!$A:$V,22,0)*1,0)</f>
        <v/>
      </c>
      <c r="AV16" s="29">
        <f>IFERROR(VLOOKUP(AA16,RULES!$A:$W,23,0)*1,0)</f>
        <v/>
      </c>
      <c r="AW16" s="29">
        <f>IFERROR(IF(VLOOKUP(AA16,RULES!$A:$X,24,0)="",999999,VLOOKUP(AA16,RULES!$A:$X,24,0)*1),999999)</f>
        <v/>
      </c>
      <c r="AX16" s="29">
        <f>IFERROR(VLOOKUP(AA16,RULES!$A:$Y,25,0)*1,0)</f>
        <v/>
      </c>
      <c r="AY16" s="29">
        <f>IFERROR(VLOOKUP(AA16,RULES!$A:$Z,26,0),"NONE")</f>
        <v/>
      </c>
      <c r="AZ16" s="29">
        <f>IFERROR(VLOOKUP(AA16,RULES!$A:$AA,27,0)*1,0)</f>
        <v/>
      </c>
      <c r="BA16" s="29">
        <f>IFERROR(VLOOKUP(AA16,RULES!$A:$AB,28,0)*1,0)</f>
        <v/>
      </c>
    </row>
    <row r="17" ht="17" customHeight="1">
      <c r="A17" s="22" t="inlineStr">
        <is>
          <t>3714</t>
        </is>
      </c>
      <c r="B17" s="48" t="inlineStr">
        <is>
          <t>ACC007</t>
        </is>
      </c>
      <c r="C17" s="48" t="inlineStr">
        <is>
          <t>DEFAULT</t>
        </is>
      </c>
      <c r="D17" s="47" t="n"/>
      <c r="E17" s="22">
        <f>IF(OR(D17="",D17=0),"INACTIVE","ACTIVE")</f>
        <v/>
      </c>
      <c r="F17" s="48" t="inlineStr">
        <is>
          <t>NORMAL</t>
        </is>
      </c>
      <c r="G17" s="25" t="n"/>
      <c r="H17" s="25" t="n"/>
      <c r="I17" s="26">
        <f>IF(OR(E17="INACTIVE",H17=""),0,MAX(0,H17-G17))</f>
        <v/>
      </c>
      <c r="J17" s="23" t="n"/>
      <c r="K17" s="26">
        <f>IF(OR(E17="INACTIVE",H17=""),0,IF(AB17="DISABLED",0,IF(AB17="FLAT",AE17,IF(AB17="MANUAL",IF(J17="",0,J17*AC17),IF(AB17="STEP",IF(I17&lt;=AF17,I17*AG17,IF(I17&lt;=AH17,AF17*AG17+(I17-AF17)*AI17,AF17*AG17+(AH17-AF17)*AI17+(I17-AH17)*AK17)),MAX(I17*AC17,AD17))))))</f>
        <v/>
      </c>
      <c r="L17" s="26">
        <f>IF(OR(E17="INACTIVE",H17=""),0,IF(AL17="NONE",0,IF(AL17="FLAT",AM17,IF(AL17="PER_UNIT",I17*AN17,IF(AL17="MANUAL",IF(M17="",0,M17),0)))))</f>
        <v/>
      </c>
      <c r="M17" s="23" t="n"/>
      <c r="N17" s="48" t="inlineStr">
        <is>
          <t>NORMAL</t>
        </is>
      </c>
      <c r="O17" s="25" t="n"/>
      <c r="P17" s="25" t="n"/>
      <c r="Q17" s="26">
        <f>IF(OR(E17="INACTIVE",P17=""),0,MAX(0,P17-O17))</f>
        <v/>
      </c>
      <c r="R17" s="23" t="n"/>
      <c r="S17" s="26">
        <f>IF(OR(E17="INACTIVE",P17=""),0,IF(AO17="DISABLED",0,IF(AO17="FLAT",AR17,IF(AO17="MANUAL",IF(R17="",0,R17*AP17),IF(AO17="STEP",IF(Q17&lt;=AS17,Q17*AT17,IF(Q17&lt;=AU17,AS17*AT17+(Q17-AS17)*AV17,AS17*AT17+(AU17-AS17)*AV17+(Q17-AU17)*AX17)),MAX(Q17*AP17,AQ17))))))</f>
        <v/>
      </c>
      <c r="T17" s="26">
        <f>IF(OR(E17="INACTIVE",P17=""),0,IF(AY17="NONE",0,IF(AY17="FLAT",AZ17,IF(AY17="PER_UNIT",Q17*BA17,IF(AY17="MANUAL",IF(U17="",0,U17),0)))))</f>
        <v/>
      </c>
      <c r="U17" s="23" t="n"/>
      <c r="V17" s="25" t="n"/>
      <c r="W17" s="25" t="n"/>
      <c r="X17" s="26">
        <f>IF(E17="INACTIVE",0,D17+K17+L17+S17+T17+IF(V17="",0,V17)+IF(W17="",0,W17))</f>
        <v/>
      </c>
      <c r="Y17" s="27" t="n"/>
      <c r="Z17" s="28">
        <f>IF(E17="INACTIVE","_",IF(AND(G17&gt;0,H17&gt;0,H17&lt;G17),"[!]น้ำ reset ","")&amp;IF(AND(O17&gt;0,P17&gt;0,P17&lt;O17),"[!]ไฟ reset ","")&amp;IF(AND(F17="MANUAL",J17=""),"[X]units น้ำ ","")&amp;IF(AND(N17="MANUAL",R17=""),"[X]units ไฟ ","")&amp;IF(D17=0,"[!]ค่าเช่า=0",""))</f>
        <v/>
      </c>
      <c r="AA17" s="29">
        <f>IF(C17&lt;&gt;"",C17,CONFIG!$B$6)</f>
        <v/>
      </c>
      <c r="AB17" s="29">
        <f>IF(F17&lt;&gt;"",F17,IFERROR(VLOOKUP(AA17,RULES!$A:$C,3,0),CONFIG!$B$7))</f>
        <v/>
      </c>
      <c r="AC17" s="29">
        <f>IF(IFERROR(VLOOKUP(AA17,RULES!$A:$D,4,0),"")="",CONFIG!$B$10,VLOOKUP(AA17,RULES!$A:$D,4,0))</f>
        <v/>
      </c>
      <c r="AD17" s="29">
        <f>IF(IFERROR(VLOOKUP(AA17,RULES!$A:$E,5,0),"")="",CONFIG!$B$11,VLOOKUP(AA17,RULES!$A:$E,5,0))</f>
        <v/>
      </c>
      <c r="AE17" s="29">
        <f>IFERROR(VLOOKUP(AA17,RULES!$A:$F,6,0)*1,0)</f>
        <v/>
      </c>
      <c r="AF17" s="29">
        <f>IFERROR(VLOOKUP(AA17,RULES!$A:$G,7,0)*1,0)</f>
        <v/>
      </c>
      <c r="AG17" s="29">
        <f>IFERROR(VLOOKUP(AA17,RULES!$A:$H,8,0)*1,0)</f>
        <v/>
      </c>
      <c r="AH17" s="29">
        <f>IFERROR(VLOOKUP(AA17,RULES!$A:$I,9,0)*1,0)</f>
        <v/>
      </c>
      <c r="AI17" s="29">
        <f>IFERROR(VLOOKUP(AA17,RULES!$A:$J,10,0)*1,0)</f>
        <v/>
      </c>
      <c r="AJ17" s="29">
        <f>IFERROR(IF(VLOOKUP(AA17,RULES!$A:$K,11,0)="",999999,VLOOKUP(AA17,RULES!$A:$K,11,0)*1),999999)</f>
        <v/>
      </c>
      <c r="AK17" s="29">
        <f>IFERROR(VLOOKUP(AA17,RULES!$A:$L,12,0)*1,0)</f>
        <v/>
      </c>
      <c r="AL17" s="29">
        <f>IFERROR(VLOOKUP(AA17,RULES!$A:$M,13,0),"NONE")</f>
        <v/>
      </c>
      <c r="AM17" s="29">
        <f>IFERROR(VLOOKUP(AA17,RULES!$A:$N,14,0)*1,0)</f>
        <v/>
      </c>
      <c r="AN17" s="29">
        <f>IFERROR(VLOOKUP(AA17,RULES!$A:$O,15,0)*1,0)</f>
        <v/>
      </c>
      <c r="AO17" s="29">
        <f>IF(N17&lt;&gt;"",N17,IFERROR(VLOOKUP(AA17,RULES!$A:$P,16,0),CONFIG!$B$8))</f>
        <v/>
      </c>
      <c r="AP17" s="29">
        <f>IF(IFERROR(VLOOKUP(AA17,RULES!$A:$Q,17,0),"")="",CONFIG!$B$13,VLOOKUP(AA17,RULES!$A:$Q,17,0))</f>
        <v/>
      </c>
      <c r="AQ17" s="29">
        <f>IF(IFERROR(VLOOKUP(AA17,RULES!$A:$R,18,0),"")="",CONFIG!$B$14,VLOOKUP(AA17,RULES!$A:$R,18,0))</f>
        <v/>
      </c>
      <c r="AR17" s="29">
        <f>IFERROR(VLOOKUP(AA17,RULES!$A:$S,19,0)*1,0)</f>
        <v/>
      </c>
      <c r="AS17" s="29">
        <f>IFERROR(VLOOKUP(AA17,RULES!$A:$T,20,0)*1,0)</f>
        <v/>
      </c>
      <c r="AT17" s="29">
        <f>IFERROR(VLOOKUP(AA17,RULES!$A:$U,21,0)*1,0)</f>
        <v/>
      </c>
      <c r="AU17" s="29">
        <f>IFERROR(VLOOKUP(AA17,RULES!$A:$V,22,0)*1,0)</f>
        <v/>
      </c>
      <c r="AV17" s="29">
        <f>IFERROR(VLOOKUP(AA17,RULES!$A:$W,23,0)*1,0)</f>
        <v/>
      </c>
      <c r="AW17" s="29">
        <f>IFERROR(IF(VLOOKUP(AA17,RULES!$A:$X,24,0)="",999999,VLOOKUP(AA17,RULES!$A:$X,24,0)*1),999999)</f>
        <v/>
      </c>
      <c r="AX17" s="29">
        <f>IFERROR(VLOOKUP(AA17,RULES!$A:$Y,25,0)*1,0)</f>
        <v/>
      </c>
      <c r="AY17" s="29">
        <f>IFERROR(VLOOKUP(AA17,RULES!$A:$Z,26,0),"NONE")</f>
        <v/>
      </c>
      <c r="AZ17" s="29">
        <f>IFERROR(VLOOKUP(AA17,RULES!$A:$AA,27,0)*1,0)</f>
        <v/>
      </c>
      <c r="BA17" s="29">
        <f>IFERROR(VLOOKUP(AA17,RULES!$A:$AB,28,0)*1,0)</f>
        <v/>
      </c>
    </row>
    <row r="18" ht="17" customHeight="1">
      <c r="A18" s="22" t="inlineStr">
        <is>
          <t>3715</t>
        </is>
      </c>
      <c r="B18" s="48" t="inlineStr">
        <is>
          <t>ACC007</t>
        </is>
      </c>
      <c r="C18" s="48" t="inlineStr">
        <is>
          <t>DEFAULT</t>
        </is>
      </c>
      <c r="D18" s="47" t="n"/>
      <c r="E18" s="22">
        <f>IF(OR(D18="",D18=0),"INACTIVE","ACTIVE")</f>
        <v/>
      </c>
      <c r="F18" s="48" t="inlineStr">
        <is>
          <t>NORMAL</t>
        </is>
      </c>
      <c r="G18" s="25" t="n"/>
      <c r="H18" s="25" t="n"/>
      <c r="I18" s="26">
        <f>IF(OR(E18="INACTIVE",H18=""),0,MAX(0,H18-G18))</f>
        <v/>
      </c>
      <c r="J18" s="23" t="n"/>
      <c r="K18" s="26">
        <f>IF(OR(E18="INACTIVE",H18=""),0,IF(AB18="DISABLED",0,IF(AB18="FLAT",AE18,IF(AB18="MANUAL",IF(J18="",0,J18*AC18),IF(AB18="STEP",IF(I18&lt;=AF18,I18*AG18,IF(I18&lt;=AH18,AF18*AG18+(I18-AF18)*AI18,AF18*AG18+(AH18-AF18)*AI18+(I18-AH18)*AK18)),MAX(I18*AC18,AD18))))))</f>
        <v/>
      </c>
      <c r="L18" s="26">
        <f>IF(OR(E18="INACTIVE",H18=""),0,IF(AL18="NONE",0,IF(AL18="FLAT",AM18,IF(AL18="PER_UNIT",I18*AN18,IF(AL18="MANUAL",IF(M18="",0,M18),0)))))</f>
        <v/>
      </c>
      <c r="M18" s="23" t="n"/>
      <c r="N18" s="48" t="inlineStr">
        <is>
          <t>NORMAL</t>
        </is>
      </c>
      <c r="O18" s="25" t="n"/>
      <c r="P18" s="25" t="n"/>
      <c r="Q18" s="26">
        <f>IF(OR(E18="INACTIVE",P18=""),0,MAX(0,P18-O18))</f>
        <v/>
      </c>
      <c r="R18" s="23" t="n"/>
      <c r="S18" s="26">
        <f>IF(OR(E18="INACTIVE",P18=""),0,IF(AO18="DISABLED",0,IF(AO18="FLAT",AR18,IF(AO18="MANUAL",IF(R18="",0,R18*AP18),IF(AO18="STEP",IF(Q18&lt;=AS18,Q18*AT18,IF(Q18&lt;=AU18,AS18*AT18+(Q18-AS18)*AV18,AS18*AT18+(AU18-AS18)*AV18+(Q18-AU18)*AX18)),MAX(Q18*AP18,AQ18))))))</f>
        <v/>
      </c>
      <c r="T18" s="26">
        <f>IF(OR(E18="INACTIVE",P18=""),0,IF(AY18="NONE",0,IF(AY18="FLAT",AZ18,IF(AY18="PER_UNIT",Q18*BA18,IF(AY18="MANUAL",IF(U18="",0,U18),0)))))</f>
        <v/>
      </c>
      <c r="U18" s="23" t="n"/>
      <c r="V18" s="25" t="n"/>
      <c r="W18" s="25" t="n"/>
      <c r="X18" s="26">
        <f>IF(E18="INACTIVE",0,D18+K18+L18+S18+T18+IF(V18="",0,V18)+IF(W18="",0,W18))</f>
        <v/>
      </c>
      <c r="Y18" s="27" t="n"/>
      <c r="Z18" s="28">
        <f>IF(E18="INACTIVE","_",IF(AND(G18&gt;0,H18&gt;0,H18&lt;G18),"[!]น้ำ reset ","")&amp;IF(AND(O18&gt;0,P18&gt;0,P18&lt;O18),"[!]ไฟ reset ","")&amp;IF(AND(F18="MANUAL",J18=""),"[X]units น้ำ ","")&amp;IF(AND(N18="MANUAL",R18=""),"[X]units ไฟ ","")&amp;IF(D18=0,"[!]ค่าเช่า=0",""))</f>
        <v/>
      </c>
      <c r="AA18" s="29">
        <f>IF(C18&lt;&gt;"",C18,CONFIG!$B$6)</f>
        <v/>
      </c>
      <c r="AB18" s="29">
        <f>IF(F18&lt;&gt;"",F18,IFERROR(VLOOKUP(AA18,RULES!$A:$C,3,0),CONFIG!$B$7))</f>
        <v/>
      </c>
      <c r="AC18" s="29">
        <f>IF(IFERROR(VLOOKUP(AA18,RULES!$A:$D,4,0),"")="",CONFIG!$B$10,VLOOKUP(AA18,RULES!$A:$D,4,0))</f>
        <v/>
      </c>
      <c r="AD18" s="29">
        <f>IF(IFERROR(VLOOKUP(AA18,RULES!$A:$E,5,0),"")="",CONFIG!$B$11,VLOOKUP(AA18,RULES!$A:$E,5,0))</f>
        <v/>
      </c>
      <c r="AE18" s="29">
        <f>IFERROR(VLOOKUP(AA18,RULES!$A:$F,6,0)*1,0)</f>
        <v/>
      </c>
      <c r="AF18" s="29">
        <f>IFERROR(VLOOKUP(AA18,RULES!$A:$G,7,0)*1,0)</f>
        <v/>
      </c>
      <c r="AG18" s="29">
        <f>IFERROR(VLOOKUP(AA18,RULES!$A:$H,8,0)*1,0)</f>
        <v/>
      </c>
      <c r="AH18" s="29">
        <f>IFERROR(VLOOKUP(AA18,RULES!$A:$I,9,0)*1,0)</f>
        <v/>
      </c>
      <c r="AI18" s="29">
        <f>IFERROR(VLOOKUP(AA18,RULES!$A:$J,10,0)*1,0)</f>
        <v/>
      </c>
      <c r="AJ18" s="29">
        <f>IFERROR(IF(VLOOKUP(AA18,RULES!$A:$K,11,0)="",999999,VLOOKUP(AA18,RULES!$A:$K,11,0)*1),999999)</f>
        <v/>
      </c>
      <c r="AK18" s="29">
        <f>IFERROR(VLOOKUP(AA18,RULES!$A:$L,12,0)*1,0)</f>
        <v/>
      </c>
      <c r="AL18" s="29">
        <f>IFERROR(VLOOKUP(AA18,RULES!$A:$M,13,0),"NONE")</f>
        <v/>
      </c>
      <c r="AM18" s="29">
        <f>IFERROR(VLOOKUP(AA18,RULES!$A:$N,14,0)*1,0)</f>
        <v/>
      </c>
      <c r="AN18" s="29">
        <f>IFERROR(VLOOKUP(AA18,RULES!$A:$O,15,0)*1,0)</f>
        <v/>
      </c>
      <c r="AO18" s="29">
        <f>IF(N18&lt;&gt;"",N18,IFERROR(VLOOKUP(AA18,RULES!$A:$P,16,0),CONFIG!$B$8))</f>
        <v/>
      </c>
      <c r="AP18" s="29">
        <f>IF(IFERROR(VLOOKUP(AA18,RULES!$A:$Q,17,0),"")="",CONFIG!$B$13,VLOOKUP(AA18,RULES!$A:$Q,17,0))</f>
        <v/>
      </c>
      <c r="AQ18" s="29">
        <f>IF(IFERROR(VLOOKUP(AA18,RULES!$A:$R,18,0),"")="",CONFIG!$B$14,VLOOKUP(AA18,RULES!$A:$R,18,0))</f>
        <v/>
      </c>
      <c r="AR18" s="29">
        <f>IFERROR(VLOOKUP(AA18,RULES!$A:$S,19,0)*1,0)</f>
        <v/>
      </c>
      <c r="AS18" s="29">
        <f>IFERROR(VLOOKUP(AA18,RULES!$A:$T,20,0)*1,0)</f>
        <v/>
      </c>
      <c r="AT18" s="29">
        <f>IFERROR(VLOOKUP(AA18,RULES!$A:$U,21,0)*1,0)</f>
        <v/>
      </c>
      <c r="AU18" s="29">
        <f>IFERROR(VLOOKUP(AA18,RULES!$A:$V,22,0)*1,0)</f>
        <v/>
      </c>
      <c r="AV18" s="29">
        <f>IFERROR(VLOOKUP(AA18,RULES!$A:$W,23,0)*1,0)</f>
        <v/>
      </c>
      <c r="AW18" s="29">
        <f>IFERROR(IF(VLOOKUP(AA18,RULES!$A:$X,24,0)="",999999,VLOOKUP(AA18,RULES!$A:$X,24,0)*1),999999)</f>
        <v/>
      </c>
      <c r="AX18" s="29">
        <f>IFERROR(VLOOKUP(AA18,RULES!$A:$Y,25,0)*1,0)</f>
        <v/>
      </c>
      <c r="AY18" s="29">
        <f>IFERROR(VLOOKUP(AA18,RULES!$A:$Z,26,0),"NONE")</f>
        <v/>
      </c>
      <c r="AZ18" s="29">
        <f>IFERROR(VLOOKUP(AA18,RULES!$A:$AA,27,0)*1,0)</f>
        <v/>
      </c>
      <c r="BA18" s="29">
        <f>IFERROR(VLOOKUP(AA18,RULES!$A:$AB,28,0)*1,0)</f>
        <v/>
      </c>
    </row>
    <row r="19" ht="17" customHeight="1">
      <c r="A19" s="22" t="inlineStr">
        <is>
          <t>3716</t>
        </is>
      </c>
      <c r="B19" s="48" t="inlineStr">
        <is>
          <t>ACC007</t>
        </is>
      </c>
      <c r="C19" s="48" t="inlineStr">
        <is>
          <t>DEFAULT</t>
        </is>
      </c>
      <c r="D19" s="47" t="n"/>
      <c r="E19" s="22">
        <f>IF(OR(D19="",D19=0),"INACTIVE","ACTIVE")</f>
        <v/>
      </c>
      <c r="F19" s="48" t="inlineStr">
        <is>
          <t>NORMAL</t>
        </is>
      </c>
      <c r="G19" s="25" t="n"/>
      <c r="H19" s="25" t="n"/>
      <c r="I19" s="26">
        <f>IF(OR(E19="INACTIVE",H19=""),0,MAX(0,H19-G19))</f>
        <v/>
      </c>
      <c r="J19" s="23" t="n"/>
      <c r="K19" s="26">
        <f>IF(OR(E19="INACTIVE",H19=""),0,IF(AB19="DISABLED",0,IF(AB19="FLAT",AE19,IF(AB19="MANUAL",IF(J19="",0,J19*AC19),IF(AB19="STEP",IF(I19&lt;=AF19,I19*AG19,IF(I19&lt;=AH19,AF19*AG19+(I19-AF19)*AI19,AF19*AG19+(AH19-AF19)*AI19+(I19-AH19)*AK19)),MAX(I19*AC19,AD19))))))</f>
        <v/>
      </c>
      <c r="L19" s="26">
        <f>IF(OR(E19="INACTIVE",H19=""),0,IF(AL19="NONE",0,IF(AL19="FLAT",AM19,IF(AL19="PER_UNIT",I19*AN19,IF(AL19="MANUAL",IF(M19="",0,M19),0)))))</f>
        <v/>
      </c>
      <c r="M19" s="23" t="n"/>
      <c r="N19" s="48" t="inlineStr">
        <is>
          <t>NORMAL</t>
        </is>
      </c>
      <c r="O19" s="25" t="n"/>
      <c r="P19" s="25" t="n"/>
      <c r="Q19" s="26">
        <f>IF(OR(E19="INACTIVE",P19=""),0,MAX(0,P19-O19))</f>
        <v/>
      </c>
      <c r="R19" s="23" t="n"/>
      <c r="S19" s="26">
        <f>IF(OR(E19="INACTIVE",P19=""),0,IF(AO19="DISABLED",0,IF(AO19="FLAT",AR19,IF(AO19="MANUAL",IF(R19="",0,R19*AP19),IF(AO19="STEP",IF(Q19&lt;=AS19,Q19*AT19,IF(Q19&lt;=AU19,AS19*AT19+(Q19-AS19)*AV19,AS19*AT19+(AU19-AS19)*AV19+(Q19-AU19)*AX19)),MAX(Q19*AP19,AQ19))))))</f>
        <v/>
      </c>
      <c r="T19" s="26">
        <f>IF(OR(E19="INACTIVE",P19=""),0,IF(AY19="NONE",0,IF(AY19="FLAT",AZ19,IF(AY19="PER_UNIT",Q19*BA19,IF(AY19="MANUAL",IF(U19="",0,U19),0)))))</f>
        <v/>
      </c>
      <c r="U19" s="23" t="n"/>
      <c r="V19" s="25" t="n"/>
      <c r="W19" s="25" t="n"/>
      <c r="X19" s="26">
        <f>IF(E19="INACTIVE",0,D19+K19+L19+S19+T19+IF(V19="",0,V19)+IF(W19="",0,W19))</f>
        <v/>
      </c>
      <c r="Y19" s="27" t="n"/>
      <c r="Z19" s="28">
        <f>IF(E19="INACTIVE","_",IF(AND(G19&gt;0,H19&gt;0,H19&lt;G19),"[!]น้ำ reset ","")&amp;IF(AND(O19&gt;0,P19&gt;0,P19&lt;O19),"[!]ไฟ reset ","")&amp;IF(AND(F19="MANUAL",J19=""),"[X]units น้ำ ","")&amp;IF(AND(N19="MANUAL",R19=""),"[X]units ไฟ ","")&amp;IF(D19=0,"[!]ค่าเช่า=0",""))</f>
        <v/>
      </c>
      <c r="AA19" s="29">
        <f>IF(C19&lt;&gt;"",C19,CONFIG!$B$6)</f>
        <v/>
      </c>
      <c r="AB19" s="29">
        <f>IF(F19&lt;&gt;"",F19,IFERROR(VLOOKUP(AA19,RULES!$A:$C,3,0),CONFIG!$B$7))</f>
        <v/>
      </c>
      <c r="AC19" s="29">
        <f>IF(IFERROR(VLOOKUP(AA19,RULES!$A:$D,4,0),"")="",CONFIG!$B$10,VLOOKUP(AA19,RULES!$A:$D,4,0))</f>
        <v/>
      </c>
      <c r="AD19" s="29">
        <f>IF(IFERROR(VLOOKUP(AA19,RULES!$A:$E,5,0),"")="",CONFIG!$B$11,VLOOKUP(AA19,RULES!$A:$E,5,0))</f>
        <v/>
      </c>
      <c r="AE19" s="29">
        <f>IFERROR(VLOOKUP(AA19,RULES!$A:$F,6,0)*1,0)</f>
        <v/>
      </c>
      <c r="AF19" s="29">
        <f>IFERROR(VLOOKUP(AA19,RULES!$A:$G,7,0)*1,0)</f>
        <v/>
      </c>
      <c r="AG19" s="29">
        <f>IFERROR(VLOOKUP(AA19,RULES!$A:$H,8,0)*1,0)</f>
        <v/>
      </c>
      <c r="AH19" s="29">
        <f>IFERROR(VLOOKUP(AA19,RULES!$A:$I,9,0)*1,0)</f>
        <v/>
      </c>
      <c r="AI19" s="29">
        <f>IFERROR(VLOOKUP(AA19,RULES!$A:$J,10,0)*1,0)</f>
        <v/>
      </c>
      <c r="AJ19" s="29">
        <f>IFERROR(IF(VLOOKUP(AA19,RULES!$A:$K,11,0)="",999999,VLOOKUP(AA19,RULES!$A:$K,11,0)*1),999999)</f>
        <v/>
      </c>
      <c r="AK19" s="29">
        <f>IFERROR(VLOOKUP(AA19,RULES!$A:$L,12,0)*1,0)</f>
        <v/>
      </c>
      <c r="AL19" s="29">
        <f>IFERROR(VLOOKUP(AA19,RULES!$A:$M,13,0),"NONE")</f>
        <v/>
      </c>
      <c r="AM19" s="29">
        <f>IFERROR(VLOOKUP(AA19,RULES!$A:$N,14,0)*1,0)</f>
        <v/>
      </c>
      <c r="AN19" s="29">
        <f>IFERROR(VLOOKUP(AA19,RULES!$A:$O,15,0)*1,0)</f>
        <v/>
      </c>
      <c r="AO19" s="29">
        <f>IF(N19&lt;&gt;"",N19,IFERROR(VLOOKUP(AA19,RULES!$A:$P,16,0),CONFIG!$B$8))</f>
        <v/>
      </c>
      <c r="AP19" s="29">
        <f>IF(IFERROR(VLOOKUP(AA19,RULES!$A:$Q,17,0),"")="",CONFIG!$B$13,VLOOKUP(AA19,RULES!$A:$Q,17,0))</f>
        <v/>
      </c>
      <c r="AQ19" s="29">
        <f>IF(IFERROR(VLOOKUP(AA19,RULES!$A:$R,18,0),"")="",CONFIG!$B$14,VLOOKUP(AA19,RULES!$A:$R,18,0))</f>
        <v/>
      </c>
      <c r="AR19" s="29">
        <f>IFERROR(VLOOKUP(AA19,RULES!$A:$S,19,0)*1,0)</f>
        <v/>
      </c>
      <c r="AS19" s="29">
        <f>IFERROR(VLOOKUP(AA19,RULES!$A:$T,20,0)*1,0)</f>
        <v/>
      </c>
      <c r="AT19" s="29">
        <f>IFERROR(VLOOKUP(AA19,RULES!$A:$U,21,0)*1,0)</f>
        <v/>
      </c>
      <c r="AU19" s="29">
        <f>IFERROR(VLOOKUP(AA19,RULES!$A:$V,22,0)*1,0)</f>
        <v/>
      </c>
      <c r="AV19" s="29">
        <f>IFERROR(VLOOKUP(AA19,RULES!$A:$W,23,0)*1,0)</f>
        <v/>
      </c>
      <c r="AW19" s="29">
        <f>IFERROR(IF(VLOOKUP(AA19,RULES!$A:$X,24,0)="",999999,VLOOKUP(AA19,RULES!$A:$X,24,0)*1),999999)</f>
        <v/>
      </c>
      <c r="AX19" s="29">
        <f>IFERROR(VLOOKUP(AA19,RULES!$A:$Y,25,0)*1,0)</f>
        <v/>
      </c>
      <c r="AY19" s="29">
        <f>IFERROR(VLOOKUP(AA19,RULES!$A:$Z,26,0),"NONE")</f>
        <v/>
      </c>
      <c r="AZ19" s="29">
        <f>IFERROR(VLOOKUP(AA19,RULES!$A:$AA,27,0)*1,0)</f>
        <v/>
      </c>
      <c r="BA19" s="29">
        <f>IFERROR(VLOOKUP(AA19,RULES!$A:$AB,28,0)*1,0)</f>
        <v/>
      </c>
    </row>
    <row r="20" ht="17" customHeight="1">
      <c r="A20" s="22" t="inlineStr">
        <is>
          <t>3717</t>
        </is>
      </c>
      <c r="B20" s="48" t="inlineStr">
        <is>
          <t>ACC007</t>
        </is>
      </c>
      <c r="C20" s="48" t="inlineStr">
        <is>
          <t>DEFAULT</t>
        </is>
      </c>
      <c r="D20" s="47" t="n"/>
      <c r="E20" s="22">
        <f>IF(OR(D20="",D20=0),"INACTIVE","ACTIVE")</f>
        <v/>
      </c>
      <c r="F20" s="48" t="inlineStr">
        <is>
          <t>NORMAL</t>
        </is>
      </c>
      <c r="G20" s="25" t="n"/>
      <c r="H20" s="25" t="n"/>
      <c r="I20" s="26">
        <f>IF(OR(E20="INACTIVE",H20=""),0,MAX(0,H20-G20))</f>
        <v/>
      </c>
      <c r="J20" s="23" t="n"/>
      <c r="K20" s="26">
        <f>IF(OR(E20="INACTIVE",H20=""),0,IF(AB20="DISABLED",0,IF(AB20="FLAT",AE20,IF(AB20="MANUAL",IF(J20="",0,J20*AC20),IF(AB20="STEP",IF(I20&lt;=AF20,I20*AG20,IF(I20&lt;=AH20,AF20*AG20+(I20-AF20)*AI20,AF20*AG20+(AH20-AF20)*AI20+(I20-AH20)*AK20)),MAX(I20*AC20,AD20))))))</f>
        <v/>
      </c>
      <c r="L20" s="26">
        <f>IF(OR(E20="INACTIVE",H20=""),0,IF(AL20="NONE",0,IF(AL20="FLAT",AM20,IF(AL20="PER_UNIT",I20*AN20,IF(AL20="MANUAL",IF(M20="",0,M20),0)))))</f>
        <v/>
      </c>
      <c r="M20" s="23" t="n"/>
      <c r="N20" s="48" t="inlineStr">
        <is>
          <t>NORMAL</t>
        </is>
      </c>
      <c r="O20" s="25" t="n"/>
      <c r="P20" s="25" t="n"/>
      <c r="Q20" s="26">
        <f>IF(OR(E20="INACTIVE",P20=""),0,MAX(0,P20-O20))</f>
        <v/>
      </c>
      <c r="R20" s="23" t="n"/>
      <c r="S20" s="26">
        <f>IF(OR(E20="INACTIVE",P20=""),0,IF(AO20="DISABLED",0,IF(AO20="FLAT",AR20,IF(AO20="MANUAL",IF(R20="",0,R20*AP20),IF(AO20="STEP",IF(Q20&lt;=AS20,Q20*AT20,IF(Q20&lt;=AU20,AS20*AT20+(Q20-AS20)*AV20,AS20*AT20+(AU20-AS20)*AV20+(Q20-AU20)*AX20)),MAX(Q20*AP20,AQ20))))))</f>
        <v/>
      </c>
      <c r="T20" s="26">
        <f>IF(OR(E20="INACTIVE",P20=""),0,IF(AY20="NONE",0,IF(AY20="FLAT",AZ20,IF(AY20="PER_UNIT",Q20*BA20,IF(AY20="MANUAL",IF(U20="",0,U20),0)))))</f>
        <v/>
      </c>
      <c r="U20" s="23" t="n"/>
      <c r="V20" s="25" t="n"/>
      <c r="W20" s="25" t="n"/>
      <c r="X20" s="26">
        <f>IF(E20="INACTIVE",0,D20+K20+L20+S20+T20+IF(V20="",0,V20)+IF(W20="",0,W20))</f>
        <v/>
      </c>
      <c r="Y20" s="27" t="n"/>
      <c r="Z20" s="28">
        <f>IF(E20="INACTIVE","_",IF(AND(G20&gt;0,H20&gt;0,H20&lt;G20),"[!]น้ำ reset ","")&amp;IF(AND(O20&gt;0,P20&gt;0,P20&lt;O20),"[!]ไฟ reset ","")&amp;IF(AND(F20="MANUAL",J20=""),"[X]units น้ำ ","")&amp;IF(AND(N20="MANUAL",R20=""),"[X]units ไฟ ","")&amp;IF(D20=0,"[!]ค่าเช่า=0",""))</f>
        <v/>
      </c>
      <c r="AA20" s="29">
        <f>IF(C20&lt;&gt;"",C20,CONFIG!$B$6)</f>
        <v/>
      </c>
      <c r="AB20" s="29">
        <f>IF(F20&lt;&gt;"",F20,IFERROR(VLOOKUP(AA20,RULES!$A:$C,3,0),CONFIG!$B$7))</f>
        <v/>
      </c>
      <c r="AC20" s="29">
        <f>IF(IFERROR(VLOOKUP(AA20,RULES!$A:$D,4,0),"")="",CONFIG!$B$10,VLOOKUP(AA20,RULES!$A:$D,4,0))</f>
        <v/>
      </c>
      <c r="AD20" s="29">
        <f>IF(IFERROR(VLOOKUP(AA20,RULES!$A:$E,5,0),"")="",CONFIG!$B$11,VLOOKUP(AA20,RULES!$A:$E,5,0))</f>
        <v/>
      </c>
      <c r="AE20" s="29">
        <f>IFERROR(VLOOKUP(AA20,RULES!$A:$F,6,0)*1,0)</f>
        <v/>
      </c>
      <c r="AF20" s="29">
        <f>IFERROR(VLOOKUP(AA20,RULES!$A:$G,7,0)*1,0)</f>
        <v/>
      </c>
      <c r="AG20" s="29">
        <f>IFERROR(VLOOKUP(AA20,RULES!$A:$H,8,0)*1,0)</f>
        <v/>
      </c>
      <c r="AH20" s="29">
        <f>IFERROR(VLOOKUP(AA20,RULES!$A:$I,9,0)*1,0)</f>
        <v/>
      </c>
      <c r="AI20" s="29">
        <f>IFERROR(VLOOKUP(AA20,RULES!$A:$J,10,0)*1,0)</f>
        <v/>
      </c>
      <c r="AJ20" s="29">
        <f>IFERROR(IF(VLOOKUP(AA20,RULES!$A:$K,11,0)="",999999,VLOOKUP(AA20,RULES!$A:$K,11,0)*1),999999)</f>
        <v/>
      </c>
      <c r="AK20" s="29">
        <f>IFERROR(VLOOKUP(AA20,RULES!$A:$L,12,0)*1,0)</f>
        <v/>
      </c>
      <c r="AL20" s="29">
        <f>IFERROR(VLOOKUP(AA20,RULES!$A:$M,13,0),"NONE")</f>
        <v/>
      </c>
      <c r="AM20" s="29">
        <f>IFERROR(VLOOKUP(AA20,RULES!$A:$N,14,0)*1,0)</f>
        <v/>
      </c>
      <c r="AN20" s="29">
        <f>IFERROR(VLOOKUP(AA20,RULES!$A:$O,15,0)*1,0)</f>
        <v/>
      </c>
      <c r="AO20" s="29">
        <f>IF(N20&lt;&gt;"",N20,IFERROR(VLOOKUP(AA20,RULES!$A:$P,16,0),CONFIG!$B$8))</f>
        <v/>
      </c>
      <c r="AP20" s="29">
        <f>IF(IFERROR(VLOOKUP(AA20,RULES!$A:$Q,17,0),"")="",CONFIG!$B$13,VLOOKUP(AA20,RULES!$A:$Q,17,0))</f>
        <v/>
      </c>
      <c r="AQ20" s="29">
        <f>IF(IFERROR(VLOOKUP(AA20,RULES!$A:$R,18,0),"")="",CONFIG!$B$14,VLOOKUP(AA20,RULES!$A:$R,18,0))</f>
        <v/>
      </c>
      <c r="AR20" s="29">
        <f>IFERROR(VLOOKUP(AA20,RULES!$A:$S,19,0)*1,0)</f>
        <v/>
      </c>
      <c r="AS20" s="29">
        <f>IFERROR(VLOOKUP(AA20,RULES!$A:$T,20,0)*1,0)</f>
        <v/>
      </c>
      <c r="AT20" s="29">
        <f>IFERROR(VLOOKUP(AA20,RULES!$A:$U,21,0)*1,0)</f>
        <v/>
      </c>
      <c r="AU20" s="29">
        <f>IFERROR(VLOOKUP(AA20,RULES!$A:$V,22,0)*1,0)</f>
        <v/>
      </c>
      <c r="AV20" s="29">
        <f>IFERROR(VLOOKUP(AA20,RULES!$A:$W,23,0)*1,0)</f>
        <v/>
      </c>
      <c r="AW20" s="29">
        <f>IFERROR(IF(VLOOKUP(AA20,RULES!$A:$X,24,0)="",999999,VLOOKUP(AA20,RULES!$A:$X,24,0)*1),999999)</f>
        <v/>
      </c>
      <c r="AX20" s="29">
        <f>IFERROR(VLOOKUP(AA20,RULES!$A:$Y,25,0)*1,0)</f>
        <v/>
      </c>
      <c r="AY20" s="29">
        <f>IFERROR(VLOOKUP(AA20,RULES!$A:$Z,26,0),"NONE")</f>
        <v/>
      </c>
      <c r="AZ20" s="29">
        <f>IFERROR(VLOOKUP(AA20,RULES!$A:$AA,27,0)*1,0)</f>
        <v/>
      </c>
      <c r="BA20" s="29">
        <f>IFERROR(VLOOKUP(AA20,RULES!$A:$AB,28,0)*1,0)</f>
        <v/>
      </c>
    </row>
    <row r="21" ht="17" customHeight="1">
      <c r="A21" s="22" t="inlineStr">
        <is>
          <t>3718</t>
        </is>
      </c>
      <c r="B21" s="48" t="inlineStr">
        <is>
          <t>ACC007</t>
        </is>
      </c>
      <c r="C21" s="48" t="inlineStr">
        <is>
          <t>DEFAULT</t>
        </is>
      </c>
      <c r="D21" s="47" t="n"/>
      <c r="E21" s="22">
        <f>IF(OR(D21="",D21=0),"INACTIVE","ACTIVE")</f>
        <v/>
      </c>
      <c r="F21" s="48" t="inlineStr">
        <is>
          <t>NORMAL</t>
        </is>
      </c>
      <c r="G21" s="25" t="n"/>
      <c r="H21" s="25" t="n"/>
      <c r="I21" s="26">
        <f>IF(OR(E21="INACTIVE",H21=""),0,MAX(0,H21-G21))</f>
        <v/>
      </c>
      <c r="J21" s="23" t="n"/>
      <c r="K21" s="26">
        <f>IF(OR(E21="INACTIVE",H21=""),0,IF(AB21="DISABLED",0,IF(AB21="FLAT",AE21,IF(AB21="MANUAL",IF(J21="",0,J21*AC21),IF(AB21="STEP",IF(I21&lt;=AF21,I21*AG21,IF(I21&lt;=AH21,AF21*AG21+(I21-AF21)*AI21,AF21*AG21+(AH21-AF21)*AI21+(I21-AH21)*AK21)),MAX(I21*AC21,AD21))))))</f>
        <v/>
      </c>
      <c r="L21" s="26">
        <f>IF(OR(E21="INACTIVE",H21=""),0,IF(AL21="NONE",0,IF(AL21="FLAT",AM21,IF(AL21="PER_UNIT",I21*AN21,IF(AL21="MANUAL",IF(M21="",0,M21),0)))))</f>
        <v/>
      </c>
      <c r="M21" s="23" t="n"/>
      <c r="N21" s="48" t="inlineStr">
        <is>
          <t>NORMAL</t>
        </is>
      </c>
      <c r="O21" s="25" t="n"/>
      <c r="P21" s="25" t="n"/>
      <c r="Q21" s="26">
        <f>IF(OR(E21="INACTIVE",P21=""),0,MAX(0,P21-O21))</f>
        <v/>
      </c>
      <c r="R21" s="23" t="n"/>
      <c r="S21" s="26">
        <f>IF(OR(E21="INACTIVE",P21=""),0,IF(AO21="DISABLED",0,IF(AO21="FLAT",AR21,IF(AO21="MANUAL",IF(R21="",0,R21*AP21),IF(AO21="STEP",IF(Q21&lt;=AS21,Q21*AT21,IF(Q21&lt;=AU21,AS21*AT21+(Q21-AS21)*AV21,AS21*AT21+(AU21-AS21)*AV21+(Q21-AU21)*AX21)),MAX(Q21*AP21,AQ21))))))</f>
        <v/>
      </c>
      <c r="T21" s="26">
        <f>IF(OR(E21="INACTIVE",P21=""),0,IF(AY21="NONE",0,IF(AY21="FLAT",AZ21,IF(AY21="PER_UNIT",Q21*BA21,IF(AY21="MANUAL",IF(U21="",0,U21),0)))))</f>
        <v/>
      </c>
      <c r="U21" s="23" t="n"/>
      <c r="V21" s="25" t="n"/>
      <c r="W21" s="25" t="n"/>
      <c r="X21" s="26">
        <f>IF(E21="INACTIVE",0,D21+K21+L21+S21+T21+IF(V21="",0,V21)+IF(W21="",0,W21))</f>
        <v/>
      </c>
      <c r="Y21" s="27" t="n"/>
      <c r="Z21" s="28">
        <f>IF(E21="INACTIVE","_",IF(AND(G21&gt;0,H21&gt;0,H21&lt;G21),"[!]น้ำ reset ","")&amp;IF(AND(O21&gt;0,P21&gt;0,P21&lt;O21),"[!]ไฟ reset ","")&amp;IF(AND(F21="MANUAL",J21=""),"[X]units น้ำ ","")&amp;IF(AND(N21="MANUAL",R21=""),"[X]units ไฟ ","")&amp;IF(D21=0,"[!]ค่าเช่า=0",""))</f>
        <v/>
      </c>
      <c r="AA21" s="29">
        <f>IF(C21&lt;&gt;"",C21,CONFIG!$B$6)</f>
        <v/>
      </c>
      <c r="AB21" s="29">
        <f>IF(F21&lt;&gt;"",F21,IFERROR(VLOOKUP(AA21,RULES!$A:$C,3,0),CONFIG!$B$7))</f>
        <v/>
      </c>
      <c r="AC21" s="29">
        <f>IF(IFERROR(VLOOKUP(AA21,RULES!$A:$D,4,0),"")="",CONFIG!$B$10,VLOOKUP(AA21,RULES!$A:$D,4,0))</f>
        <v/>
      </c>
      <c r="AD21" s="29">
        <f>IF(IFERROR(VLOOKUP(AA21,RULES!$A:$E,5,0),"")="",CONFIG!$B$11,VLOOKUP(AA21,RULES!$A:$E,5,0))</f>
        <v/>
      </c>
      <c r="AE21" s="29">
        <f>IFERROR(VLOOKUP(AA21,RULES!$A:$F,6,0)*1,0)</f>
        <v/>
      </c>
      <c r="AF21" s="29">
        <f>IFERROR(VLOOKUP(AA21,RULES!$A:$G,7,0)*1,0)</f>
        <v/>
      </c>
      <c r="AG21" s="29">
        <f>IFERROR(VLOOKUP(AA21,RULES!$A:$H,8,0)*1,0)</f>
        <v/>
      </c>
      <c r="AH21" s="29">
        <f>IFERROR(VLOOKUP(AA21,RULES!$A:$I,9,0)*1,0)</f>
        <v/>
      </c>
      <c r="AI21" s="29">
        <f>IFERROR(VLOOKUP(AA21,RULES!$A:$J,10,0)*1,0)</f>
        <v/>
      </c>
      <c r="AJ21" s="29">
        <f>IFERROR(IF(VLOOKUP(AA21,RULES!$A:$K,11,0)="",999999,VLOOKUP(AA21,RULES!$A:$K,11,0)*1),999999)</f>
        <v/>
      </c>
      <c r="AK21" s="29">
        <f>IFERROR(VLOOKUP(AA21,RULES!$A:$L,12,0)*1,0)</f>
        <v/>
      </c>
      <c r="AL21" s="29">
        <f>IFERROR(VLOOKUP(AA21,RULES!$A:$M,13,0),"NONE")</f>
        <v/>
      </c>
      <c r="AM21" s="29">
        <f>IFERROR(VLOOKUP(AA21,RULES!$A:$N,14,0)*1,0)</f>
        <v/>
      </c>
      <c r="AN21" s="29">
        <f>IFERROR(VLOOKUP(AA21,RULES!$A:$O,15,0)*1,0)</f>
        <v/>
      </c>
      <c r="AO21" s="29">
        <f>IF(N21&lt;&gt;"",N21,IFERROR(VLOOKUP(AA21,RULES!$A:$P,16,0),CONFIG!$B$8))</f>
        <v/>
      </c>
      <c r="AP21" s="29">
        <f>IF(IFERROR(VLOOKUP(AA21,RULES!$A:$Q,17,0),"")="",CONFIG!$B$13,VLOOKUP(AA21,RULES!$A:$Q,17,0))</f>
        <v/>
      </c>
      <c r="AQ21" s="29">
        <f>IF(IFERROR(VLOOKUP(AA21,RULES!$A:$R,18,0),"")="",CONFIG!$B$14,VLOOKUP(AA21,RULES!$A:$R,18,0))</f>
        <v/>
      </c>
      <c r="AR21" s="29">
        <f>IFERROR(VLOOKUP(AA21,RULES!$A:$S,19,0)*1,0)</f>
        <v/>
      </c>
      <c r="AS21" s="29">
        <f>IFERROR(VLOOKUP(AA21,RULES!$A:$T,20,0)*1,0)</f>
        <v/>
      </c>
      <c r="AT21" s="29">
        <f>IFERROR(VLOOKUP(AA21,RULES!$A:$U,21,0)*1,0)</f>
        <v/>
      </c>
      <c r="AU21" s="29">
        <f>IFERROR(VLOOKUP(AA21,RULES!$A:$V,22,0)*1,0)</f>
        <v/>
      </c>
      <c r="AV21" s="29">
        <f>IFERROR(VLOOKUP(AA21,RULES!$A:$W,23,0)*1,0)</f>
        <v/>
      </c>
      <c r="AW21" s="29">
        <f>IFERROR(IF(VLOOKUP(AA21,RULES!$A:$X,24,0)="",999999,VLOOKUP(AA21,RULES!$A:$X,24,0)*1),999999)</f>
        <v/>
      </c>
      <c r="AX21" s="29">
        <f>IFERROR(VLOOKUP(AA21,RULES!$A:$Y,25,0)*1,0)</f>
        <v/>
      </c>
      <c r="AY21" s="29">
        <f>IFERROR(VLOOKUP(AA21,RULES!$A:$Z,26,0),"NONE")</f>
        <v/>
      </c>
      <c r="AZ21" s="29">
        <f>IFERROR(VLOOKUP(AA21,RULES!$A:$AA,27,0)*1,0)</f>
        <v/>
      </c>
      <c r="BA21" s="29">
        <f>IFERROR(VLOOKUP(AA21,RULES!$A:$AB,28,0)*1,0)</f>
        <v/>
      </c>
    </row>
    <row r="22" ht="17" customHeight="1">
      <c r="A22" s="22" t="inlineStr">
        <is>
          <t>3719</t>
        </is>
      </c>
      <c r="B22" s="48" t="inlineStr">
        <is>
          <t>ACC007</t>
        </is>
      </c>
      <c r="C22" s="48" t="inlineStr">
        <is>
          <t>DEFAULT</t>
        </is>
      </c>
      <c r="D22" s="47" t="n"/>
      <c r="E22" s="22">
        <f>IF(OR(D22="",D22=0),"INACTIVE","ACTIVE")</f>
        <v/>
      </c>
      <c r="F22" s="48" t="inlineStr">
        <is>
          <t>NORMAL</t>
        </is>
      </c>
      <c r="G22" s="25" t="n"/>
      <c r="H22" s="25" t="n"/>
      <c r="I22" s="26">
        <f>IF(OR(E22="INACTIVE",H22=""),0,MAX(0,H22-G22))</f>
        <v/>
      </c>
      <c r="J22" s="23" t="n"/>
      <c r="K22" s="26">
        <f>IF(OR(E22="INACTIVE",H22=""),0,IF(AB22="DISABLED",0,IF(AB22="FLAT",AE22,IF(AB22="MANUAL",IF(J22="",0,J22*AC22),IF(AB22="STEP",IF(I22&lt;=AF22,I22*AG22,IF(I22&lt;=AH22,AF22*AG22+(I22-AF22)*AI22,AF22*AG22+(AH22-AF22)*AI22+(I22-AH22)*AK22)),MAX(I22*AC22,AD22))))))</f>
        <v/>
      </c>
      <c r="L22" s="26">
        <f>IF(OR(E22="INACTIVE",H22=""),0,IF(AL22="NONE",0,IF(AL22="FLAT",AM22,IF(AL22="PER_UNIT",I22*AN22,IF(AL22="MANUAL",IF(M22="",0,M22),0)))))</f>
        <v/>
      </c>
      <c r="M22" s="23" t="n"/>
      <c r="N22" s="48" t="inlineStr">
        <is>
          <t>NORMAL</t>
        </is>
      </c>
      <c r="O22" s="25" t="n"/>
      <c r="P22" s="25" t="n"/>
      <c r="Q22" s="26">
        <f>IF(OR(E22="INACTIVE",P22=""),0,MAX(0,P22-O22))</f>
        <v/>
      </c>
      <c r="R22" s="23" t="n"/>
      <c r="S22" s="26">
        <f>IF(OR(E22="INACTIVE",P22=""),0,IF(AO22="DISABLED",0,IF(AO22="FLAT",AR22,IF(AO22="MANUAL",IF(R22="",0,R22*AP22),IF(AO22="STEP",IF(Q22&lt;=AS22,Q22*AT22,IF(Q22&lt;=AU22,AS22*AT22+(Q22-AS22)*AV22,AS22*AT22+(AU22-AS22)*AV22+(Q22-AU22)*AX22)),MAX(Q22*AP22,AQ22))))))</f>
        <v/>
      </c>
      <c r="T22" s="26">
        <f>IF(OR(E22="INACTIVE",P22=""),0,IF(AY22="NONE",0,IF(AY22="FLAT",AZ22,IF(AY22="PER_UNIT",Q22*BA22,IF(AY22="MANUAL",IF(U22="",0,U22),0)))))</f>
        <v/>
      </c>
      <c r="U22" s="23" t="n"/>
      <c r="V22" s="25" t="n"/>
      <c r="W22" s="25" t="n"/>
      <c r="X22" s="26">
        <f>IF(E22="INACTIVE",0,D22+K22+L22+S22+T22+IF(V22="",0,V22)+IF(W22="",0,W22))</f>
        <v/>
      </c>
      <c r="Y22" s="27" t="n"/>
      <c r="Z22" s="28">
        <f>IF(E22="INACTIVE","_",IF(AND(G22&gt;0,H22&gt;0,H22&lt;G22),"[!]น้ำ reset ","")&amp;IF(AND(O22&gt;0,P22&gt;0,P22&lt;O22),"[!]ไฟ reset ","")&amp;IF(AND(F22="MANUAL",J22=""),"[X]units น้ำ ","")&amp;IF(AND(N22="MANUAL",R22=""),"[X]units ไฟ ","")&amp;IF(D22=0,"[!]ค่าเช่า=0",""))</f>
        <v/>
      </c>
      <c r="AA22" s="29">
        <f>IF(C22&lt;&gt;"",C22,CONFIG!$B$6)</f>
        <v/>
      </c>
      <c r="AB22" s="29">
        <f>IF(F22&lt;&gt;"",F22,IFERROR(VLOOKUP(AA22,RULES!$A:$C,3,0),CONFIG!$B$7))</f>
        <v/>
      </c>
      <c r="AC22" s="29">
        <f>IF(IFERROR(VLOOKUP(AA22,RULES!$A:$D,4,0),"")="",CONFIG!$B$10,VLOOKUP(AA22,RULES!$A:$D,4,0))</f>
        <v/>
      </c>
      <c r="AD22" s="29">
        <f>IF(IFERROR(VLOOKUP(AA22,RULES!$A:$E,5,0),"")="",CONFIG!$B$11,VLOOKUP(AA22,RULES!$A:$E,5,0))</f>
        <v/>
      </c>
      <c r="AE22" s="29">
        <f>IFERROR(VLOOKUP(AA22,RULES!$A:$F,6,0)*1,0)</f>
        <v/>
      </c>
      <c r="AF22" s="29">
        <f>IFERROR(VLOOKUP(AA22,RULES!$A:$G,7,0)*1,0)</f>
        <v/>
      </c>
      <c r="AG22" s="29">
        <f>IFERROR(VLOOKUP(AA22,RULES!$A:$H,8,0)*1,0)</f>
        <v/>
      </c>
      <c r="AH22" s="29">
        <f>IFERROR(VLOOKUP(AA22,RULES!$A:$I,9,0)*1,0)</f>
        <v/>
      </c>
      <c r="AI22" s="29">
        <f>IFERROR(VLOOKUP(AA22,RULES!$A:$J,10,0)*1,0)</f>
        <v/>
      </c>
      <c r="AJ22" s="29">
        <f>IFERROR(IF(VLOOKUP(AA22,RULES!$A:$K,11,0)="",999999,VLOOKUP(AA22,RULES!$A:$K,11,0)*1),999999)</f>
        <v/>
      </c>
      <c r="AK22" s="29">
        <f>IFERROR(VLOOKUP(AA22,RULES!$A:$L,12,0)*1,0)</f>
        <v/>
      </c>
      <c r="AL22" s="29">
        <f>IFERROR(VLOOKUP(AA22,RULES!$A:$M,13,0),"NONE")</f>
        <v/>
      </c>
      <c r="AM22" s="29">
        <f>IFERROR(VLOOKUP(AA22,RULES!$A:$N,14,0)*1,0)</f>
        <v/>
      </c>
      <c r="AN22" s="29">
        <f>IFERROR(VLOOKUP(AA22,RULES!$A:$O,15,0)*1,0)</f>
        <v/>
      </c>
      <c r="AO22" s="29">
        <f>IF(N22&lt;&gt;"",N22,IFERROR(VLOOKUP(AA22,RULES!$A:$P,16,0),CONFIG!$B$8))</f>
        <v/>
      </c>
      <c r="AP22" s="29">
        <f>IF(IFERROR(VLOOKUP(AA22,RULES!$A:$Q,17,0),"")="",CONFIG!$B$13,VLOOKUP(AA22,RULES!$A:$Q,17,0))</f>
        <v/>
      </c>
      <c r="AQ22" s="29">
        <f>IF(IFERROR(VLOOKUP(AA22,RULES!$A:$R,18,0),"")="",CONFIG!$B$14,VLOOKUP(AA22,RULES!$A:$R,18,0))</f>
        <v/>
      </c>
      <c r="AR22" s="29">
        <f>IFERROR(VLOOKUP(AA22,RULES!$A:$S,19,0)*1,0)</f>
        <v/>
      </c>
      <c r="AS22" s="29">
        <f>IFERROR(VLOOKUP(AA22,RULES!$A:$T,20,0)*1,0)</f>
        <v/>
      </c>
      <c r="AT22" s="29">
        <f>IFERROR(VLOOKUP(AA22,RULES!$A:$U,21,0)*1,0)</f>
        <v/>
      </c>
      <c r="AU22" s="29">
        <f>IFERROR(VLOOKUP(AA22,RULES!$A:$V,22,0)*1,0)</f>
        <v/>
      </c>
      <c r="AV22" s="29">
        <f>IFERROR(VLOOKUP(AA22,RULES!$A:$W,23,0)*1,0)</f>
        <v/>
      </c>
      <c r="AW22" s="29">
        <f>IFERROR(IF(VLOOKUP(AA22,RULES!$A:$X,24,0)="",999999,VLOOKUP(AA22,RULES!$A:$X,24,0)*1),999999)</f>
        <v/>
      </c>
      <c r="AX22" s="29">
        <f>IFERROR(VLOOKUP(AA22,RULES!$A:$Y,25,0)*1,0)</f>
        <v/>
      </c>
      <c r="AY22" s="29">
        <f>IFERROR(VLOOKUP(AA22,RULES!$A:$Z,26,0),"NONE")</f>
        <v/>
      </c>
      <c r="AZ22" s="29">
        <f>IFERROR(VLOOKUP(AA22,RULES!$A:$AA,27,0)*1,0)</f>
        <v/>
      </c>
      <c r="BA22" s="29">
        <f>IFERROR(VLOOKUP(AA22,RULES!$A:$AB,28,0)*1,0)</f>
        <v/>
      </c>
    </row>
    <row r="23" ht="17" customHeight="1">
      <c r="A23" s="22" t="inlineStr">
        <is>
          <t>3720</t>
        </is>
      </c>
      <c r="B23" s="48" t="inlineStr">
        <is>
          <t>ACC007</t>
        </is>
      </c>
      <c r="C23" s="48" t="inlineStr">
        <is>
          <t>DEFAULT</t>
        </is>
      </c>
      <c r="D23" s="47" t="n"/>
      <c r="E23" s="22">
        <f>IF(OR(D23="",D23=0),"INACTIVE","ACTIVE")</f>
        <v/>
      </c>
      <c r="F23" s="48" t="inlineStr">
        <is>
          <t>NORMAL</t>
        </is>
      </c>
      <c r="G23" s="25" t="n"/>
      <c r="H23" s="25" t="n"/>
      <c r="I23" s="26">
        <f>IF(OR(E23="INACTIVE",H23=""),0,MAX(0,H23-G23))</f>
        <v/>
      </c>
      <c r="J23" s="23" t="n"/>
      <c r="K23" s="26">
        <f>IF(OR(E23="INACTIVE",H23=""),0,IF(AB23="DISABLED",0,IF(AB23="FLAT",AE23,IF(AB23="MANUAL",IF(J23="",0,J23*AC23),IF(AB23="STEP",IF(I23&lt;=AF23,I23*AG23,IF(I23&lt;=AH23,AF23*AG23+(I23-AF23)*AI23,AF23*AG23+(AH23-AF23)*AI23+(I23-AH23)*AK23)),MAX(I23*AC23,AD23))))))</f>
        <v/>
      </c>
      <c r="L23" s="26">
        <f>IF(OR(E23="INACTIVE",H23=""),0,IF(AL23="NONE",0,IF(AL23="FLAT",AM23,IF(AL23="PER_UNIT",I23*AN23,IF(AL23="MANUAL",IF(M23="",0,M23),0)))))</f>
        <v/>
      </c>
      <c r="M23" s="23" t="n"/>
      <c r="N23" s="48" t="inlineStr">
        <is>
          <t>NORMAL</t>
        </is>
      </c>
      <c r="O23" s="25" t="n"/>
      <c r="P23" s="25" t="n"/>
      <c r="Q23" s="26">
        <f>IF(OR(E23="INACTIVE",P23=""),0,MAX(0,P23-O23))</f>
        <v/>
      </c>
      <c r="R23" s="23" t="n"/>
      <c r="S23" s="26">
        <f>IF(OR(E23="INACTIVE",P23=""),0,IF(AO23="DISABLED",0,IF(AO23="FLAT",AR23,IF(AO23="MANUAL",IF(R23="",0,R23*AP23),IF(AO23="STEP",IF(Q23&lt;=AS23,Q23*AT23,IF(Q23&lt;=AU23,AS23*AT23+(Q23-AS23)*AV23,AS23*AT23+(AU23-AS23)*AV23+(Q23-AU23)*AX23)),MAX(Q23*AP23,AQ23))))))</f>
        <v/>
      </c>
      <c r="T23" s="26">
        <f>IF(OR(E23="INACTIVE",P23=""),0,IF(AY23="NONE",0,IF(AY23="FLAT",AZ23,IF(AY23="PER_UNIT",Q23*BA23,IF(AY23="MANUAL",IF(U23="",0,U23),0)))))</f>
        <v/>
      </c>
      <c r="U23" s="23" t="n"/>
      <c r="V23" s="25" t="n"/>
      <c r="W23" s="25" t="n"/>
      <c r="X23" s="26">
        <f>IF(E23="INACTIVE",0,D23+K23+L23+S23+T23+IF(V23="",0,V23)+IF(W23="",0,W23))</f>
        <v/>
      </c>
      <c r="Y23" s="27" t="n"/>
      <c r="Z23" s="28">
        <f>IF(E23="INACTIVE","_",IF(AND(G23&gt;0,H23&gt;0,H23&lt;G23),"[!]น้ำ reset ","")&amp;IF(AND(O23&gt;0,P23&gt;0,P23&lt;O23),"[!]ไฟ reset ","")&amp;IF(AND(F23="MANUAL",J23=""),"[X]units น้ำ ","")&amp;IF(AND(N23="MANUAL",R23=""),"[X]units ไฟ ","")&amp;IF(D23=0,"[!]ค่าเช่า=0",""))</f>
        <v/>
      </c>
      <c r="AA23" s="29">
        <f>IF(C23&lt;&gt;"",C23,CONFIG!$B$6)</f>
        <v/>
      </c>
      <c r="AB23" s="29">
        <f>IF(F23&lt;&gt;"",F23,IFERROR(VLOOKUP(AA23,RULES!$A:$C,3,0),CONFIG!$B$7))</f>
        <v/>
      </c>
      <c r="AC23" s="29">
        <f>IF(IFERROR(VLOOKUP(AA23,RULES!$A:$D,4,0),"")="",CONFIG!$B$10,VLOOKUP(AA23,RULES!$A:$D,4,0))</f>
        <v/>
      </c>
      <c r="AD23" s="29">
        <f>IF(IFERROR(VLOOKUP(AA23,RULES!$A:$E,5,0),"")="",CONFIG!$B$11,VLOOKUP(AA23,RULES!$A:$E,5,0))</f>
        <v/>
      </c>
      <c r="AE23" s="29">
        <f>IFERROR(VLOOKUP(AA23,RULES!$A:$F,6,0)*1,0)</f>
        <v/>
      </c>
      <c r="AF23" s="29">
        <f>IFERROR(VLOOKUP(AA23,RULES!$A:$G,7,0)*1,0)</f>
        <v/>
      </c>
      <c r="AG23" s="29">
        <f>IFERROR(VLOOKUP(AA23,RULES!$A:$H,8,0)*1,0)</f>
        <v/>
      </c>
      <c r="AH23" s="29">
        <f>IFERROR(VLOOKUP(AA23,RULES!$A:$I,9,0)*1,0)</f>
        <v/>
      </c>
      <c r="AI23" s="29">
        <f>IFERROR(VLOOKUP(AA23,RULES!$A:$J,10,0)*1,0)</f>
        <v/>
      </c>
      <c r="AJ23" s="29">
        <f>IFERROR(IF(VLOOKUP(AA23,RULES!$A:$K,11,0)="",999999,VLOOKUP(AA23,RULES!$A:$K,11,0)*1),999999)</f>
        <v/>
      </c>
      <c r="AK23" s="29">
        <f>IFERROR(VLOOKUP(AA23,RULES!$A:$L,12,0)*1,0)</f>
        <v/>
      </c>
      <c r="AL23" s="29">
        <f>IFERROR(VLOOKUP(AA23,RULES!$A:$M,13,0),"NONE")</f>
        <v/>
      </c>
      <c r="AM23" s="29">
        <f>IFERROR(VLOOKUP(AA23,RULES!$A:$N,14,0)*1,0)</f>
        <v/>
      </c>
      <c r="AN23" s="29">
        <f>IFERROR(VLOOKUP(AA23,RULES!$A:$O,15,0)*1,0)</f>
        <v/>
      </c>
      <c r="AO23" s="29">
        <f>IF(N23&lt;&gt;"",N23,IFERROR(VLOOKUP(AA23,RULES!$A:$P,16,0),CONFIG!$B$8))</f>
        <v/>
      </c>
      <c r="AP23" s="29">
        <f>IF(IFERROR(VLOOKUP(AA23,RULES!$A:$Q,17,0),"")="",CONFIG!$B$13,VLOOKUP(AA23,RULES!$A:$Q,17,0))</f>
        <v/>
      </c>
      <c r="AQ23" s="29">
        <f>IF(IFERROR(VLOOKUP(AA23,RULES!$A:$R,18,0),"")="",CONFIG!$B$14,VLOOKUP(AA23,RULES!$A:$R,18,0))</f>
        <v/>
      </c>
      <c r="AR23" s="29">
        <f>IFERROR(VLOOKUP(AA23,RULES!$A:$S,19,0)*1,0)</f>
        <v/>
      </c>
      <c r="AS23" s="29">
        <f>IFERROR(VLOOKUP(AA23,RULES!$A:$T,20,0)*1,0)</f>
        <v/>
      </c>
      <c r="AT23" s="29">
        <f>IFERROR(VLOOKUP(AA23,RULES!$A:$U,21,0)*1,0)</f>
        <v/>
      </c>
      <c r="AU23" s="29">
        <f>IFERROR(VLOOKUP(AA23,RULES!$A:$V,22,0)*1,0)</f>
        <v/>
      </c>
      <c r="AV23" s="29">
        <f>IFERROR(VLOOKUP(AA23,RULES!$A:$W,23,0)*1,0)</f>
        <v/>
      </c>
      <c r="AW23" s="29">
        <f>IFERROR(IF(VLOOKUP(AA23,RULES!$A:$X,24,0)="",999999,VLOOKUP(AA23,RULES!$A:$X,24,0)*1),999999)</f>
        <v/>
      </c>
      <c r="AX23" s="29">
        <f>IFERROR(VLOOKUP(AA23,RULES!$A:$Y,25,0)*1,0)</f>
        <v/>
      </c>
      <c r="AY23" s="29">
        <f>IFERROR(VLOOKUP(AA23,RULES!$A:$Z,26,0),"NONE")</f>
        <v/>
      </c>
      <c r="AZ23" s="29">
        <f>IFERROR(VLOOKUP(AA23,RULES!$A:$AA,27,0)*1,0)</f>
        <v/>
      </c>
      <c r="BA23" s="29">
        <f>IFERROR(VLOOKUP(AA23,RULES!$A:$AB,28,0)*1,0)</f>
        <v/>
      </c>
    </row>
    <row r="24" ht="17" customHeight="1">
      <c r="A24" s="22" t="inlineStr">
        <is>
          <t>3721</t>
        </is>
      </c>
      <c r="B24" s="48" t="inlineStr">
        <is>
          <t>ACC007</t>
        </is>
      </c>
      <c r="C24" s="48" t="inlineStr">
        <is>
          <t>DEFAULT</t>
        </is>
      </c>
      <c r="D24" s="47" t="n"/>
      <c r="E24" s="22">
        <f>IF(OR(D24="",D24=0),"INACTIVE","ACTIVE")</f>
        <v/>
      </c>
      <c r="F24" s="48" t="inlineStr">
        <is>
          <t>NORMAL</t>
        </is>
      </c>
      <c r="G24" s="25" t="n"/>
      <c r="H24" s="25" t="n"/>
      <c r="I24" s="26">
        <f>IF(OR(E24="INACTIVE",H24=""),0,MAX(0,H24-G24))</f>
        <v/>
      </c>
      <c r="J24" s="23" t="n"/>
      <c r="K24" s="26">
        <f>IF(OR(E24="INACTIVE",H24=""),0,IF(AB24="DISABLED",0,IF(AB24="FLAT",AE24,IF(AB24="MANUAL",IF(J24="",0,J24*AC24),IF(AB24="STEP",IF(I24&lt;=AF24,I24*AG24,IF(I24&lt;=AH24,AF24*AG24+(I24-AF24)*AI24,AF24*AG24+(AH24-AF24)*AI24+(I24-AH24)*AK24)),MAX(I24*AC24,AD24))))))</f>
        <v/>
      </c>
      <c r="L24" s="26">
        <f>IF(OR(E24="INACTIVE",H24=""),0,IF(AL24="NONE",0,IF(AL24="FLAT",AM24,IF(AL24="PER_UNIT",I24*AN24,IF(AL24="MANUAL",IF(M24="",0,M24),0)))))</f>
        <v/>
      </c>
      <c r="M24" s="23" t="n"/>
      <c r="N24" s="48" t="inlineStr">
        <is>
          <t>NORMAL</t>
        </is>
      </c>
      <c r="O24" s="25" t="n"/>
      <c r="P24" s="25" t="n"/>
      <c r="Q24" s="26">
        <f>IF(OR(E24="INACTIVE",P24=""),0,MAX(0,P24-O24))</f>
        <v/>
      </c>
      <c r="R24" s="23" t="n"/>
      <c r="S24" s="26">
        <f>IF(OR(E24="INACTIVE",P24=""),0,IF(AO24="DISABLED",0,IF(AO24="FLAT",AR24,IF(AO24="MANUAL",IF(R24="",0,R24*AP24),IF(AO24="STEP",IF(Q24&lt;=AS24,Q24*AT24,IF(Q24&lt;=AU24,AS24*AT24+(Q24-AS24)*AV24,AS24*AT24+(AU24-AS24)*AV24+(Q24-AU24)*AX24)),MAX(Q24*AP24,AQ24))))))</f>
        <v/>
      </c>
      <c r="T24" s="26">
        <f>IF(OR(E24="INACTIVE",P24=""),0,IF(AY24="NONE",0,IF(AY24="FLAT",AZ24,IF(AY24="PER_UNIT",Q24*BA24,IF(AY24="MANUAL",IF(U24="",0,U24),0)))))</f>
        <v/>
      </c>
      <c r="U24" s="23" t="n"/>
      <c r="V24" s="25" t="n"/>
      <c r="W24" s="25" t="n"/>
      <c r="X24" s="26">
        <f>IF(E24="INACTIVE",0,D24+K24+L24+S24+T24+IF(V24="",0,V24)+IF(W24="",0,W24))</f>
        <v/>
      </c>
      <c r="Y24" s="27" t="n"/>
      <c r="Z24" s="28">
        <f>IF(E24="INACTIVE","_",IF(AND(G24&gt;0,H24&gt;0,H24&lt;G24),"[!]น้ำ reset ","")&amp;IF(AND(O24&gt;0,P24&gt;0,P24&lt;O24),"[!]ไฟ reset ","")&amp;IF(AND(F24="MANUAL",J24=""),"[X]units น้ำ ","")&amp;IF(AND(N24="MANUAL",R24=""),"[X]units ไฟ ","")&amp;IF(D24=0,"[!]ค่าเช่า=0",""))</f>
        <v/>
      </c>
      <c r="AA24" s="29">
        <f>IF(C24&lt;&gt;"",C24,CONFIG!$B$6)</f>
        <v/>
      </c>
      <c r="AB24" s="29">
        <f>IF(F24&lt;&gt;"",F24,IFERROR(VLOOKUP(AA24,RULES!$A:$C,3,0),CONFIG!$B$7))</f>
        <v/>
      </c>
      <c r="AC24" s="29">
        <f>IF(IFERROR(VLOOKUP(AA24,RULES!$A:$D,4,0),"")="",CONFIG!$B$10,VLOOKUP(AA24,RULES!$A:$D,4,0))</f>
        <v/>
      </c>
      <c r="AD24" s="29">
        <f>IF(IFERROR(VLOOKUP(AA24,RULES!$A:$E,5,0),"")="",CONFIG!$B$11,VLOOKUP(AA24,RULES!$A:$E,5,0))</f>
        <v/>
      </c>
      <c r="AE24" s="29">
        <f>IFERROR(VLOOKUP(AA24,RULES!$A:$F,6,0)*1,0)</f>
        <v/>
      </c>
      <c r="AF24" s="29">
        <f>IFERROR(VLOOKUP(AA24,RULES!$A:$G,7,0)*1,0)</f>
        <v/>
      </c>
      <c r="AG24" s="29">
        <f>IFERROR(VLOOKUP(AA24,RULES!$A:$H,8,0)*1,0)</f>
        <v/>
      </c>
      <c r="AH24" s="29">
        <f>IFERROR(VLOOKUP(AA24,RULES!$A:$I,9,0)*1,0)</f>
        <v/>
      </c>
      <c r="AI24" s="29">
        <f>IFERROR(VLOOKUP(AA24,RULES!$A:$J,10,0)*1,0)</f>
        <v/>
      </c>
      <c r="AJ24" s="29">
        <f>IFERROR(IF(VLOOKUP(AA24,RULES!$A:$K,11,0)="",999999,VLOOKUP(AA24,RULES!$A:$K,11,0)*1),999999)</f>
        <v/>
      </c>
      <c r="AK24" s="29">
        <f>IFERROR(VLOOKUP(AA24,RULES!$A:$L,12,0)*1,0)</f>
        <v/>
      </c>
      <c r="AL24" s="29">
        <f>IFERROR(VLOOKUP(AA24,RULES!$A:$M,13,0),"NONE")</f>
        <v/>
      </c>
      <c r="AM24" s="29">
        <f>IFERROR(VLOOKUP(AA24,RULES!$A:$N,14,0)*1,0)</f>
        <v/>
      </c>
      <c r="AN24" s="29">
        <f>IFERROR(VLOOKUP(AA24,RULES!$A:$O,15,0)*1,0)</f>
        <v/>
      </c>
      <c r="AO24" s="29">
        <f>IF(N24&lt;&gt;"",N24,IFERROR(VLOOKUP(AA24,RULES!$A:$P,16,0),CONFIG!$B$8))</f>
        <v/>
      </c>
      <c r="AP24" s="29">
        <f>IF(IFERROR(VLOOKUP(AA24,RULES!$A:$Q,17,0),"")="",CONFIG!$B$13,VLOOKUP(AA24,RULES!$A:$Q,17,0))</f>
        <v/>
      </c>
      <c r="AQ24" s="29">
        <f>IF(IFERROR(VLOOKUP(AA24,RULES!$A:$R,18,0),"")="",CONFIG!$B$14,VLOOKUP(AA24,RULES!$A:$R,18,0))</f>
        <v/>
      </c>
      <c r="AR24" s="29">
        <f>IFERROR(VLOOKUP(AA24,RULES!$A:$S,19,0)*1,0)</f>
        <v/>
      </c>
      <c r="AS24" s="29">
        <f>IFERROR(VLOOKUP(AA24,RULES!$A:$T,20,0)*1,0)</f>
        <v/>
      </c>
      <c r="AT24" s="29">
        <f>IFERROR(VLOOKUP(AA24,RULES!$A:$U,21,0)*1,0)</f>
        <v/>
      </c>
      <c r="AU24" s="29">
        <f>IFERROR(VLOOKUP(AA24,RULES!$A:$V,22,0)*1,0)</f>
        <v/>
      </c>
      <c r="AV24" s="29">
        <f>IFERROR(VLOOKUP(AA24,RULES!$A:$W,23,0)*1,0)</f>
        <v/>
      </c>
      <c r="AW24" s="29">
        <f>IFERROR(IF(VLOOKUP(AA24,RULES!$A:$X,24,0)="",999999,VLOOKUP(AA24,RULES!$A:$X,24,0)*1),999999)</f>
        <v/>
      </c>
      <c r="AX24" s="29">
        <f>IFERROR(VLOOKUP(AA24,RULES!$A:$Y,25,0)*1,0)</f>
        <v/>
      </c>
      <c r="AY24" s="29">
        <f>IFERROR(VLOOKUP(AA24,RULES!$A:$Z,26,0),"NONE")</f>
        <v/>
      </c>
      <c r="AZ24" s="29">
        <f>IFERROR(VLOOKUP(AA24,RULES!$A:$AA,27,0)*1,0)</f>
        <v/>
      </c>
      <c r="BA24" s="29">
        <f>IFERROR(VLOOKUP(AA24,RULES!$A:$AB,28,0)*1,0)</f>
        <v/>
      </c>
    </row>
    <row r="25" ht="17" customHeight="1">
      <c r="A25" s="22" t="inlineStr">
        <is>
          <t>3722</t>
        </is>
      </c>
      <c r="B25" s="48" t="inlineStr">
        <is>
          <t>ACC007</t>
        </is>
      </c>
      <c r="C25" s="48" t="inlineStr">
        <is>
          <t>DEFAULT</t>
        </is>
      </c>
      <c r="D25" s="47" t="n"/>
      <c r="E25" s="22">
        <f>IF(OR(D25="",D25=0),"INACTIVE","ACTIVE")</f>
        <v/>
      </c>
      <c r="F25" s="48" t="inlineStr">
        <is>
          <t>NORMAL</t>
        </is>
      </c>
      <c r="G25" s="25" t="n"/>
      <c r="H25" s="25" t="n"/>
      <c r="I25" s="26">
        <f>IF(OR(E25="INACTIVE",H25=""),0,MAX(0,H25-G25))</f>
        <v/>
      </c>
      <c r="J25" s="23" t="n"/>
      <c r="K25" s="26">
        <f>IF(OR(E25="INACTIVE",H25=""),0,IF(AB25="DISABLED",0,IF(AB25="FLAT",AE25,IF(AB25="MANUAL",IF(J25="",0,J25*AC25),IF(AB25="STEP",IF(I25&lt;=AF25,I25*AG25,IF(I25&lt;=AH25,AF25*AG25+(I25-AF25)*AI25,AF25*AG25+(AH25-AF25)*AI25+(I25-AH25)*AK25)),MAX(I25*AC25,AD25))))))</f>
        <v/>
      </c>
      <c r="L25" s="26">
        <f>IF(OR(E25="INACTIVE",H25=""),0,IF(AL25="NONE",0,IF(AL25="FLAT",AM25,IF(AL25="PER_UNIT",I25*AN25,IF(AL25="MANUAL",IF(M25="",0,M25),0)))))</f>
        <v/>
      </c>
      <c r="M25" s="23" t="n"/>
      <c r="N25" s="48" t="inlineStr">
        <is>
          <t>NORMAL</t>
        </is>
      </c>
      <c r="O25" s="25" t="n"/>
      <c r="P25" s="25" t="n"/>
      <c r="Q25" s="26">
        <f>IF(OR(E25="INACTIVE",P25=""),0,MAX(0,P25-O25))</f>
        <v/>
      </c>
      <c r="R25" s="23" t="n"/>
      <c r="S25" s="26">
        <f>IF(OR(E25="INACTIVE",P25=""),0,IF(AO25="DISABLED",0,IF(AO25="FLAT",AR25,IF(AO25="MANUAL",IF(R25="",0,R25*AP25),IF(AO25="STEP",IF(Q25&lt;=AS25,Q25*AT25,IF(Q25&lt;=AU25,AS25*AT25+(Q25-AS25)*AV25,AS25*AT25+(AU25-AS25)*AV25+(Q25-AU25)*AX25)),MAX(Q25*AP25,AQ25))))))</f>
        <v/>
      </c>
      <c r="T25" s="26">
        <f>IF(OR(E25="INACTIVE",P25=""),0,IF(AY25="NONE",0,IF(AY25="FLAT",AZ25,IF(AY25="PER_UNIT",Q25*BA25,IF(AY25="MANUAL",IF(U25="",0,U25),0)))))</f>
        <v/>
      </c>
      <c r="U25" s="23" t="n"/>
      <c r="V25" s="25" t="n"/>
      <c r="W25" s="25" t="n"/>
      <c r="X25" s="26">
        <f>IF(E25="INACTIVE",0,D25+K25+L25+S25+T25+IF(V25="",0,V25)+IF(W25="",0,W25))</f>
        <v/>
      </c>
      <c r="Y25" s="27" t="n"/>
      <c r="Z25" s="28">
        <f>IF(E25="INACTIVE","_",IF(AND(G25&gt;0,H25&gt;0,H25&lt;G25),"[!]น้ำ reset ","")&amp;IF(AND(O25&gt;0,P25&gt;0,P25&lt;O25),"[!]ไฟ reset ","")&amp;IF(AND(F25="MANUAL",J25=""),"[X]units น้ำ ","")&amp;IF(AND(N25="MANUAL",R25=""),"[X]units ไฟ ","")&amp;IF(D25=0,"[!]ค่าเช่า=0",""))</f>
        <v/>
      </c>
      <c r="AA25" s="29">
        <f>IF(C25&lt;&gt;"",C25,CONFIG!$B$6)</f>
        <v/>
      </c>
      <c r="AB25" s="29">
        <f>IF(F25&lt;&gt;"",F25,IFERROR(VLOOKUP(AA25,RULES!$A:$C,3,0),CONFIG!$B$7))</f>
        <v/>
      </c>
      <c r="AC25" s="29">
        <f>IF(IFERROR(VLOOKUP(AA25,RULES!$A:$D,4,0),"")="",CONFIG!$B$10,VLOOKUP(AA25,RULES!$A:$D,4,0))</f>
        <v/>
      </c>
      <c r="AD25" s="29">
        <f>IF(IFERROR(VLOOKUP(AA25,RULES!$A:$E,5,0),"")="",CONFIG!$B$11,VLOOKUP(AA25,RULES!$A:$E,5,0))</f>
        <v/>
      </c>
      <c r="AE25" s="29">
        <f>IFERROR(VLOOKUP(AA25,RULES!$A:$F,6,0)*1,0)</f>
        <v/>
      </c>
      <c r="AF25" s="29">
        <f>IFERROR(VLOOKUP(AA25,RULES!$A:$G,7,0)*1,0)</f>
        <v/>
      </c>
      <c r="AG25" s="29">
        <f>IFERROR(VLOOKUP(AA25,RULES!$A:$H,8,0)*1,0)</f>
        <v/>
      </c>
      <c r="AH25" s="29">
        <f>IFERROR(VLOOKUP(AA25,RULES!$A:$I,9,0)*1,0)</f>
        <v/>
      </c>
      <c r="AI25" s="29">
        <f>IFERROR(VLOOKUP(AA25,RULES!$A:$J,10,0)*1,0)</f>
        <v/>
      </c>
      <c r="AJ25" s="29">
        <f>IFERROR(IF(VLOOKUP(AA25,RULES!$A:$K,11,0)="",999999,VLOOKUP(AA25,RULES!$A:$K,11,0)*1),999999)</f>
        <v/>
      </c>
      <c r="AK25" s="29">
        <f>IFERROR(VLOOKUP(AA25,RULES!$A:$L,12,0)*1,0)</f>
        <v/>
      </c>
      <c r="AL25" s="29">
        <f>IFERROR(VLOOKUP(AA25,RULES!$A:$M,13,0),"NONE")</f>
        <v/>
      </c>
      <c r="AM25" s="29">
        <f>IFERROR(VLOOKUP(AA25,RULES!$A:$N,14,0)*1,0)</f>
        <v/>
      </c>
      <c r="AN25" s="29">
        <f>IFERROR(VLOOKUP(AA25,RULES!$A:$O,15,0)*1,0)</f>
        <v/>
      </c>
      <c r="AO25" s="29">
        <f>IF(N25&lt;&gt;"",N25,IFERROR(VLOOKUP(AA25,RULES!$A:$P,16,0),CONFIG!$B$8))</f>
        <v/>
      </c>
      <c r="AP25" s="29">
        <f>IF(IFERROR(VLOOKUP(AA25,RULES!$A:$Q,17,0),"")="",CONFIG!$B$13,VLOOKUP(AA25,RULES!$A:$Q,17,0))</f>
        <v/>
      </c>
      <c r="AQ25" s="29">
        <f>IF(IFERROR(VLOOKUP(AA25,RULES!$A:$R,18,0),"")="",CONFIG!$B$14,VLOOKUP(AA25,RULES!$A:$R,18,0))</f>
        <v/>
      </c>
      <c r="AR25" s="29">
        <f>IFERROR(VLOOKUP(AA25,RULES!$A:$S,19,0)*1,0)</f>
        <v/>
      </c>
      <c r="AS25" s="29">
        <f>IFERROR(VLOOKUP(AA25,RULES!$A:$T,20,0)*1,0)</f>
        <v/>
      </c>
      <c r="AT25" s="29">
        <f>IFERROR(VLOOKUP(AA25,RULES!$A:$U,21,0)*1,0)</f>
        <v/>
      </c>
      <c r="AU25" s="29">
        <f>IFERROR(VLOOKUP(AA25,RULES!$A:$V,22,0)*1,0)</f>
        <v/>
      </c>
      <c r="AV25" s="29">
        <f>IFERROR(VLOOKUP(AA25,RULES!$A:$W,23,0)*1,0)</f>
        <v/>
      </c>
      <c r="AW25" s="29">
        <f>IFERROR(IF(VLOOKUP(AA25,RULES!$A:$X,24,0)="",999999,VLOOKUP(AA25,RULES!$A:$X,24,0)*1),999999)</f>
        <v/>
      </c>
      <c r="AX25" s="29">
        <f>IFERROR(VLOOKUP(AA25,RULES!$A:$Y,25,0)*1,0)</f>
        <v/>
      </c>
      <c r="AY25" s="29">
        <f>IFERROR(VLOOKUP(AA25,RULES!$A:$Z,26,0),"NONE")</f>
        <v/>
      </c>
      <c r="AZ25" s="29">
        <f>IFERROR(VLOOKUP(AA25,RULES!$A:$AA,27,0)*1,0)</f>
        <v/>
      </c>
      <c r="BA25" s="29">
        <f>IFERROR(VLOOKUP(AA25,RULES!$A:$AB,28,0)*1,0)</f>
        <v/>
      </c>
    </row>
    <row r="26" ht="17" customHeight="1">
      <c r="A26" s="22" t="inlineStr">
        <is>
          <t>3723</t>
        </is>
      </c>
      <c r="B26" s="48" t="inlineStr">
        <is>
          <t>ACC007</t>
        </is>
      </c>
      <c r="C26" s="48" t="inlineStr">
        <is>
          <t>DEFAULT</t>
        </is>
      </c>
      <c r="D26" s="47" t="n"/>
      <c r="E26" s="22">
        <f>IF(OR(D26="",D26=0),"INACTIVE","ACTIVE")</f>
        <v/>
      </c>
      <c r="F26" s="48" t="inlineStr">
        <is>
          <t>NORMAL</t>
        </is>
      </c>
      <c r="G26" s="25" t="n"/>
      <c r="H26" s="25" t="n"/>
      <c r="I26" s="26">
        <f>IF(OR(E26="INACTIVE",H26=""),0,MAX(0,H26-G26))</f>
        <v/>
      </c>
      <c r="J26" s="23" t="n"/>
      <c r="K26" s="26">
        <f>IF(OR(E26="INACTIVE",H26=""),0,IF(AB26="DISABLED",0,IF(AB26="FLAT",AE26,IF(AB26="MANUAL",IF(J26="",0,J26*AC26),IF(AB26="STEP",IF(I26&lt;=AF26,I26*AG26,IF(I26&lt;=AH26,AF26*AG26+(I26-AF26)*AI26,AF26*AG26+(AH26-AF26)*AI26+(I26-AH26)*AK26)),MAX(I26*AC26,AD26))))))</f>
        <v/>
      </c>
      <c r="L26" s="26">
        <f>IF(OR(E26="INACTIVE",H26=""),0,IF(AL26="NONE",0,IF(AL26="FLAT",AM26,IF(AL26="PER_UNIT",I26*AN26,IF(AL26="MANUAL",IF(M26="",0,M26),0)))))</f>
        <v/>
      </c>
      <c r="M26" s="23" t="n"/>
      <c r="N26" s="48" t="inlineStr">
        <is>
          <t>NORMAL</t>
        </is>
      </c>
      <c r="O26" s="25" t="n"/>
      <c r="P26" s="25" t="n"/>
      <c r="Q26" s="26">
        <f>IF(OR(E26="INACTIVE",P26=""),0,MAX(0,P26-O26))</f>
        <v/>
      </c>
      <c r="R26" s="23" t="n"/>
      <c r="S26" s="26">
        <f>IF(OR(E26="INACTIVE",P26=""),0,IF(AO26="DISABLED",0,IF(AO26="FLAT",AR26,IF(AO26="MANUAL",IF(R26="",0,R26*AP26),IF(AO26="STEP",IF(Q26&lt;=AS26,Q26*AT26,IF(Q26&lt;=AU26,AS26*AT26+(Q26-AS26)*AV26,AS26*AT26+(AU26-AS26)*AV26+(Q26-AU26)*AX26)),MAX(Q26*AP26,AQ26))))))</f>
        <v/>
      </c>
      <c r="T26" s="26">
        <f>IF(OR(E26="INACTIVE",P26=""),0,IF(AY26="NONE",0,IF(AY26="FLAT",AZ26,IF(AY26="PER_UNIT",Q26*BA26,IF(AY26="MANUAL",IF(U26="",0,U26),0)))))</f>
        <v/>
      </c>
      <c r="U26" s="23" t="n"/>
      <c r="V26" s="25" t="n"/>
      <c r="W26" s="25" t="n"/>
      <c r="X26" s="26">
        <f>IF(E26="INACTIVE",0,D26+K26+L26+S26+T26+IF(V26="",0,V26)+IF(W26="",0,W26))</f>
        <v/>
      </c>
      <c r="Y26" s="27" t="n"/>
      <c r="Z26" s="28">
        <f>IF(E26="INACTIVE","_",IF(AND(G26&gt;0,H26&gt;0,H26&lt;G26),"[!]น้ำ reset ","")&amp;IF(AND(O26&gt;0,P26&gt;0,P26&lt;O26),"[!]ไฟ reset ","")&amp;IF(AND(F26="MANUAL",J26=""),"[X]units น้ำ ","")&amp;IF(AND(N26="MANUAL",R26=""),"[X]units ไฟ ","")&amp;IF(D26=0,"[!]ค่าเช่า=0",""))</f>
        <v/>
      </c>
      <c r="AA26" s="29">
        <f>IF(C26&lt;&gt;"",C26,CONFIG!$B$6)</f>
        <v/>
      </c>
      <c r="AB26" s="29">
        <f>IF(F26&lt;&gt;"",F26,IFERROR(VLOOKUP(AA26,RULES!$A:$C,3,0),CONFIG!$B$7))</f>
        <v/>
      </c>
      <c r="AC26" s="29">
        <f>IF(IFERROR(VLOOKUP(AA26,RULES!$A:$D,4,0),"")="",CONFIG!$B$10,VLOOKUP(AA26,RULES!$A:$D,4,0))</f>
        <v/>
      </c>
      <c r="AD26" s="29">
        <f>IF(IFERROR(VLOOKUP(AA26,RULES!$A:$E,5,0),"")="",CONFIG!$B$11,VLOOKUP(AA26,RULES!$A:$E,5,0))</f>
        <v/>
      </c>
      <c r="AE26" s="29">
        <f>IFERROR(VLOOKUP(AA26,RULES!$A:$F,6,0)*1,0)</f>
        <v/>
      </c>
      <c r="AF26" s="29">
        <f>IFERROR(VLOOKUP(AA26,RULES!$A:$G,7,0)*1,0)</f>
        <v/>
      </c>
      <c r="AG26" s="29">
        <f>IFERROR(VLOOKUP(AA26,RULES!$A:$H,8,0)*1,0)</f>
        <v/>
      </c>
      <c r="AH26" s="29">
        <f>IFERROR(VLOOKUP(AA26,RULES!$A:$I,9,0)*1,0)</f>
        <v/>
      </c>
      <c r="AI26" s="29">
        <f>IFERROR(VLOOKUP(AA26,RULES!$A:$J,10,0)*1,0)</f>
        <v/>
      </c>
      <c r="AJ26" s="29">
        <f>IFERROR(IF(VLOOKUP(AA26,RULES!$A:$K,11,0)="",999999,VLOOKUP(AA26,RULES!$A:$K,11,0)*1),999999)</f>
        <v/>
      </c>
      <c r="AK26" s="29">
        <f>IFERROR(VLOOKUP(AA26,RULES!$A:$L,12,0)*1,0)</f>
        <v/>
      </c>
      <c r="AL26" s="29">
        <f>IFERROR(VLOOKUP(AA26,RULES!$A:$M,13,0),"NONE")</f>
        <v/>
      </c>
      <c r="AM26" s="29">
        <f>IFERROR(VLOOKUP(AA26,RULES!$A:$N,14,0)*1,0)</f>
        <v/>
      </c>
      <c r="AN26" s="29">
        <f>IFERROR(VLOOKUP(AA26,RULES!$A:$O,15,0)*1,0)</f>
        <v/>
      </c>
      <c r="AO26" s="29">
        <f>IF(N26&lt;&gt;"",N26,IFERROR(VLOOKUP(AA26,RULES!$A:$P,16,0),CONFIG!$B$8))</f>
        <v/>
      </c>
      <c r="AP26" s="29">
        <f>IF(IFERROR(VLOOKUP(AA26,RULES!$A:$Q,17,0),"")="",CONFIG!$B$13,VLOOKUP(AA26,RULES!$A:$Q,17,0))</f>
        <v/>
      </c>
      <c r="AQ26" s="29">
        <f>IF(IFERROR(VLOOKUP(AA26,RULES!$A:$R,18,0),"")="",CONFIG!$B$14,VLOOKUP(AA26,RULES!$A:$R,18,0))</f>
        <v/>
      </c>
      <c r="AR26" s="29">
        <f>IFERROR(VLOOKUP(AA26,RULES!$A:$S,19,0)*1,0)</f>
        <v/>
      </c>
      <c r="AS26" s="29">
        <f>IFERROR(VLOOKUP(AA26,RULES!$A:$T,20,0)*1,0)</f>
        <v/>
      </c>
      <c r="AT26" s="29">
        <f>IFERROR(VLOOKUP(AA26,RULES!$A:$U,21,0)*1,0)</f>
        <v/>
      </c>
      <c r="AU26" s="29">
        <f>IFERROR(VLOOKUP(AA26,RULES!$A:$V,22,0)*1,0)</f>
        <v/>
      </c>
      <c r="AV26" s="29">
        <f>IFERROR(VLOOKUP(AA26,RULES!$A:$W,23,0)*1,0)</f>
        <v/>
      </c>
      <c r="AW26" s="29">
        <f>IFERROR(IF(VLOOKUP(AA26,RULES!$A:$X,24,0)="",999999,VLOOKUP(AA26,RULES!$A:$X,24,0)*1),999999)</f>
        <v/>
      </c>
      <c r="AX26" s="29">
        <f>IFERROR(VLOOKUP(AA26,RULES!$A:$Y,25,0)*1,0)</f>
        <v/>
      </c>
      <c r="AY26" s="29">
        <f>IFERROR(VLOOKUP(AA26,RULES!$A:$Z,26,0),"NONE")</f>
        <v/>
      </c>
      <c r="AZ26" s="29">
        <f>IFERROR(VLOOKUP(AA26,RULES!$A:$AA,27,0)*1,0)</f>
        <v/>
      </c>
      <c r="BA26" s="29">
        <f>IFERROR(VLOOKUP(AA26,RULES!$A:$AB,28,0)*1,0)</f>
        <v/>
      </c>
    </row>
    <row r="27" ht="17" customHeight="1">
      <c r="A27" s="22" t="inlineStr">
        <is>
          <t>3724</t>
        </is>
      </c>
      <c r="B27" s="48" t="inlineStr">
        <is>
          <t>ACC007</t>
        </is>
      </c>
      <c r="C27" s="48" t="inlineStr">
        <is>
          <t>DEFAULT</t>
        </is>
      </c>
      <c r="D27" s="47" t="n"/>
      <c r="E27" s="22">
        <f>IF(OR(D27="",D27=0),"INACTIVE","ACTIVE")</f>
        <v/>
      </c>
      <c r="F27" s="48" t="inlineStr">
        <is>
          <t>NORMAL</t>
        </is>
      </c>
      <c r="G27" s="25" t="n"/>
      <c r="H27" s="25" t="n"/>
      <c r="I27" s="26">
        <f>IF(OR(E27="INACTIVE",H27=""),0,MAX(0,H27-G27))</f>
        <v/>
      </c>
      <c r="J27" s="23" t="n"/>
      <c r="K27" s="26">
        <f>IF(OR(E27="INACTIVE",H27=""),0,IF(AB27="DISABLED",0,IF(AB27="FLAT",AE27,IF(AB27="MANUAL",IF(J27="",0,J27*AC27),IF(AB27="STEP",IF(I27&lt;=AF27,I27*AG27,IF(I27&lt;=AH27,AF27*AG27+(I27-AF27)*AI27,AF27*AG27+(AH27-AF27)*AI27+(I27-AH27)*AK27)),MAX(I27*AC27,AD27))))))</f>
        <v/>
      </c>
      <c r="L27" s="26">
        <f>IF(OR(E27="INACTIVE",H27=""),0,IF(AL27="NONE",0,IF(AL27="FLAT",AM27,IF(AL27="PER_UNIT",I27*AN27,IF(AL27="MANUAL",IF(M27="",0,M27),0)))))</f>
        <v/>
      </c>
      <c r="M27" s="23" t="n"/>
      <c r="N27" s="48" t="inlineStr">
        <is>
          <t>NORMAL</t>
        </is>
      </c>
      <c r="O27" s="25" t="n"/>
      <c r="P27" s="25" t="n"/>
      <c r="Q27" s="26">
        <f>IF(OR(E27="INACTIVE",P27=""),0,MAX(0,P27-O27))</f>
        <v/>
      </c>
      <c r="R27" s="23" t="n"/>
      <c r="S27" s="26">
        <f>IF(OR(E27="INACTIVE",P27=""),0,IF(AO27="DISABLED",0,IF(AO27="FLAT",AR27,IF(AO27="MANUAL",IF(R27="",0,R27*AP27),IF(AO27="STEP",IF(Q27&lt;=AS27,Q27*AT27,IF(Q27&lt;=AU27,AS27*AT27+(Q27-AS27)*AV27,AS27*AT27+(AU27-AS27)*AV27+(Q27-AU27)*AX27)),MAX(Q27*AP27,AQ27))))))</f>
        <v/>
      </c>
      <c r="T27" s="26">
        <f>IF(OR(E27="INACTIVE",P27=""),0,IF(AY27="NONE",0,IF(AY27="FLAT",AZ27,IF(AY27="PER_UNIT",Q27*BA27,IF(AY27="MANUAL",IF(U27="",0,U27),0)))))</f>
        <v/>
      </c>
      <c r="U27" s="23" t="n"/>
      <c r="V27" s="25" t="n"/>
      <c r="W27" s="25" t="n"/>
      <c r="X27" s="26">
        <f>IF(E27="INACTIVE",0,D27+K27+L27+S27+T27+IF(V27="",0,V27)+IF(W27="",0,W27))</f>
        <v/>
      </c>
      <c r="Y27" s="27" t="n"/>
      <c r="Z27" s="28">
        <f>IF(E27="INACTIVE","_",IF(AND(G27&gt;0,H27&gt;0,H27&lt;G27),"[!]น้ำ reset ","")&amp;IF(AND(O27&gt;0,P27&gt;0,P27&lt;O27),"[!]ไฟ reset ","")&amp;IF(AND(F27="MANUAL",J27=""),"[X]units น้ำ ","")&amp;IF(AND(N27="MANUAL",R27=""),"[X]units ไฟ ","")&amp;IF(D27=0,"[!]ค่าเช่า=0",""))</f>
        <v/>
      </c>
      <c r="AA27" s="29">
        <f>IF(C27&lt;&gt;"",C27,CONFIG!$B$6)</f>
        <v/>
      </c>
      <c r="AB27" s="29">
        <f>IF(F27&lt;&gt;"",F27,IFERROR(VLOOKUP(AA27,RULES!$A:$C,3,0),CONFIG!$B$7))</f>
        <v/>
      </c>
      <c r="AC27" s="29">
        <f>IF(IFERROR(VLOOKUP(AA27,RULES!$A:$D,4,0),"")="",CONFIG!$B$10,VLOOKUP(AA27,RULES!$A:$D,4,0))</f>
        <v/>
      </c>
      <c r="AD27" s="29">
        <f>IF(IFERROR(VLOOKUP(AA27,RULES!$A:$E,5,0),"")="",CONFIG!$B$11,VLOOKUP(AA27,RULES!$A:$E,5,0))</f>
        <v/>
      </c>
      <c r="AE27" s="29">
        <f>IFERROR(VLOOKUP(AA27,RULES!$A:$F,6,0)*1,0)</f>
        <v/>
      </c>
      <c r="AF27" s="29">
        <f>IFERROR(VLOOKUP(AA27,RULES!$A:$G,7,0)*1,0)</f>
        <v/>
      </c>
      <c r="AG27" s="29">
        <f>IFERROR(VLOOKUP(AA27,RULES!$A:$H,8,0)*1,0)</f>
        <v/>
      </c>
      <c r="AH27" s="29">
        <f>IFERROR(VLOOKUP(AA27,RULES!$A:$I,9,0)*1,0)</f>
        <v/>
      </c>
      <c r="AI27" s="29">
        <f>IFERROR(VLOOKUP(AA27,RULES!$A:$J,10,0)*1,0)</f>
        <v/>
      </c>
      <c r="AJ27" s="29">
        <f>IFERROR(IF(VLOOKUP(AA27,RULES!$A:$K,11,0)="",999999,VLOOKUP(AA27,RULES!$A:$K,11,0)*1),999999)</f>
        <v/>
      </c>
      <c r="AK27" s="29">
        <f>IFERROR(VLOOKUP(AA27,RULES!$A:$L,12,0)*1,0)</f>
        <v/>
      </c>
      <c r="AL27" s="29">
        <f>IFERROR(VLOOKUP(AA27,RULES!$A:$M,13,0),"NONE")</f>
        <v/>
      </c>
      <c r="AM27" s="29">
        <f>IFERROR(VLOOKUP(AA27,RULES!$A:$N,14,0)*1,0)</f>
        <v/>
      </c>
      <c r="AN27" s="29">
        <f>IFERROR(VLOOKUP(AA27,RULES!$A:$O,15,0)*1,0)</f>
        <v/>
      </c>
      <c r="AO27" s="29">
        <f>IF(N27&lt;&gt;"",N27,IFERROR(VLOOKUP(AA27,RULES!$A:$P,16,0),CONFIG!$B$8))</f>
        <v/>
      </c>
      <c r="AP27" s="29">
        <f>IF(IFERROR(VLOOKUP(AA27,RULES!$A:$Q,17,0),"")="",CONFIG!$B$13,VLOOKUP(AA27,RULES!$A:$Q,17,0))</f>
        <v/>
      </c>
      <c r="AQ27" s="29">
        <f>IF(IFERROR(VLOOKUP(AA27,RULES!$A:$R,18,0),"")="",CONFIG!$B$14,VLOOKUP(AA27,RULES!$A:$R,18,0))</f>
        <v/>
      </c>
      <c r="AR27" s="29">
        <f>IFERROR(VLOOKUP(AA27,RULES!$A:$S,19,0)*1,0)</f>
        <v/>
      </c>
      <c r="AS27" s="29">
        <f>IFERROR(VLOOKUP(AA27,RULES!$A:$T,20,0)*1,0)</f>
        <v/>
      </c>
      <c r="AT27" s="29">
        <f>IFERROR(VLOOKUP(AA27,RULES!$A:$U,21,0)*1,0)</f>
        <v/>
      </c>
      <c r="AU27" s="29">
        <f>IFERROR(VLOOKUP(AA27,RULES!$A:$V,22,0)*1,0)</f>
        <v/>
      </c>
      <c r="AV27" s="29">
        <f>IFERROR(VLOOKUP(AA27,RULES!$A:$W,23,0)*1,0)</f>
        <v/>
      </c>
      <c r="AW27" s="29">
        <f>IFERROR(IF(VLOOKUP(AA27,RULES!$A:$X,24,0)="",999999,VLOOKUP(AA27,RULES!$A:$X,24,0)*1),999999)</f>
        <v/>
      </c>
      <c r="AX27" s="29">
        <f>IFERROR(VLOOKUP(AA27,RULES!$A:$Y,25,0)*1,0)</f>
        <v/>
      </c>
      <c r="AY27" s="29">
        <f>IFERROR(VLOOKUP(AA27,RULES!$A:$Z,26,0),"NONE")</f>
        <v/>
      </c>
      <c r="AZ27" s="29">
        <f>IFERROR(VLOOKUP(AA27,RULES!$A:$AA,27,0)*1,0)</f>
        <v/>
      </c>
      <c r="BA27" s="29">
        <f>IFERROR(VLOOKUP(AA27,RULES!$A:$AB,28,0)*1,0)</f>
        <v/>
      </c>
    </row>
    <row r="28" ht="17" customHeight="1">
      <c r="A28" s="22" t="inlineStr">
        <is>
          <t>3725</t>
        </is>
      </c>
      <c r="B28" s="48" t="inlineStr">
        <is>
          <t>ACC007</t>
        </is>
      </c>
      <c r="C28" s="48" t="inlineStr">
        <is>
          <t>DEFAULT</t>
        </is>
      </c>
      <c r="D28" s="47" t="n"/>
      <c r="E28" s="22">
        <f>IF(OR(D28="",D28=0),"INACTIVE","ACTIVE")</f>
        <v/>
      </c>
      <c r="F28" s="48" t="inlineStr">
        <is>
          <t>NORMAL</t>
        </is>
      </c>
      <c r="G28" s="25" t="n"/>
      <c r="H28" s="25" t="n"/>
      <c r="I28" s="26">
        <f>IF(OR(E28="INACTIVE",H28=""),0,MAX(0,H28-G28))</f>
        <v/>
      </c>
      <c r="J28" s="23" t="n"/>
      <c r="K28" s="26">
        <f>IF(OR(E28="INACTIVE",H28=""),0,IF(AB28="DISABLED",0,IF(AB28="FLAT",AE28,IF(AB28="MANUAL",IF(J28="",0,J28*AC28),IF(AB28="STEP",IF(I28&lt;=AF28,I28*AG28,IF(I28&lt;=AH28,AF28*AG28+(I28-AF28)*AI28,AF28*AG28+(AH28-AF28)*AI28+(I28-AH28)*AK28)),MAX(I28*AC28,AD28))))))</f>
        <v/>
      </c>
      <c r="L28" s="26">
        <f>IF(OR(E28="INACTIVE",H28=""),0,IF(AL28="NONE",0,IF(AL28="FLAT",AM28,IF(AL28="PER_UNIT",I28*AN28,IF(AL28="MANUAL",IF(M28="",0,M28),0)))))</f>
        <v/>
      </c>
      <c r="M28" s="23" t="n"/>
      <c r="N28" s="48" t="inlineStr">
        <is>
          <t>NORMAL</t>
        </is>
      </c>
      <c r="O28" s="25" t="n"/>
      <c r="P28" s="25" t="n"/>
      <c r="Q28" s="26">
        <f>IF(OR(E28="INACTIVE",P28=""),0,MAX(0,P28-O28))</f>
        <v/>
      </c>
      <c r="R28" s="23" t="n"/>
      <c r="S28" s="26">
        <f>IF(OR(E28="INACTIVE",P28=""),0,IF(AO28="DISABLED",0,IF(AO28="FLAT",AR28,IF(AO28="MANUAL",IF(R28="",0,R28*AP28),IF(AO28="STEP",IF(Q28&lt;=AS28,Q28*AT28,IF(Q28&lt;=AU28,AS28*AT28+(Q28-AS28)*AV28,AS28*AT28+(AU28-AS28)*AV28+(Q28-AU28)*AX28)),MAX(Q28*AP28,AQ28))))))</f>
        <v/>
      </c>
      <c r="T28" s="26">
        <f>IF(OR(E28="INACTIVE",P28=""),0,IF(AY28="NONE",0,IF(AY28="FLAT",AZ28,IF(AY28="PER_UNIT",Q28*BA28,IF(AY28="MANUAL",IF(U28="",0,U28),0)))))</f>
        <v/>
      </c>
      <c r="U28" s="23" t="n"/>
      <c r="V28" s="25" t="n"/>
      <c r="W28" s="25" t="n"/>
      <c r="X28" s="26">
        <f>IF(E28="INACTIVE",0,D28+K28+L28+S28+T28+IF(V28="",0,V28)+IF(W28="",0,W28))</f>
        <v/>
      </c>
      <c r="Y28" s="27" t="n"/>
      <c r="Z28" s="28">
        <f>IF(E28="INACTIVE","_",IF(AND(G28&gt;0,H28&gt;0,H28&lt;G28),"[!]น้ำ reset ","")&amp;IF(AND(O28&gt;0,P28&gt;0,P28&lt;O28),"[!]ไฟ reset ","")&amp;IF(AND(F28="MANUAL",J28=""),"[X]units น้ำ ","")&amp;IF(AND(N28="MANUAL",R28=""),"[X]units ไฟ ","")&amp;IF(D28=0,"[!]ค่าเช่า=0",""))</f>
        <v/>
      </c>
      <c r="AA28" s="29">
        <f>IF(C28&lt;&gt;"",C28,CONFIG!$B$6)</f>
        <v/>
      </c>
      <c r="AB28" s="29">
        <f>IF(F28&lt;&gt;"",F28,IFERROR(VLOOKUP(AA28,RULES!$A:$C,3,0),CONFIG!$B$7))</f>
        <v/>
      </c>
      <c r="AC28" s="29">
        <f>IF(IFERROR(VLOOKUP(AA28,RULES!$A:$D,4,0),"")="",CONFIG!$B$10,VLOOKUP(AA28,RULES!$A:$D,4,0))</f>
        <v/>
      </c>
      <c r="AD28" s="29">
        <f>IF(IFERROR(VLOOKUP(AA28,RULES!$A:$E,5,0),"")="",CONFIG!$B$11,VLOOKUP(AA28,RULES!$A:$E,5,0))</f>
        <v/>
      </c>
      <c r="AE28" s="29">
        <f>IFERROR(VLOOKUP(AA28,RULES!$A:$F,6,0)*1,0)</f>
        <v/>
      </c>
      <c r="AF28" s="29">
        <f>IFERROR(VLOOKUP(AA28,RULES!$A:$G,7,0)*1,0)</f>
        <v/>
      </c>
      <c r="AG28" s="29">
        <f>IFERROR(VLOOKUP(AA28,RULES!$A:$H,8,0)*1,0)</f>
        <v/>
      </c>
      <c r="AH28" s="29">
        <f>IFERROR(VLOOKUP(AA28,RULES!$A:$I,9,0)*1,0)</f>
        <v/>
      </c>
      <c r="AI28" s="29">
        <f>IFERROR(VLOOKUP(AA28,RULES!$A:$J,10,0)*1,0)</f>
        <v/>
      </c>
      <c r="AJ28" s="29">
        <f>IFERROR(IF(VLOOKUP(AA28,RULES!$A:$K,11,0)="",999999,VLOOKUP(AA28,RULES!$A:$K,11,0)*1),999999)</f>
        <v/>
      </c>
      <c r="AK28" s="29">
        <f>IFERROR(VLOOKUP(AA28,RULES!$A:$L,12,0)*1,0)</f>
        <v/>
      </c>
      <c r="AL28" s="29">
        <f>IFERROR(VLOOKUP(AA28,RULES!$A:$M,13,0),"NONE")</f>
        <v/>
      </c>
      <c r="AM28" s="29">
        <f>IFERROR(VLOOKUP(AA28,RULES!$A:$N,14,0)*1,0)</f>
        <v/>
      </c>
      <c r="AN28" s="29">
        <f>IFERROR(VLOOKUP(AA28,RULES!$A:$O,15,0)*1,0)</f>
        <v/>
      </c>
      <c r="AO28" s="29">
        <f>IF(N28&lt;&gt;"",N28,IFERROR(VLOOKUP(AA28,RULES!$A:$P,16,0),CONFIG!$B$8))</f>
        <v/>
      </c>
      <c r="AP28" s="29">
        <f>IF(IFERROR(VLOOKUP(AA28,RULES!$A:$Q,17,0),"")="",CONFIG!$B$13,VLOOKUP(AA28,RULES!$A:$Q,17,0))</f>
        <v/>
      </c>
      <c r="AQ28" s="29">
        <f>IF(IFERROR(VLOOKUP(AA28,RULES!$A:$R,18,0),"")="",CONFIG!$B$14,VLOOKUP(AA28,RULES!$A:$R,18,0))</f>
        <v/>
      </c>
      <c r="AR28" s="29">
        <f>IFERROR(VLOOKUP(AA28,RULES!$A:$S,19,0)*1,0)</f>
        <v/>
      </c>
      <c r="AS28" s="29">
        <f>IFERROR(VLOOKUP(AA28,RULES!$A:$T,20,0)*1,0)</f>
        <v/>
      </c>
      <c r="AT28" s="29">
        <f>IFERROR(VLOOKUP(AA28,RULES!$A:$U,21,0)*1,0)</f>
        <v/>
      </c>
      <c r="AU28" s="29">
        <f>IFERROR(VLOOKUP(AA28,RULES!$A:$V,22,0)*1,0)</f>
        <v/>
      </c>
      <c r="AV28" s="29">
        <f>IFERROR(VLOOKUP(AA28,RULES!$A:$W,23,0)*1,0)</f>
        <v/>
      </c>
      <c r="AW28" s="29">
        <f>IFERROR(IF(VLOOKUP(AA28,RULES!$A:$X,24,0)="",999999,VLOOKUP(AA28,RULES!$A:$X,24,0)*1),999999)</f>
        <v/>
      </c>
      <c r="AX28" s="29">
        <f>IFERROR(VLOOKUP(AA28,RULES!$A:$Y,25,0)*1,0)</f>
        <v/>
      </c>
      <c r="AY28" s="29">
        <f>IFERROR(VLOOKUP(AA28,RULES!$A:$Z,26,0),"NONE")</f>
        <v/>
      </c>
      <c r="AZ28" s="29">
        <f>IFERROR(VLOOKUP(AA28,RULES!$A:$AA,27,0)*1,0)</f>
        <v/>
      </c>
      <c r="BA28" s="29">
        <f>IFERROR(VLOOKUP(AA28,RULES!$A:$AB,28,0)*1,0)</f>
        <v/>
      </c>
    </row>
    <row r="29" ht="17" customHeight="1">
      <c r="A29" s="22" t="inlineStr">
        <is>
          <t>3726</t>
        </is>
      </c>
      <c r="B29" s="48" t="inlineStr">
        <is>
          <t>ACC007</t>
        </is>
      </c>
      <c r="C29" s="48" t="inlineStr">
        <is>
          <t>DEFAULT</t>
        </is>
      </c>
      <c r="D29" s="47" t="n"/>
      <c r="E29" s="22">
        <f>IF(OR(D29="",D29=0),"INACTIVE","ACTIVE")</f>
        <v/>
      </c>
      <c r="F29" s="48" t="inlineStr">
        <is>
          <t>NORMAL</t>
        </is>
      </c>
      <c r="G29" s="25" t="n"/>
      <c r="H29" s="25" t="n"/>
      <c r="I29" s="26">
        <f>IF(OR(E29="INACTIVE",H29=""),0,MAX(0,H29-G29))</f>
        <v/>
      </c>
      <c r="J29" s="23" t="n"/>
      <c r="K29" s="26">
        <f>IF(OR(E29="INACTIVE",H29=""),0,IF(AB29="DISABLED",0,IF(AB29="FLAT",AE29,IF(AB29="MANUAL",IF(J29="",0,J29*AC29),IF(AB29="STEP",IF(I29&lt;=AF29,I29*AG29,IF(I29&lt;=AH29,AF29*AG29+(I29-AF29)*AI29,AF29*AG29+(AH29-AF29)*AI29+(I29-AH29)*AK29)),MAX(I29*AC29,AD29))))))</f>
        <v/>
      </c>
      <c r="L29" s="26">
        <f>IF(OR(E29="INACTIVE",H29=""),0,IF(AL29="NONE",0,IF(AL29="FLAT",AM29,IF(AL29="PER_UNIT",I29*AN29,IF(AL29="MANUAL",IF(M29="",0,M29),0)))))</f>
        <v/>
      </c>
      <c r="M29" s="23" t="n"/>
      <c r="N29" s="48" t="inlineStr">
        <is>
          <t>NORMAL</t>
        </is>
      </c>
      <c r="O29" s="25" t="n"/>
      <c r="P29" s="25" t="n"/>
      <c r="Q29" s="26">
        <f>IF(OR(E29="INACTIVE",P29=""),0,MAX(0,P29-O29))</f>
        <v/>
      </c>
      <c r="R29" s="23" t="n"/>
      <c r="S29" s="26">
        <f>IF(OR(E29="INACTIVE",P29=""),0,IF(AO29="DISABLED",0,IF(AO29="FLAT",AR29,IF(AO29="MANUAL",IF(R29="",0,R29*AP29),IF(AO29="STEP",IF(Q29&lt;=AS29,Q29*AT29,IF(Q29&lt;=AU29,AS29*AT29+(Q29-AS29)*AV29,AS29*AT29+(AU29-AS29)*AV29+(Q29-AU29)*AX29)),MAX(Q29*AP29,AQ29))))))</f>
        <v/>
      </c>
      <c r="T29" s="26">
        <f>IF(OR(E29="INACTIVE",P29=""),0,IF(AY29="NONE",0,IF(AY29="FLAT",AZ29,IF(AY29="PER_UNIT",Q29*BA29,IF(AY29="MANUAL",IF(U29="",0,U29),0)))))</f>
        <v/>
      </c>
      <c r="U29" s="23" t="n"/>
      <c r="V29" s="25" t="n"/>
      <c r="W29" s="25" t="n"/>
      <c r="X29" s="26">
        <f>IF(E29="INACTIVE",0,D29+K29+L29+S29+T29+IF(V29="",0,V29)+IF(W29="",0,W29))</f>
        <v/>
      </c>
      <c r="Y29" s="27" t="n"/>
      <c r="Z29" s="28">
        <f>IF(E29="INACTIVE","_",IF(AND(G29&gt;0,H29&gt;0,H29&lt;G29),"[!]น้ำ reset ","")&amp;IF(AND(O29&gt;0,P29&gt;0,P29&lt;O29),"[!]ไฟ reset ","")&amp;IF(AND(F29="MANUAL",J29=""),"[X]units น้ำ ","")&amp;IF(AND(N29="MANUAL",R29=""),"[X]units ไฟ ","")&amp;IF(D29=0,"[!]ค่าเช่า=0",""))</f>
        <v/>
      </c>
      <c r="AA29" s="29">
        <f>IF(C29&lt;&gt;"",C29,CONFIG!$B$6)</f>
        <v/>
      </c>
      <c r="AB29" s="29">
        <f>IF(F29&lt;&gt;"",F29,IFERROR(VLOOKUP(AA29,RULES!$A:$C,3,0),CONFIG!$B$7))</f>
        <v/>
      </c>
      <c r="AC29" s="29">
        <f>IF(IFERROR(VLOOKUP(AA29,RULES!$A:$D,4,0),"")="",CONFIG!$B$10,VLOOKUP(AA29,RULES!$A:$D,4,0))</f>
        <v/>
      </c>
      <c r="AD29" s="29">
        <f>IF(IFERROR(VLOOKUP(AA29,RULES!$A:$E,5,0),"")="",CONFIG!$B$11,VLOOKUP(AA29,RULES!$A:$E,5,0))</f>
        <v/>
      </c>
      <c r="AE29" s="29">
        <f>IFERROR(VLOOKUP(AA29,RULES!$A:$F,6,0)*1,0)</f>
        <v/>
      </c>
      <c r="AF29" s="29">
        <f>IFERROR(VLOOKUP(AA29,RULES!$A:$G,7,0)*1,0)</f>
        <v/>
      </c>
      <c r="AG29" s="29">
        <f>IFERROR(VLOOKUP(AA29,RULES!$A:$H,8,0)*1,0)</f>
        <v/>
      </c>
      <c r="AH29" s="29">
        <f>IFERROR(VLOOKUP(AA29,RULES!$A:$I,9,0)*1,0)</f>
        <v/>
      </c>
      <c r="AI29" s="29">
        <f>IFERROR(VLOOKUP(AA29,RULES!$A:$J,10,0)*1,0)</f>
        <v/>
      </c>
      <c r="AJ29" s="29">
        <f>IFERROR(IF(VLOOKUP(AA29,RULES!$A:$K,11,0)="",999999,VLOOKUP(AA29,RULES!$A:$K,11,0)*1),999999)</f>
        <v/>
      </c>
      <c r="AK29" s="29">
        <f>IFERROR(VLOOKUP(AA29,RULES!$A:$L,12,0)*1,0)</f>
        <v/>
      </c>
      <c r="AL29" s="29">
        <f>IFERROR(VLOOKUP(AA29,RULES!$A:$M,13,0),"NONE")</f>
        <v/>
      </c>
      <c r="AM29" s="29">
        <f>IFERROR(VLOOKUP(AA29,RULES!$A:$N,14,0)*1,0)</f>
        <v/>
      </c>
      <c r="AN29" s="29">
        <f>IFERROR(VLOOKUP(AA29,RULES!$A:$O,15,0)*1,0)</f>
        <v/>
      </c>
      <c r="AO29" s="29">
        <f>IF(N29&lt;&gt;"",N29,IFERROR(VLOOKUP(AA29,RULES!$A:$P,16,0),CONFIG!$B$8))</f>
        <v/>
      </c>
      <c r="AP29" s="29">
        <f>IF(IFERROR(VLOOKUP(AA29,RULES!$A:$Q,17,0),"")="",CONFIG!$B$13,VLOOKUP(AA29,RULES!$A:$Q,17,0))</f>
        <v/>
      </c>
      <c r="AQ29" s="29">
        <f>IF(IFERROR(VLOOKUP(AA29,RULES!$A:$R,18,0),"")="",CONFIG!$B$14,VLOOKUP(AA29,RULES!$A:$R,18,0))</f>
        <v/>
      </c>
      <c r="AR29" s="29">
        <f>IFERROR(VLOOKUP(AA29,RULES!$A:$S,19,0)*1,0)</f>
        <v/>
      </c>
      <c r="AS29" s="29">
        <f>IFERROR(VLOOKUP(AA29,RULES!$A:$T,20,0)*1,0)</f>
        <v/>
      </c>
      <c r="AT29" s="29">
        <f>IFERROR(VLOOKUP(AA29,RULES!$A:$U,21,0)*1,0)</f>
        <v/>
      </c>
      <c r="AU29" s="29">
        <f>IFERROR(VLOOKUP(AA29,RULES!$A:$V,22,0)*1,0)</f>
        <v/>
      </c>
      <c r="AV29" s="29">
        <f>IFERROR(VLOOKUP(AA29,RULES!$A:$W,23,0)*1,0)</f>
        <v/>
      </c>
      <c r="AW29" s="29">
        <f>IFERROR(IF(VLOOKUP(AA29,RULES!$A:$X,24,0)="",999999,VLOOKUP(AA29,RULES!$A:$X,24,0)*1),999999)</f>
        <v/>
      </c>
      <c r="AX29" s="29">
        <f>IFERROR(VLOOKUP(AA29,RULES!$A:$Y,25,0)*1,0)</f>
        <v/>
      </c>
      <c r="AY29" s="29">
        <f>IFERROR(VLOOKUP(AA29,RULES!$A:$Z,26,0),"NONE")</f>
        <v/>
      </c>
      <c r="AZ29" s="29">
        <f>IFERROR(VLOOKUP(AA29,RULES!$A:$AA,27,0)*1,0)</f>
        <v/>
      </c>
      <c r="BA29" s="29">
        <f>IFERROR(VLOOKUP(AA29,RULES!$A:$AB,28,0)*1,0)</f>
        <v/>
      </c>
    </row>
    <row r="30" ht="17" customHeight="1">
      <c r="A30" s="22" t="inlineStr">
        <is>
          <t>3727</t>
        </is>
      </c>
      <c r="B30" s="48" t="inlineStr">
        <is>
          <t>ACC007</t>
        </is>
      </c>
      <c r="C30" s="48" t="inlineStr">
        <is>
          <t>DEFAULT</t>
        </is>
      </c>
      <c r="D30" s="47" t="n"/>
      <c r="E30" s="22">
        <f>IF(OR(D30="",D30=0),"INACTIVE","ACTIVE")</f>
        <v/>
      </c>
      <c r="F30" s="48" t="inlineStr">
        <is>
          <t>NORMAL</t>
        </is>
      </c>
      <c r="G30" s="25" t="n"/>
      <c r="H30" s="25" t="n"/>
      <c r="I30" s="26">
        <f>IF(OR(E30="INACTIVE",H30=""),0,MAX(0,H30-G30))</f>
        <v/>
      </c>
      <c r="J30" s="23" t="n"/>
      <c r="K30" s="26">
        <f>IF(OR(E30="INACTIVE",H30=""),0,IF(AB30="DISABLED",0,IF(AB30="FLAT",AE30,IF(AB30="MANUAL",IF(J30="",0,J30*AC30),IF(AB30="STEP",IF(I30&lt;=AF30,I30*AG30,IF(I30&lt;=AH30,AF30*AG30+(I30-AF30)*AI30,AF30*AG30+(AH30-AF30)*AI30+(I30-AH30)*AK30)),MAX(I30*AC30,AD30))))))</f>
        <v/>
      </c>
      <c r="L30" s="26">
        <f>IF(OR(E30="INACTIVE",H30=""),0,IF(AL30="NONE",0,IF(AL30="FLAT",AM30,IF(AL30="PER_UNIT",I30*AN30,IF(AL30="MANUAL",IF(M30="",0,M30),0)))))</f>
        <v/>
      </c>
      <c r="M30" s="23" t="n"/>
      <c r="N30" s="48" t="inlineStr">
        <is>
          <t>NORMAL</t>
        </is>
      </c>
      <c r="O30" s="25" t="n"/>
      <c r="P30" s="25" t="n"/>
      <c r="Q30" s="26">
        <f>IF(OR(E30="INACTIVE",P30=""),0,MAX(0,P30-O30))</f>
        <v/>
      </c>
      <c r="R30" s="23" t="n"/>
      <c r="S30" s="26">
        <f>IF(OR(E30="INACTIVE",P30=""),0,IF(AO30="DISABLED",0,IF(AO30="FLAT",AR30,IF(AO30="MANUAL",IF(R30="",0,R30*AP30),IF(AO30="STEP",IF(Q30&lt;=AS30,Q30*AT30,IF(Q30&lt;=AU30,AS30*AT30+(Q30-AS30)*AV30,AS30*AT30+(AU30-AS30)*AV30+(Q30-AU30)*AX30)),MAX(Q30*AP30,AQ30))))))</f>
        <v/>
      </c>
      <c r="T30" s="26">
        <f>IF(OR(E30="INACTIVE",P30=""),0,IF(AY30="NONE",0,IF(AY30="FLAT",AZ30,IF(AY30="PER_UNIT",Q30*BA30,IF(AY30="MANUAL",IF(U30="",0,U30),0)))))</f>
        <v/>
      </c>
      <c r="U30" s="23" t="n"/>
      <c r="V30" s="25" t="n"/>
      <c r="W30" s="25" t="n"/>
      <c r="X30" s="26">
        <f>IF(E30="INACTIVE",0,D30+K30+L30+S30+T30+IF(V30="",0,V30)+IF(W30="",0,W30))</f>
        <v/>
      </c>
      <c r="Y30" s="27" t="n"/>
      <c r="Z30" s="28">
        <f>IF(E30="INACTIVE","_",IF(AND(G30&gt;0,H30&gt;0,H30&lt;G30),"[!]น้ำ reset ","")&amp;IF(AND(O30&gt;0,P30&gt;0,P30&lt;O30),"[!]ไฟ reset ","")&amp;IF(AND(F30="MANUAL",J30=""),"[X]units น้ำ ","")&amp;IF(AND(N30="MANUAL",R30=""),"[X]units ไฟ ","")&amp;IF(D30=0,"[!]ค่าเช่า=0",""))</f>
        <v/>
      </c>
      <c r="AA30" s="29">
        <f>IF(C30&lt;&gt;"",C30,CONFIG!$B$6)</f>
        <v/>
      </c>
      <c r="AB30" s="29">
        <f>IF(F30&lt;&gt;"",F30,IFERROR(VLOOKUP(AA30,RULES!$A:$C,3,0),CONFIG!$B$7))</f>
        <v/>
      </c>
      <c r="AC30" s="29">
        <f>IF(IFERROR(VLOOKUP(AA30,RULES!$A:$D,4,0),"")="",CONFIG!$B$10,VLOOKUP(AA30,RULES!$A:$D,4,0))</f>
        <v/>
      </c>
      <c r="AD30" s="29">
        <f>IF(IFERROR(VLOOKUP(AA30,RULES!$A:$E,5,0),"")="",CONFIG!$B$11,VLOOKUP(AA30,RULES!$A:$E,5,0))</f>
        <v/>
      </c>
      <c r="AE30" s="29">
        <f>IFERROR(VLOOKUP(AA30,RULES!$A:$F,6,0)*1,0)</f>
        <v/>
      </c>
      <c r="AF30" s="29">
        <f>IFERROR(VLOOKUP(AA30,RULES!$A:$G,7,0)*1,0)</f>
        <v/>
      </c>
      <c r="AG30" s="29">
        <f>IFERROR(VLOOKUP(AA30,RULES!$A:$H,8,0)*1,0)</f>
        <v/>
      </c>
      <c r="AH30" s="29">
        <f>IFERROR(VLOOKUP(AA30,RULES!$A:$I,9,0)*1,0)</f>
        <v/>
      </c>
      <c r="AI30" s="29">
        <f>IFERROR(VLOOKUP(AA30,RULES!$A:$J,10,0)*1,0)</f>
        <v/>
      </c>
      <c r="AJ30" s="29">
        <f>IFERROR(IF(VLOOKUP(AA30,RULES!$A:$K,11,0)="",999999,VLOOKUP(AA30,RULES!$A:$K,11,0)*1),999999)</f>
        <v/>
      </c>
      <c r="AK30" s="29">
        <f>IFERROR(VLOOKUP(AA30,RULES!$A:$L,12,0)*1,0)</f>
        <v/>
      </c>
      <c r="AL30" s="29">
        <f>IFERROR(VLOOKUP(AA30,RULES!$A:$M,13,0),"NONE")</f>
        <v/>
      </c>
      <c r="AM30" s="29">
        <f>IFERROR(VLOOKUP(AA30,RULES!$A:$N,14,0)*1,0)</f>
        <v/>
      </c>
      <c r="AN30" s="29">
        <f>IFERROR(VLOOKUP(AA30,RULES!$A:$O,15,0)*1,0)</f>
        <v/>
      </c>
      <c r="AO30" s="29">
        <f>IF(N30&lt;&gt;"",N30,IFERROR(VLOOKUP(AA30,RULES!$A:$P,16,0),CONFIG!$B$8))</f>
        <v/>
      </c>
      <c r="AP30" s="29">
        <f>IF(IFERROR(VLOOKUP(AA30,RULES!$A:$Q,17,0),"")="",CONFIG!$B$13,VLOOKUP(AA30,RULES!$A:$Q,17,0))</f>
        <v/>
      </c>
      <c r="AQ30" s="29">
        <f>IF(IFERROR(VLOOKUP(AA30,RULES!$A:$R,18,0),"")="",CONFIG!$B$14,VLOOKUP(AA30,RULES!$A:$R,18,0))</f>
        <v/>
      </c>
      <c r="AR30" s="29">
        <f>IFERROR(VLOOKUP(AA30,RULES!$A:$S,19,0)*1,0)</f>
        <v/>
      </c>
      <c r="AS30" s="29">
        <f>IFERROR(VLOOKUP(AA30,RULES!$A:$T,20,0)*1,0)</f>
        <v/>
      </c>
      <c r="AT30" s="29">
        <f>IFERROR(VLOOKUP(AA30,RULES!$A:$U,21,0)*1,0)</f>
        <v/>
      </c>
      <c r="AU30" s="29">
        <f>IFERROR(VLOOKUP(AA30,RULES!$A:$V,22,0)*1,0)</f>
        <v/>
      </c>
      <c r="AV30" s="29">
        <f>IFERROR(VLOOKUP(AA30,RULES!$A:$W,23,0)*1,0)</f>
        <v/>
      </c>
      <c r="AW30" s="29">
        <f>IFERROR(IF(VLOOKUP(AA30,RULES!$A:$X,24,0)="",999999,VLOOKUP(AA30,RULES!$A:$X,24,0)*1),999999)</f>
        <v/>
      </c>
      <c r="AX30" s="29">
        <f>IFERROR(VLOOKUP(AA30,RULES!$A:$Y,25,0)*1,0)</f>
        <v/>
      </c>
      <c r="AY30" s="29">
        <f>IFERROR(VLOOKUP(AA30,RULES!$A:$Z,26,0),"NONE")</f>
        <v/>
      </c>
      <c r="AZ30" s="29">
        <f>IFERROR(VLOOKUP(AA30,RULES!$A:$AA,27,0)*1,0)</f>
        <v/>
      </c>
      <c r="BA30" s="29">
        <f>IFERROR(VLOOKUP(AA30,RULES!$A:$AB,28,0)*1,0)</f>
        <v/>
      </c>
    </row>
    <row r="31" ht="17" customHeight="1">
      <c r="A31" s="22" t="inlineStr">
        <is>
          <t>3728</t>
        </is>
      </c>
      <c r="B31" s="48" t="inlineStr">
        <is>
          <t>ACC007</t>
        </is>
      </c>
      <c r="C31" s="48" t="inlineStr">
        <is>
          <t>DEFAULT</t>
        </is>
      </c>
      <c r="D31" s="47" t="n"/>
      <c r="E31" s="22">
        <f>IF(OR(D31="",D31=0),"INACTIVE","ACTIVE")</f>
        <v/>
      </c>
      <c r="F31" s="48" t="inlineStr">
        <is>
          <t>NORMAL</t>
        </is>
      </c>
      <c r="G31" s="25" t="n"/>
      <c r="H31" s="25" t="n"/>
      <c r="I31" s="26">
        <f>IF(OR(E31="INACTIVE",H31=""),0,MAX(0,H31-G31))</f>
        <v/>
      </c>
      <c r="J31" s="23" t="n"/>
      <c r="K31" s="26">
        <f>IF(OR(E31="INACTIVE",H31=""),0,IF(AB31="DISABLED",0,IF(AB31="FLAT",AE31,IF(AB31="MANUAL",IF(J31="",0,J31*AC31),IF(AB31="STEP",IF(I31&lt;=AF31,I31*AG31,IF(I31&lt;=AH31,AF31*AG31+(I31-AF31)*AI31,AF31*AG31+(AH31-AF31)*AI31+(I31-AH31)*AK31)),MAX(I31*AC31,AD31))))))</f>
        <v/>
      </c>
      <c r="L31" s="26">
        <f>IF(OR(E31="INACTIVE",H31=""),0,IF(AL31="NONE",0,IF(AL31="FLAT",AM31,IF(AL31="PER_UNIT",I31*AN31,IF(AL31="MANUAL",IF(M31="",0,M31),0)))))</f>
        <v/>
      </c>
      <c r="M31" s="23" t="n"/>
      <c r="N31" s="48" t="inlineStr">
        <is>
          <t>NORMAL</t>
        </is>
      </c>
      <c r="O31" s="25" t="n"/>
      <c r="P31" s="25" t="n"/>
      <c r="Q31" s="26">
        <f>IF(OR(E31="INACTIVE",P31=""),0,MAX(0,P31-O31))</f>
        <v/>
      </c>
      <c r="R31" s="23" t="n"/>
      <c r="S31" s="26">
        <f>IF(OR(E31="INACTIVE",P31=""),0,IF(AO31="DISABLED",0,IF(AO31="FLAT",AR31,IF(AO31="MANUAL",IF(R31="",0,R31*AP31),IF(AO31="STEP",IF(Q31&lt;=AS31,Q31*AT31,IF(Q31&lt;=AU31,AS31*AT31+(Q31-AS31)*AV31,AS31*AT31+(AU31-AS31)*AV31+(Q31-AU31)*AX31)),MAX(Q31*AP31,AQ31))))))</f>
        <v/>
      </c>
      <c r="T31" s="26">
        <f>IF(OR(E31="INACTIVE",P31=""),0,IF(AY31="NONE",0,IF(AY31="FLAT",AZ31,IF(AY31="PER_UNIT",Q31*BA31,IF(AY31="MANUAL",IF(U31="",0,U31),0)))))</f>
        <v/>
      </c>
      <c r="U31" s="23" t="n"/>
      <c r="V31" s="25" t="n"/>
      <c r="W31" s="25" t="n"/>
      <c r="X31" s="26">
        <f>IF(E31="INACTIVE",0,D31+K31+L31+S31+T31+IF(V31="",0,V31)+IF(W31="",0,W31))</f>
        <v/>
      </c>
      <c r="Y31" s="27" t="n"/>
      <c r="Z31" s="28">
        <f>IF(E31="INACTIVE","_",IF(AND(G31&gt;0,H31&gt;0,H31&lt;G31),"[!]น้ำ reset ","")&amp;IF(AND(O31&gt;0,P31&gt;0,P31&lt;O31),"[!]ไฟ reset ","")&amp;IF(AND(F31="MANUAL",J31=""),"[X]units น้ำ ","")&amp;IF(AND(N31="MANUAL",R31=""),"[X]units ไฟ ","")&amp;IF(D31=0,"[!]ค่าเช่า=0",""))</f>
        <v/>
      </c>
      <c r="AA31" s="29">
        <f>IF(C31&lt;&gt;"",C31,CONFIG!$B$6)</f>
        <v/>
      </c>
      <c r="AB31" s="29">
        <f>IF(F31&lt;&gt;"",F31,IFERROR(VLOOKUP(AA31,RULES!$A:$C,3,0),CONFIG!$B$7))</f>
        <v/>
      </c>
      <c r="AC31" s="29">
        <f>IF(IFERROR(VLOOKUP(AA31,RULES!$A:$D,4,0),"")="",CONFIG!$B$10,VLOOKUP(AA31,RULES!$A:$D,4,0))</f>
        <v/>
      </c>
      <c r="AD31" s="29">
        <f>IF(IFERROR(VLOOKUP(AA31,RULES!$A:$E,5,0),"")="",CONFIG!$B$11,VLOOKUP(AA31,RULES!$A:$E,5,0))</f>
        <v/>
      </c>
      <c r="AE31" s="29">
        <f>IFERROR(VLOOKUP(AA31,RULES!$A:$F,6,0)*1,0)</f>
        <v/>
      </c>
      <c r="AF31" s="29">
        <f>IFERROR(VLOOKUP(AA31,RULES!$A:$G,7,0)*1,0)</f>
        <v/>
      </c>
      <c r="AG31" s="29">
        <f>IFERROR(VLOOKUP(AA31,RULES!$A:$H,8,0)*1,0)</f>
        <v/>
      </c>
      <c r="AH31" s="29">
        <f>IFERROR(VLOOKUP(AA31,RULES!$A:$I,9,0)*1,0)</f>
        <v/>
      </c>
      <c r="AI31" s="29">
        <f>IFERROR(VLOOKUP(AA31,RULES!$A:$J,10,0)*1,0)</f>
        <v/>
      </c>
      <c r="AJ31" s="29">
        <f>IFERROR(IF(VLOOKUP(AA31,RULES!$A:$K,11,0)="",999999,VLOOKUP(AA31,RULES!$A:$K,11,0)*1),999999)</f>
        <v/>
      </c>
      <c r="AK31" s="29">
        <f>IFERROR(VLOOKUP(AA31,RULES!$A:$L,12,0)*1,0)</f>
        <v/>
      </c>
      <c r="AL31" s="29">
        <f>IFERROR(VLOOKUP(AA31,RULES!$A:$M,13,0),"NONE")</f>
        <v/>
      </c>
      <c r="AM31" s="29">
        <f>IFERROR(VLOOKUP(AA31,RULES!$A:$N,14,0)*1,0)</f>
        <v/>
      </c>
      <c r="AN31" s="29">
        <f>IFERROR(VLOOKUP(AA31,RULES!$A:$O,15,0)*1,0)</f>
        <v/>
      </c>
      <c r="AO31" s="29">
        <f>IF(N31&lt;&gt;"",N31,IFERROR(VLOOKUP(AA31,RULES!$A:$P,16,0),CONFIG!$B$8))</f>
        <v/>
      </c>
      <c r="AP31" s="29">
        <f>IF(IFERROR(VLOOKUP(AA31,RULES!$A:$Q,17,0),"")="",CONFIG!$B$13,VLOOKUP(AA31,RULES!$A:$Q,17,0))</f>
        <v/>
      </c>
      <c r="AQ31" s="29">
        <f>IF(IFERROR(VLOOKUP(AA31,RULES!$A:$R,18,0),"")="",CONFIG!$B$14,VLOOKUP(AA31,RULES!$A:$R,18,0))</f>
        <v/>
      </c>
      <c r="AR31" s="29">
        <f>IFERROR(VLOOKUP(AA31,RULES!$A:$S,19,0)*1,0)</f>
        <v/>
      </c>
      <c r="AS31" s="29">
        <f>IFERROR(VLOOKUP(AA31,RULES!$A:$T,20,0)*1,0)</f>
        <v/>
      </c>
      <c r="AT31" s="29">
        <f>IFERROR(VLOOKUP(AA31,RULES!$A:$U,21,0)*1,0)</f>
        <v/>
      </c>
      <c r="AU31" s="29">
        <f>IFERROR(VLOOKUP(AA31,RULES!$A:$V,22,0)*1,0)</f>
        <v/>
      </c>
      <c r="AV31" s="29">
        <f>IFERROR(VLOOKUP(AA31,RULES!$A:$W,23,0)*1,0)</f>
        <v/>
      </c>
      <c r="AW31" s="29">
        <f>IFERROR(IF(VLOOKUP(AA31,RULES!$A:$X,24,0)="",999999,VLOOKUP(AA31,RULES!$A:$X,24,0)*1),999999)</f>
        <v/>
      </c>
      <c r="AX31" s="29">
        <f>IFERROR(VLOOKUP(AA31,RULES!$A:$Y,25,0)*1,0)</f>
        <v/>
      </c>
      <c r="AY31" s="29">
        <f>IFERROR(VLOOKUP(AA31,RULES!$A:$Z,26,0),"NONE")</f>
        <v/>
      </c>
      <c r="AZ31" s="29">
        <f>IFERROR(VLOOKUP(AA31,RULES!$A:$AA,27,0)*1,0)</f>
        <v/>
      </c>
      <c r="BA31" s="29">
        <f>IFERROR(VLOOKUP(AA31,RULES!$A:$AB,28,0)*1,0)</f>
        <v/>
      </c>
    </row>
    <row r="32" ht="17" customHeight="1">
      <c r="A32" s="22" t="inlineStr">
        <is>
          <t>3729</t>
        </is>
      </c>
      <c r="B32" s="48" t="inlineStr">
        <is>
          <t>ACC007</t>
        </is>
      </c>
      <c r="C32" s="48" t="inlineStr">
        <is>
          <t>DEFAULT</t>
        </is>
      </c>
      <c r="D32" s="47" t="n"/>
      <c r="E32" s="22">
        <f>IF(OR(D32="",D32=0),"INACTIVE","ACTIVE")</f>
        <v/>
      </c>
      <c r="F32" s="48" t="inlineStr">
        <is>
          <t>NORMAL</t>
        </is>
      </c>
      <c r="G32" s="25" t="n"/>
      <c r="H32" s="25" t="n"/>
      <c r="I32" s="26">
        <f>IF(OR(E32="INACTIVE",H32=""),0,MAX(0,H32-G32))</f>
        <v/>
      </c>
      <c r="J32" s="23" t="n"/>
      <c r="K32" s="26">
        <f>IF(OR(E32="INACTIVE",H32=""),0,IF(AB32="DISABLED",0,IF(AB32="FLAT",AE32,IF(AB32="MANUAL",IF(J32="",0,J32*AC32),IF(AB32="STEP",IF(I32&lt;=AF32,I32*AG32,IF(I32&lt;=AH32,AF32*AG32+(I32-AF32)*AI32,AF32*AG32+(AH32-AF32)*AI32+(I32-AH32)*AK32)),MAX(I32*AC32,AD32))))))</f>
        <v/>
      </c>
      <c r="L32" s="26">
        <f>IF(OR(E32="INACTIVE",H32=""),0,IF(AL32="NONE",0,IF(AL32="FLAT",AM32,IF(AL32="PER_UNIT",I32*AN32,IF(AL32="MANUAL",IF(M32="",0,M32),0)))))</f>
        <v/>
      </c>
      <c r="M32" s="23" t="n"/>
      <c r="N32" s="48" t="inlineStr">
        <is>
          <t>NORMAL</t>
        </is>
      </c>
      <c r="O32" s="25" t="n"/>
      <c r="P32" s="25" t="n"/>
      <c r="Q32" s="26">
        <f>IF(OR(E32="INACTIVE",P32=""),0,MAX(0,P32-O32))</f>
        <v/>
      </c>
      <c r="R32" s="23" t="n"/>
      <c r="S32" s="26">
        <f>IF(OR(E32="INACTIVE",P32=""),0,IF(AO32="DISABLED",0,IF(AO32="FLAT",AR32,IF(AO32="MANUAL",IF(R32="",0,R32*AP32),IF(AO32="STEP",IF(Q32&lt;=AS32,Q32*AT32,IF(Q32&lt;=AU32,AS32*AT32+(Q32-AS32)*AV32,AS32*AT32+(AU32-AS32)*AV32+(Q32-AU32)*AX32)),MAX(Q32*AP32,AQ32))))))</f>
        <v/>
      </c>
      <c r="T32" s="26">
        <f>IF(OR(E32="INACTIVE",P32=""),0,IF(AY32="NONE",0,IF(AY32="FLAT",AZ32,IF(AY32="PER_UNIT",Q32*BA32,IF(AY32="MANUAL",IF(U32="",0,U32),0)))))</f>
        <v/>
      </c>
      <c r="U32" s="23" t="n"/>
      <c r="V32" s="25" t="n"/>
      <c r="W32" s="25" t="n"/>
      <c r="X32" s="26">
        <f>IF(E32="INACTIVE",0,D32+K32+L32+S32+T32+IF(V32="",0,V32)+IF(W32="",0,W32))</f>
        <v/>
      </c>
      <c r="Y32" s="27" t="n"/>
      <c r="Z32" s="28">
        <f>IF(E32="INACTIVE","_",IF(AND(G32&gt;0,H32&gt;0,H32&lt;G32),"[!]น้ำ reset ","")&amp;IF(AND(O32&gt;0,P32&gt;0,P32&lt;O32),"[!]ไฟ reset ","")&amp;IF(AND(F32="MANUAL",J32=""),"[X]units น้ำ ","")&amp;IF(AND(N32="MANUAL",R32=""),"[X]units ไฟ ","")&amp;IF(D32=0,"[!]ค่าเช่า=0",""))</f>
        <v/>
      </c>
      <c r="AA32" s="29">
        <f>IF(C32&lt;&gt;"",C32,CONFIG!$B$6)</f>
        <v/>
      </c>
      <c r="AB32" s="29">
        <f>IF(F32&lt;&gt;"",F32,IFERROR(VLOOKUP(AA32,RULES!$A:$C,3,0),CONFIG!$B$7))</f>
        <v/>
      </c>
      <c r="AC32" s="29">
        <f>IF(IFERROR(VLOOKUP(AA32,RULES!$A:$D,4,0),"")="",CONFIG!$B$10,VLOOKUP(AA32,RULES!$A:$D,4,0))</f>
        <v/>
      </c>
      <c r="AD32" s="29">
        <f>IF(IFERROR(VLOOKUP(AA32,RULES!$A:$E,5,0),"")="",CONFIG!$B$11,VLOOKUP(AA32,RULES!$A:$E,5,0))</f>
        <v/>
      </c>
      <c r="AE32" s="29">
        <f>IFERROR(VLOOKUP(AA32,RULES!$A:$F,6,0)*1,0)</f>
        <v/>
      </c>
      <c r="AF32" s="29">
        <f>IFERROR(VLOOKUP(AA32,RULES!$A:$G,7,0)*1,0)</f>
        <v/>
      </c>
      <c r="AG32" s="29">
        <f>IFERROR(VLOOKUP(AA32,RULES!$A:$H,8,0)*1,0)</f>
        <v/>
      </c>
      <c r="AH32" s="29">
        <f>IFERROR(VLOOKUP(AA32,RULES!$A:$I,9,0)*1,0)</f>
        <v/>
      </c>
      <c r="AI32" s="29">
        <f>IFERROR(VLOOKUP(AA32,RULES!$A:$J,10,0)*1,0)</f>
        <v/>
      </c>
      <c r="AJ32" s="29">
        <f>IFERROR(IF(VLOOKUP(AA32,RULES!$A:$K,11,0)="",999999,VLOOKUP(AA32,RULES!$A:$K,11,0)*1),999999)</f>
        <v/>
      </c>
      <c r="AK32" s="29">
        <f>IFERROR(VLOOKUP(AA32,RULES!$A:$L,12,0)*1,0)</f>
        <v/>
      </c>
      <c r="AL32" s="29">
        <f>IFERROR(VLOOKUP(AA32,RULES!$A:$M,13,0),"NONE")</f>
        <v/>
      </c>
      <c r="AM32" s="29">
        <f>IFERROR(VLOOKUP(AA32,RULES!$A:$N,14,0)*1,0)</f>
        <v/>
      </c>
      <c r="AN32" s="29">
        <f>IFERROR(VLOOKUP(AA32,RULES!$A:$O,15,0)*1,0)</f>
        <v/>
      </c>
      <c r="AO32" s="29">
        <f>IF(N32&lt;&gt;"",N32,IFERROR(VLOOKUP(AA32,RULES!$A:$P,16,0),CONFIG!$B$8))</f>
        <v/>
      </c>
      <c r="AP32" s="29">
        <f>IF(IFERROR(VLOOKUP(AA32,RULES!$A:$Q,17,0),"")="",CONFIG!$B$13,VLOOKUP(AA32,RULES!$A:$Q,17,0))</f>
        <v/>
      </c>
      <c r="AQ32" s="29">
        <f>IF(IFERROR(VLOOKUP(AA32,RULES!$A:$R,18,0),"")="",CONFIG!$B$14,VLOOKUP(AA32,RULES!$A:$R,18,0))</f>
        <v/>
      </c>
      <c r="AR32" s="29">
        <f>IFERROR(VLOOKUP(AA32,RULES!$A:$S,19,0)*1,0)</f>
        <v/>
      </c>
      <c r="AS32" s="29">
        <f>IFERROR(VLOOKUP(AA32,RULES!$A:$T,20,0)*1,0)</f>
        <v/>
      </c>
      <c r="AT32" s="29">
        <f>IFERROR(VLOOKUP(AA32,RULES!$A:$U,21,0)*1,0)</f>
        <v/>
      </c>
      <c r="AU32" s="29">
        <f>IFERROR(VLOOKUP(AA32,RULES!$A:$V,22,0)*1,0)</f>
        <v/>
      </c>
      <c r="AV32" s="29">
        <f>IFERROR(VLOOKUP(AA32,RULES!$A:$W,23,0)*1,0)</f>
        <v/>
      </c>
      <c r="AW32" s="29">
        <f>IFERROR(IF(VLOOKUP(AA32,RULES!$A:$X,24,0)="",999999,VLOOKUP(AA32,RULES!$A:$X,24,0)*1),999999)</f>
        <v/>
      </c>
      <c r="AX32" s="29">
        <f>IFERROR(VLOOKUP(AA32,RULES!$A:$Y,25,0)*1,0)</f>
        <v/>
      </c>
      <c r="AY32" s="29">
        <f>IFERROR(VLOOKUP(AA32,RULES!$A:$Z,26,0),"NONE")</f>
        <v/>
      </c>
      <c r="AZ32" s="29">
        <f>IFERROR(VLOOKUP(AA32,RULES!$A:$AA,27,0)*1,0)</f>
        <v/>
      </c>
      <c r="BA32" s="29">
        <f>IFERROR(VLOOKUP(AA32,RULES!$A:$AB,28,0)*1,0)</f>
        <v/>
      </c>
    </row>
    <row r="33" ht="17" customHeight="1">
      <c r="A33" s="22" t="inlineStr">
        <is>
          <t>3730</t>
        </is>
      </c>
      <c r="B33" s="48" t="inlineStr">
        <is>
          <t>ACC007</t>
        </is>
      </c>
      <c r="C33" s="48" t="inlineStr">
        <is>
          <t>DEFAULT</t>
        </is>
      </c>
      <c r="D33" s="47" t="n"/>
      <c r="E33" s="22">
        <f>IF(OR(D33="",D33=0),"INACTIVE","ACTIVE")</f>
        <v/>
      </c>
      <c r="F33" s="48" t="inlineStr">
        <is>
          <t>NORMAL</t>
        </is>
      </c>
      <c r="G33" s="25" t="n"/>
      <c r="H33" s="25" t="n"/>
      <c r="I33" s="26">
        <f>IF(OR(E33="INACTIVE",H33=""),0,MAX(0,H33-G33))</f>
        <v/>
      </c>
      <c r="J33" s="23" t="n"/>
      <c r="K33" s="26">
        <f>IF(OR(E33="INACTIVE",H33=""),0,IF(AB33="DISABLED",0,IF(AB33="FLAT",AE33,IF(AB33="MANUAL",IF(J33="",0,J33*AC33),IF(AB33="STEP",IF(I33&lt;=AF33,I33*AG33,IF(I33&lt;=AH33,AF33*AG33+(I33-AF33)*AI33,AF33*AG33+(AH33-AF33)*AI33+(I33-AH33)*AK33)),MAX(I33*AC33,AD33))))))</f>
        <v/>
      </c>
      <c r="L33" s="26">
        <f>IF(OR(E33="INACTIVE",H33=""),0,IF(AL33="NONE",0,IF(AL33="FLAT",AM33,IF(AL33="PER_UNIT",I33*AN33,IF(AL33="MANUAL",IF(M33="",0,M33),0)))))</f>
        <v/>
      </c>
      <c r="M33" s="23" t="n"/>
      <c r="N33" s="48" t="inlineStr">
        <is>
          <t>NORMAL</t>
        </is>
      </c>
      <c r="O33" s="25" t="n"/>
      <c r="P33" s="25" t="n"/>
      <c r="Q33" s="26">
        <f>IF(OR(E33="INACTIVE",P33=""),0,MAX(0,P33-O33))</f>
        <v/>
      </c>
      <c r="R33" s="23" t="n"/>
      <c r="S33" s="26">
        <f>IF(OR(E33="INACTIVE",P33=""),0,IF(AO33="DISABLED",0,IF(AO33="FLAT",AR33,IF(AO33="MANUAL",IF(R33="",0,R33*AP33),IF(AO33="STEP",IF(Q33&lt;=AS33,Q33*AT33,IF(Q33&lt;=AU33,AS33*AT33+(Q33-AS33)*AV33,AS33*AT33+(AU33-AS33)*AV33+(Q33-AU33)*AX33)),MAX(Q33*AP33,AQ33))))))</f>
        <v/>
      </c>
      <c r="T33" s="26">
        <f>IF(OR(E33="INACTIVE",P33=""),0,IF(AY33="NONE",0,IF(AY33="FLAT",AZ33,IF(AY33="PER_UNIT",Q33*BA33,IF(AY33="MANUAL",IF(U33="",0,U33),0)))))</f>
        <v/>
      </c>
      <c r="U33" s="23" t="n"/>
      <c r="V33" s="25" t="n"/>
      <c r="W33" s="25" t="n"/>
      <c r="X33" s="26">
        <f>IF(E33="INACTIVE",0,D33+K33+L33+S33+T33+IF(V33="",0,V33)+IF(W33="",0,W33))</f>
        <v/>
      </c>
      <c r="Y33" s="27" t="n"/>
      <c r="Z33" s="28">
        <f>IF(E33="INACTIVE","_",IF(AND(G33&gt;0,H33&gt;0,H33&lt;G33),"[!]น้ำ reset ","")&amp;IF(AND(O33&gt;0,P33&gt;0,P33&lt;O33),"[!]ไฟ reset ","")&amp;IF(AND(F33="MANUAL",J33=""),"[X]units น้ำ ","")&amp;IF(AND(N33="MANUAL",R33=""),"[X]units ไฟ ","")&amp;IF(D33=0,"[!]ค่าเช่า=0",""))</f>
        <v/>
      </c>
      <c r="AA33" s="29">
        <f>IF(C33&lt;&gt;"",C33,CONFIG!$B$6)</f>
        <v/>
      </c>
      <c r="AB33" s="29">
        <f>IF(F33&lt;&gt;"",F33,IFERROR(VLOOKUP(AA33,RULES!$A:$C,3,0),CONFIG!$B$7))</f>
        <v/>
      </c>
      <c r="AC33" s="29">
        <f>IF(IFERROR(VLOOKUP(AA33,RULES!$A:$D,4,0),"")="",CONFIG!$B$10,VLOOKUP(AA33,RULES!$A:$D,4,0))</f>
        <v/>
      </c>
      <c r="AD33" s="29">
        <f>IF(IFERROR(VLOOKUP(AA33,RULES!$A:$E,5,0),"")="",CONFIG!$B$11,VLOOKUP(AA33,RULES!$A:$E,5,0))</f>
        <v/>
      </c>
      <c r="AE33" s="29">
        <f>IFERROR(VLOOKUP(AA33,RULES!$A:$F,6,0)*1,0)</f>
        <v/>
      </c>
      <c r="AF33" s="29">
        <f>IFERROR(VLOOKUP(AA33,RULES!$A:$G,7,0)*1,0)</f>
        <v/>
      </c>
      <c r="AG33" s="29">
        <f>IFERROR(VLOOKUP(AA33,RULES!$A:$H,8,0)*1,0)</f>
        <v/>
      </c>
      <c r="AH33" s="29">
        <f>IFERROR(VLOOKUP(AA33,RULES!$A:$I,9,0)*1,0)</f>
        <v/>
      </c>
      <c r="AI33" s="29">
        <f>IFERROR(VLOOKUP(AA33,RULES!$A:$J,10,0)*1,0)</f>
        <v/>
      </c>
      <c r="AJ33" s="29">
        <f>IFERROR(IF(VLOOKUP(AA33,RULES!$A:$K,11,0)="",999999,VLOOKUP(AA33,RULES!$A:$K,11,0)*1),999999)</f>
        <v/>
      </c>
      <c r="AK33" s="29">
        <f>IFERROR(VLOOKUP(AA33,RULES!$A:$L,12,0)*1,0)</f>
        <v/>
      </c>
      <c r="AL33" s="29">
        <f>IFERROR(VLOOKUP(AA33,RULES!$A:$M,13,0),"NONE")</f>
        <v/>
      </c>
      <c r="AM33" s="29">
        <f>IFERROR(VLOOKUP(AA33,RULES!$A:$N,14,0)*1,0)</f>
        <v/>
      </c>
      <c r="AN33" s="29">
        <f>IFERROR(VLOOKUP(AA33,RULES!$A:$O,15,0)*1,0)</f>
        <v/>
      </c>
      <c r="AO33" s="29">
        <f>IF(N33&lt;&gt;"",N33,IFERROR(VLOOKUP(AA33,RULES!$A:$P,16,0),CONFIG!$B$8))</f>
        <v/>
      </c>
      <c r="AP33" s="29">
        <f>IF(IFERROR(VLOOKUP(AA33,RULES!$A:$Q,17,0),"")="",CONFIG!$B$13,VLOOKUP(AA33,RULES!$A:$Q,17,0))</f>
        <v/>
      </c>
      <c r="AQ33" s="29">
        <f>IF(IFERROR(VLOOKUP(AA33,RULES!$A:$R,18,0),"")="",CONFIG!$B$14,VLOOKUP(AA33,RULES!$A:$R,18,0))</f>
        <v/>
      </c>
      <c r="AR33" s="29">
        <f>IFERROR(VLOOKUP(AA33,RULES!$A:$S,19,0)*1,0)</f>
        <v/>
      </c>
      <c r="AS33" s="29">
        <f>IFERROR(VLOOKUP(AA33,RULES!$A:$T,20,0)*1,0)</f>
        <v/>
      </c>
      <c r="AT33" s="29">
        <f>IFERROR(VLOOKUP(AA33,RULES!$A:$U,21,0)*1,0)</f>
        <v/>
      </c>
      <c r="AU33" s="29">
        <f>IFERROR(VLOOKUP(AA33,RULES!$A:$V,22,0)*1,0)</f>
        <v/>
      </c>
      <c r="AV33" s="29">
        <f>IFERROR(VLOOKUP(AA33,RULES!$A:$W,23,0)*1,0)</f>
        <v/>
      </c>
      <c r="AW33" s="29">
        <f>IFERROR(IF(VLOOKUP(AA33,RULES!$A:$X,24,0)="",999999,VLOOKUP(AA33,RULES!$A:$X,24,0)*1),999999)</f>
        <v/>
      </c>
      <c r="AX33" s="29">
        <f>IFERROR(VLOOKUP(AA33,RULES!$A:$Y,25,0)*1,0)</f>
        <v/>
      </c>
      <c r="AY33" s="29">
        <f>IFERROR(VLOOKUP(AA33,RULES!$A:$Z,26,0),"NONE")</f>
        <v/>
      </c>
      <c r="AZ33" s="29">
        <f>IFERROR(VLOOKUP(AA33,RULES!$A:$AA,27,0)*1,0)</f>
        <v/>
      </c>
      <c r="BA33" s="29">
        <f>IFERROR(VLOOKUP(AA33,RULES!$A:$AB,28,0)*1,0)</f>
        <v/>
      </c>
    </row>
    <row r="34" ht="17" customHeight="1">
      <c r="A34" s="22" t="inlineStr">
        <is>
          <t>3731</t>
        </is>
      </c>
      <c r="B34" s="48" t="inlineStr">
        <is>
          <t>ACC007</t>
        </is>
      </c>
      <c r="C34" s="48" t="inlineStr">
        <is>
          <t>DEFAULT</t>
        </is>
      </c>
      <c r="D34" s="47" t="n"/>
      <c r="E34" s="22">
        <f>IF(OR(D34="",D34=0),"INACTIVE","ACTIVE")</f>
        <v/>
      </c>
      <c r="F34" s="48" t="inlineStr">
        <is>
          <t>NORMAL</t>
        </is>
      </c>
      <c r="G34" s="25" t="n"/>
      <c r="H34" s="25" t="n"/>
      <c r="I34" s="26">
        <f>IF(OR(E34="INACTIVE",H34=""),0,MAX(0,H34-G34))</f>
        <v/>
      </c>
      <c r="J34" s="23" t="n"/>
      <c r="K34" s="26">
        <f>IF(OR(E34="INACTIVE",H34=""),0,IF(AB34="DISABLED",0,IF(AB34="FLAT",AE34,IF(AB34="MANUAL",IF(J34="",0,J34*AC34),IF(AB34="STEP",IF(I34&lt;=AF34,I34*AG34,IF(I34&lt;=AH34,AF34*AG34+(I34-AF34)*AI34,AF34*AG34+(AH34-AF34)*AI34+(I34-AH34)*AK34)),MAX(I34*AC34,AD34))))))</f>
        <v/>
      </c>
      <c r="L34" s="26">
        <f>IF(OR(E34="INACTIVE",H34=""),0,IF(AL34="NONE",0,IF(AL34="FLAT",AM34,IF(AL34="PER_UNIT",I34*AN34,IF(AL34="MANUAL",IF(M34="",0,M34),0)))))</f>
        <v/>
      </c>
      <c r="M34" s="23" t="n"/>
      <c r="N34" s="48" t="inlineStr">
        <is>
          <t>NORMAL</t>
        </is>
      </c>
      <c r="O34" s="25" t="n"/>
      <c r="P34" s="25" t="n"/>
      <c r="Q34" s="26">
        <f>IF(OR(E34="INACTIVE",P34=""),0,MAX(0,P34-O34))</f>
        <v/>
      </c>
      <c r="R34" s="23" t="n"/>
      <c r="S34" s="26">
        <f>IF(OR(E34="INACTIVE",P34=""),0,IF(AO34="DISABLED",0,IF(AO34="FLAT",AR34,IF(AO34="MANUAL",IF(R34="",0,R34*AP34),IF(AO34="STEP",IF(Q34&lt;=AS34,Q34*AT34,IF(Q34&lt;=AU34,AS34*AT34+(Q34-AS34)*AV34,AS34*AT34+(AU34-AS34)*AV34+(Q34-AU34)*AX34)),MAX(Q34*AP34,AQ34))))))</f>
        <v/>
      </c>
      <c r="T34" s="26">
        <f>IF(OR(E34="INACTIVE",P34=""),0,IF(AY34="NONE",0,IF(AY34="FLAT",AZ34,IF(AY34="PER_UNIT",Q34*BA34,IF(AY34="MANUAL",IF(U34="",0,U34),0)))))</f>
        <v/>
      </c>
      <c r="U34" s="23" t="n"/>
      <c r="V34" s="25" t="n"/>
      <c r="W34" s="25" t="n"/>
      <c r="X34" s="26">
        <f>IF(E34="INACTIVE",0,D34+K34+L34+S34+T34+IF(V34="",0,V34)+IF(W34="",0,W34))</f>
        <v/>
      </c>
      <c r="Y34" s="27" t="n"/>
      <c r="Z34" s="28">
        <f>IF(E34="INACTIVE","_",IF(AND(G34&gt;0,H34&gt;0,H34&lt;G34),"[!]น้ำ reset ","")&amp;IF(AND(O34&gt;0,P34&gt;0,P34&lt;O34),"[!]ไฟ reset ","")&amp;IF(AND(F34="MANUAL",J34=""),"[X]units น้ำ ","")&amp;IF(AND(N34="MANUAL",R34=""),"[X]units ไฟ ","")&amp;IF(D34=0,"[!]ค่าเช่า=0",""))</f>
        <v/>
      </c>
      <c r="AA34" s="29">
        <f>IF(C34&lt;&gt;"",C34,CONFIG!$B$6)</f>
        <v/>
      </c>
      <c r="AB34" s="29">
        <f>IF(F34&lt;&gt;"",F34,IFERROR(VLOOKUP(AA34,RULES!$A:$C,3,0),CONFIG!$B$7))</f>
        <v/>
      </c>
      <c r="AC34" s="29">
        <f>IF(IFERROR(VLOOKUP(AA34,RULES!$A:$D,4,0),"")="",CONFIG!$B$10,VLOOKUP(AA34,RULES!$A:$D,4,0))</f>
        <v/>
      </c>
      <c r="AD34" s="29">
        <f>IF(IFERROR(VLOOKUP(AA34,RULES!$A:$E,5,0),"")="",CONFIG!$B$11,VLOOKUP(AA34,RULES!$A:$E,5,0))</f>
        <v/>
      </c>
      <c r="AE34" s="29">
        <f>IFERROR(VLOOKUP(AA34,RULES!$A:$F,6,0)*1,0)</f>
        <v/>
      </c>
      <c r="AF34" s="29">
        <f>IFERROR(VLOOKUP(AA34,RULES!$A:$G,7,0)*1,0)</f>
        <v/>
      </c>
      <c r="AG34" s="29">
        <f>IFERROR(VLOOKUP(AA34,RULES!$A:$H,8,0)*1,0)</f>
        <v/>
      </c>
      <c r="AH34" s="29">
        <f>IFERROR(VLOOKUP(AA34,RULES!$A:$I,9,0)*1,0)</f>
        <v/>
      </c>
      <c r="AI34" s="29">
        <f>IFERROR(VLOOKUP(AA34,RULES!$A:$J,10,0)*1,0)</f>
        <v/>
      </c>
      <c r="AJ34" s="29">
        <f>IFERROR(IF(VLOOKUP(AA34,RULES!$A:$K,11,0)="",999999,VLOOKUP(AA34,RULES!$A:$K,11,0)*1),999999)</f>
        <v/>
      </c>
      <c r="AK34" s="29">
        <f>IFERROR(VLOOKUP(AA34,RULES!$A:$L,12,0)*1,0)</f>
        <v/>
      </c>
      <c r="AL34" s="29">
        <f>IFERROR(VLOOKUP(AA34,RULES!$A:$M,13,0),"NONE")</f>
        <v/>
      </c>
      <c r="AM34" s="29">
        <f>IFERROR(VLOOKUP(AA34,RULES!$A:$N,14,0)*1,0)</f>
        <v/>
      </c>
      <c r="AN34" s="29">
        <f>IFERROR(VLOOKUP(AA34,RULES!$A:$O,15,0)*1,0)</f>
        <v/>
      </c>
      <c r="AO34" s="29">
        <f>IF(N34&lt;&gt;"",N34,IFERROR(VLOOKUP(AA34,RULES!$A:$P,16,0),CONFIG!$B$8))</f>
        <v/>
      </c>
      <c r="AP34" s="29">
        <f>IF(IFERROR(VLOOKUP(AA34,RULES!$A:$Q,17,0),"")="",CONFIG!$B$13,VLOOKUP(AA34,RULES!$A:$Q,17,0))</f>
        <v/>
      </c>
      <c r="AQ34" s="29">
        <f>IF(IFERROR(VLOOKUP(AA34,RULES!$A:$R,18,0),"")="",CONFIG!$B$14,VLOOKUP(AA34,RULES!$A:$R,18,0))</f>
        <v/>
      </c>
      <c r="AR34" s="29">
        <f>IFERROR(VLOOKUP(AA34,RULES!$A:$S,19,0)*1,0)</f>
        <v/>
      </c>
      <c r="AS34" s="29">
        <f>IFERROR(VLOOKUP(AA34,RULES!$A:$T,20,0)*1,0)</f>
        <v/>
      </c>
      <c r="AT34" s="29">
        <f>IFERROR(VLOOKUP(AA34,RULES!$A:$U,21,0)*1,0)</f>
        <v/>
      </c>
      <c r="AU34" s="29">
        <f>IFERROR(VLOOKUP(AA34,RULES!$A:$V,22,0)*1,0)</f>
        <v/>
      </c>
      <c r="AV34" s="29">
        <f>IFERROR(VLOOKUP(AA34,RULES!$A:$W,23,0)*1,0)</f>
        <v/>
      </c>
      <c r="AW34" s="29">
        <f>IFERROR(IF(VLOOKUP(AA34,RULES!$A:$X,24,0)="",999999,VLOOKUP(AA34,RULES!$A:$X,24,0)*1),999999)</f>
        <v/>
      </c>
      <c r="AX34" s="29">
        <f>IFERROR(VLOOKUP(AA34,RULES!$A:$Y,25,0)*1,0)</f>
        <v/>
      </c>
      <c r="AY34" s="29">
        <f>IFERROR(VLOOKUP(AA34,RULES!$A:$Z,26,0),"NONE")</f>
        <v/>
      </c>
      <c r="AZ34" s="29">
        <f>IFERROR(VLOOKUP(AA34,RULES!$A:$AA,27,0)*1,0)</f>
        <v/>
      </c>
      <c r="BA34" s="29">
        <f>IFERROR(VLOOKUP(AA34,RULES!$A:$AB,28,0)*1,0)</f>
        <v/>
      </c>
    </row>
    <row r="35" ht="17" customHeight="1">
      <c r="A35" s="22" t="inlineStr">
        <is>
          <t>3732</t>
        </is>
      </c>
      <c r="B35" s="48" t="inlineStr">
        <is>
          <t>ACC007</t>
        </is>
      </c>
      <c r="C35" s="48" t="inlineStr">
        <is>
          <t>DEFAULT</t>
        </is>
      </c>
      <c r="D35" s="47" t="n"/>
      <c r="E35" s="22">
        <f>IF(OR(D35="",D35=0),"INACTIVE","ACTIVE")</f>
        <v/>
      </c>
      <c r="F35" s="48" t="inlineStr">
        <is>
          <t>NORMAL</t>
        </is>
      </c>
      <c r="G35" s="25" t="n"/>
      <c r="H35" s="25" t="n"/>
      <c r="I35" s="26">
        <f>IF(OR(E35="INACTIVE",H35=""),0,MAX(0,H35-G35))</f>
        <v/>
      </c>
      <c r="J35" s="23" t="n"/>
      <c r="K35" s="26">
        <f>IF(OR(E35="INACTIVE",H35=""),0,IF(AB35="DISABLED",0,IF(AB35="FLAT",AE35,IF(AB35="MANUAL",IF(J35="",0,J35*AC35),IF(AB35="STEP",IF(I35&lt;=AF35,I35*AG35,IF(I35&lt;=AH35,AF35*AG35+(I35-AF35)*AI35,AF35*AG35+(AH35-AF35)*AI35+(I35-AH35)*AK35)),MAX(I35*AC35,AD35))))))</f>
        <v/>
      </c>
      <c r="L35" s="26">
        <f>IF(OR(E35="INACTIVE",H35=""),0,IF(AL35="NONE",0,IF(AL35="FLAT",AM35,IF(AL35="PER_UNIT",I35*AN35,IF(AL35="MANUAL",IF(M35="",0,M35),0)))))</f>
        <v/>
      </c>
      <c r="M35" s="23" t="n"/>
      <c r="N35" s="48" t="inlineStr">
        <is>
          <t>NORMAL</t>
        </is>
      </c>
      <c r="O35" s="25" t="n"/>
      <c r="P35" s="25" t="n"/>
      <c r="Q35" s="26">
        <f>IF(OR(E35="INACTIVE",P35=""),0,MAX(0,P35-O35))</f>
        <v/>
      </c>
      <c r="R35" s="23" t="n"/>
      <c r="S35" s="26">
        <f>IF(OR(E35="INACTIVE",P35=""),0,IF(AO35="DISABLED",0,IF(AO35="FLAT",AR35,IF(AO35="MANUAL",IF(R35="",0,R35*AP35),IF(AO35="STEP",IF(Q35&lt;=AS35,Q35*AT35,IF(Q35&lt;=AU35,AS35*AT35+(Q35-AS35)*AV35,AS35*AT35+(AU35-AS35)*AV35+(Q35-AU35)*AX35)),MAX(Q35*AP35,AQ35))))))</f>
        <v/>
      </c>
      <c r="T35" s="26">
        <f>IF(OR(E35="INACTIVE",P35=""),0,IF(AY35="NONE",0,IF(AY35="FLAT",AZ35,IF(AY35="PER_UNIT",Q35*BA35,IF(AY35="MANUAL",IF(U35="",0,U35),0)))))</f>
        <v/>
      </c>
      <c r="U35" s="23" t="n"/>
      <c r="V35" s="25" t="n"/>
      <c r="W35" s="25" t="n"/>
      <c r="X35" s="26">
        <f>IF(E35="INACTIVE",0,D35+K35+L35+S35+T35+IF(V35="",0,V35)+IF(W35="",0,W35))</f>
        <v/>
      </c>
      <c r="Y35" s="27" t="n"/>
      <c r="Z35" s="28">
        <f>IF(E35="INACTIVE","_",IF(AND(G35&gt;0,H35&gt;0,H35&lt;G35),"[!]น้ำ reset ","")&amp;IF(AND(O35&gt;0,P35&gt;0,P35&lt;O35),"[!]ไฟ reset ","")&amp;IF(AND(F35="MANUAL",J35=""),"[X]units น้ำ ","")&amp;IF(AND(N35="MANUAL",R35=""),"[X]units ไฟ ","")&amp;IF(D35=0,"[!]ค่าเช่า=0",""))</f>
        <v/>
      </c>
      <c r="AA35" s="29">
        <f>IF(C35&lt;&gt;"",C35,CONFIG!$B$6)</f>
        <v/>
      </c>
      <c r="AB35" s="29">
        <f>IF(F35&lt;&gt;"",F35,IFERROR(VLOOKUP(AA35,RULES!$A:$C,3,0),CONFIG!$B$7))</f>
        <v/>
      </c>
      <c r="AC35" s="29">
        <f>IF(IFERROR(VLOOKUP(AA35,RULES!$A:$D,4,0),"")="",CONFIG!$B$10,VLOOKUP(AA35,RULES!$A:$D,4,0))</f>
        <v/>
      </c>
      <c r="AD35" s="29">
        <f>IF(IFERROR(VLOOKUP(AA35,RULES!$A:$E,5,0),"")="",CONFIG!$B$11,VLOOKUP(AA35,RULES!$A:$E,5,0))</f>
        <v/>
      </c>
      <c r="AE35" s="29">
        <f>IFERROR(VLOOKUP(AA35,RULES!$A:$F,6,0)*1,0)</f>
        <v/>
      </c>
      <c r="AF35" s="29">
        <f>IFERROR(VLOOKUP(AA35,RULES!$A:$G,7,0)*1,0)</f>
        <v/>
      </c>
      <c r="AG35" s="29">
        <f>IFERROR(VLOOKUP(AA35,RULES!$A:$H,8,0)*1,0)</f>
        <v/>
      </c>
      <c r="AH35" s="29">
        <f>IFERROR(VLOOKUP(AA35,RULES!$A:$I,9,0)*1,0)</f>
        <v/>
      </c>
      <c r="AI35" s="29">
        <f>IFERROR(VLOOKUP(AA35,RULES!$A:$J,10,0)*1,0)</f>
        <v/>
      </c>
      <c r="AJ35" s="29">
        <f>IFERROR(IF(VLOOKUP(AA35,RULES!$A:$K,11,0)="",999999,VLOOKUP(AA35,RULES!$A:$K,11,0)*1),999999)</f>
        <v/>
      </c>
      <c r="AK35" s="29">
        <f>IFERROR(VLOOKUP(AA35,RULES!$A:$L,12,0)*1,0)</f>
        <v/>
      </c>
      <c r="AL35" s="29">
        <f>IFERROR(VLOOKUP(AA35,RULES!$A:$M,13,0),"NONE")</f>
        <v/>
      </c>
      <c r="AM35" s="29">
        <f>IFERROR(VLOOKUP(AA35,RULES!$A:$N,14,0)*1,0)</f>
        <v/>
      </c>
      <c r="AN35" s="29">
        <f>IFERROR(VLOOKUP(AA35,RULES!$A:$O,15,0)*1,0)</f>
        <v/>
      </c>
      <c r="AO35" s="29">
        <f>IF(N35&lt;&gt;"",N35,IFERROR(VLOOKUP(AA35,RULES!$A:$P,16,0),CONFIG!$B$8))</f>
        <v/>
      </c>
      <c r="AP35" s="29">
        <f>IF(IFERROR(VLOOKUP(AA35,RULES!$A:$Q,17,0),"")="",CONFIG!$B$13,VLOOKUP(AA35,RULES!$A:$Q,17,0))</f>
        <v/>
      </c>
      <c r="AQ35" s="29">
        <f>IF(IFERROR(VLOOKUP(AA35,RULES!$A:$R,18,0),"")="",CONFIG!$B$14,VLOOKUP(AA35,RULES!$A:$R,18,0))</f>
        <v/>
      </c>
      <c r="AR35" s="29">
        <f>IFERROR(VLOOKUP(AA35,RULES!$A:$S,19,0)*1,0)</f>
        <v/>
      </c>
      <c r="AS35" s="29">
        <f>IFERROR(VLOOKUP(AA35,RULES!$A:$T,20,0)*1,0)</f>
        <v/>
      </c>
      <c r="AT35" s="29">
        <f>IFERROR(VLOOKUP(AA35,RULES!$A:$U,21,0)*1,0)</f>
        <v/>
      </c>
      <c r="AU35" s="29">
        <f>IFERROR(VLOOKUP(AA35,RULES!$A:$V,22,0)*1,0)</f>
        <v/>
      </c>
      <c r="AV35" s="29">
        <f>IFERROR(VLOOKUP(AA35,RULES!$A:$W,23,0)*1,0)</f>
        <v/>
      </c>
      <c r="AW35" s="29">
        <f>IFERROR(IF(VLOOKUP(AA35,RULES!$A:$X,24,0)="",999999,VLOOKUP(AA35,RULES!$A:$X,24,0)*1),999999)</f>
        <v/>
      </c>
      <c r="AX35" s="29">
        <f>IFERROR(VLOOKUP(AA35,RULES!$A:$Y,25,0)*1,0)</f>
        <v/>
      </c>
      <c r="AY35" s="29">
        <f>IFERROR(VLOOKUP(AA35,RULES!$A:$Z,26,0),"NONE")</f>
        <v/>
      </c>
      <c r="AZ35" s="29">
        <f>IFERROR(VLOOKUP(AA35,RULES!$A:$AA,27,0)*1,0)</f>
        <v/>
      </c>
      <c r="BA35" s="29">
        <f>IFERROR(VLOOKUP(AA35,RULES!$A:$AB,28,0)*1,0)</f>
        <v/>
      </c>
    </row>
    <row r="36" ht="17" customHeight="1">
      <c r="A36" s="35" t="n"/>
      <c r="B36" s="46" t="n"/>
      <c r="C36" s="48" t="inlineStr">
        <is>
          <t>DEFAULT</t>
        </is>
      </c>
      <c r="D36" s="47" t="n"/>
      <c r="E36" s="38">
        <f>IF(OR(D36="",D36=0),"INACTIVE","ACTIVE")</f>
        <v/>
      </c>
      <c r="F36" s="48" t="inlineStr">
        <is>
          <t>NORMAL</t>
        </is>
      </c>
      <c r="G36" s="37" t="n"/>
      <c r="H36" s="37" t="n"/>
      <c r="I36" s="39">
        <f>IF(OR(E36="INACTIVE",H36=""),0,MAX(0,H36-G36))</f>
        <v/>
      </c>
      <c r="J36" s="37" t="n"/>
      <c r="K36" s="40">
        <f>IF(OR(E36="INACTIVE",H36=""),0,IF(AB36="DISABLED",0,IF(AB36="FLAT",AE36,IF(AB36="MANUAL",IF(J36="",0,J36*AC36),IF(AB36="STEP",IF(I36&lt;=AF36,I36*AG36,IF(I36&lt;=AH36,AF36*AG36+(I36-AF36)*AI36,AF36*AG36+(AH36-AF36)*AI36+(I36-AH36)*AK36)),MAX(I36*AC36,AD36))))))</f>
        <v/>
      </c>
      <c r="L36" s="40">
        <f>IF(OR(E36="INACTIVE",H36=""),0,IF(AL36="NONE",0,IF(AL36="FLAT",AM36,IF(AL36="PER_UNIT",I36*AN36,IF(AL36="MANUAL",IF(M36="",0,M36),0)))))</f>
        <v/>
      </c>
      <c r="M36" s="37" t="n"/>
      <c r="N36" s="48" t="inlineStr">
        <is>
          <t>NORMAL</t>
        </is>
      </c>
      <c r="O36" s="37" t="n"/>
      <c r="P36" s="37" t="n"/>
      <c r="Q36" s="39">
        <f>IF(OR(E36="INACTIVE",P36=""),0,MAX(0,P36-O36))</f>
        <v/>
      </c>
      <c r="R36" s="37" t="n"/>
      <c r="S36" s="40">
        <f>IF(OR(E36="INACTIVE",P36=""),0,IF(AO36="DISABLED",0,IF(AO36="FLAT",AR36,IF(AO36="MANUAL",IF(R36="",0,R36*AP36),IF(AO36="STEP",IF(Q36&lt;=AS36,Q36*AT36,IF(Q36&lt;=AU36,AS36*AT36+(Q36-AS36)*AV36,AS36*AT36+(AU36-AS36)*AV36+(Q36-AU36)*AX36)),MAX(Q36*AP36,AQ36))))))</f>
        <v/>
      </c>
      <c r="T36" s="40">
        <f>IF(OR(E36="INACTIVE",P36=""),0,IF(AY36="NONE",0,IF(AY36="FLAT",AZ36,IF(AY36="PER_UNIT",Q36*BA36,IF(AY36="MANUAL",IF(U36="",0,U36),0)))))</f>
        <v/>
      </c>
      <c r="U36" s="37" t="n"/>
      <c r="V36" s="37" t="n"/>
      <c r="W36" s="37" t="n"/>
      <c r="X36" s="40">
        <f>IF(E36="INACTIVE",0,D36+K36+L36+S36+T36+IF(V36="",0,V36)+IF(W36="",0,W36))</f>
        <v/>
      </c>
      <c r="Y36" s="37" t="n"/>
      <c r="Z36" s="39">
        <f>IF(E36="INACTIVE","_",IF(AND(G36&gt;0,H36&gt;0,H36&lt;G36),"[!]น้ำ reset ","")&amp;IF(AND(O36&gt;0,P36&gt;0,P36&lt;O36),"[!]ไฟ reset ","")&amp;IF(AND(F36="MANUAL",J36=""),"[X]units น้ำ ","")&amp;IF(AND(N36="MANUAL",R36=""),"[X]units ไฟ ","")&amp;IF(D36=0,"[!]ค่าเช่า=0",""))</f>
        <v/>
      </c>
      <c r="AA36" s="41">
        <f>IF(C36&lt;&gt;"",C36,CONFIG!$B$6)</f>
        <v/>
      </c>
      <c r="AB36" s="41">
        <f>IF(F36&lt;&gt;"",F36,IFERROR(VLOOKUP(AA36,RULES!$A:$C,3,0),CONFIG!$B$7))</f>
        <v/>
      </c>
      <c r="AC36" s="41">
        <f>IF(IFERROR(VLOOKUP(AA36,RULES!$A:$D,4,0),"")="",CONFIG!$B$10,VLOOKUP(AA36,RULES!$A:$D,4,0))</f>
        <v/>
      </c>
      <c r="AD36" s="41">
        <f>IF(IFERROR(VLOOKUP(AA36,RULES!$A:$E,5,0),"")="",CONFIG!$B$11,VLOOKUP(AA36,RULES!$A:$E,5,0))</f>
        <v/>
      </c>
      <c r="AE36" s="41">
        <f>IFERROR(VLOOKUP(AA36,RULES!$A:$F,6,0)*1,0)</f>
        <v/>
      </c>
      <c r="AF36" s="41">
        <f>IFERROR(VLOOKUP(AA36,RULES!$A:$G,7,0)*1,0)</f>
        <v/>
      </c>
      <c r="AG36" s="41">
        <f>IFERROR(VLOOKUP(AA36,RULES!$A:$H,8,0)*1,0)</f>
        <v/>
      </c>
      <c r="AH36" s="41">
        <f>IFERROR(VLOOKUP(AA36,RULES!$A:$I,9,0)*1,0)</f>
        <v/>
      </c>
      <c r="AI36" s="41">
        <f>IFERROR(VLOOKUP(AA36,RULES!$A:$J,10,0)*1,0)</f>
        <v/>
      </c>
      <c r="AJ36" s="41">
        <f>IFERROR(IF(VLOOKUP(AA36,RULES!$A:$K,11,0)="",999999,VLOOKUP(AA36,RULES!$A:$K,11,0)*1),999999)</f>
        <v/>
      </c>
      <c r="AK36" s="41">
        <f>IFERROR(VLOOKUP(AA36,RULES!$A:$L,12,0)*1,0)</f>
        <v/>
      </c>
      <c r="AL36" s="41">
        <f>IFERROR(VLOOKUP(AA36,RULES!$A:$M,13,0),"NONE")</f>
        <v/>
      </c>
      <c r="AM36" s="41">
        <f>IFERROR(VLOOKUP(AA36,RULES!$A:$N,14,0)*1,0)</f>
        <v/>
      </c>
      <c r="AN36" s="41">
        <f>IFERROR(VLOOKUP(AA36,RULES!$A:$O,15,0)*1,0)</f>
        <v/>
      </c>
      <c r="AO36" s="41">
        <f>IF(N36&lt;&gt;"",N36,IFERROR(VLOOKUP(AA36,RULES!$A:$P,16,0),CONFIG!$B$8))</f>
        <v/>
      </c>
      <c r="AP36" s="41">
        <f>IF(IFERROR(VLOOKUP(AA36,RULES!$A:$Q,17,0),"")="",CONFIG!$B$13,VLOOKUP(AA36,RULES!$A:$Q,17,0))</f>
        <v/>
      </c>
      <c r="AQ36" s="41">
        <f>IF(IFERROR(VLOOKUP(AA36,RULES!$A:$R,18,0),"")="",CONFIG!$B$14,VLOOKUP(AA36,RULES!$A:$R,18,0))</f>
        <v/>
      </c>
      <c r="AR36" s="41">
        <f>IFERROR(VLOOKUP(AA36,RULES!$A:$S,19,0)*1,0)</f>
        <v/>
      </c>
      <c r="AS36" s="41">
        <f>IFERROR(VLOOKUP(AA36,RULES!$A:$T,20,0)*1,0)</f>
        <v/>
      </c>
      <c r="AT36" s="41">
        <f>IFERROR(VLOOKUP(AA36,RULES!$A:$U,21,0)*1,0)</f>
        <v/>
      </c>
      <c r="AU36" s="41">
        <f>IFERROR(VLOOKUP(AA36,RULES!$A:$V,22,0)*1,0)</f>
        <v/>
      </c>
      <c r="AV36" s="41">
        <f>IFERROR(VLOOKUP(AA36,RULES!$A:$W,23,0)*1,0)</f>
        <v/>
      </c>
      <c r="AW36" s="41">
        <f>IFERROR(IF(VLOOKUP(AA36,RULES!$A:$X,24,0)="",999999,VLOOKUP(AA36,RULES!$A:$X,24,0)*1),999999)</f>
        <v/>
      </c>
      <c r="AX36" s="41">
        <f>IFERROR(VLOOKUP(AA36,RULES!$A:$Y,25,0)*1,0)</f>
        <v/>
      </c>
      <c r="AY36" s="41">
        <f>IFERROR(VLOOKUP(AA36,RULES!$A:$Z,26,0),"NONE")</f>
        <v/>
      </c>
      <c r="AZ36" s="41">
        <f>IFERROR(VLOOKUP(AA36,RULES!$A:$AA,27,0)*1,0)</f>
        <v/>
      </c>
      <c r="BA36" s="41">
        <f>IFERROR(VLOOKUP(AA36,RULES!$A:$AB,28,0)*1,0)</f>
        <v/>
      </c>
    </row>
    <row r="37" ht="17" customHeight="1">
      <c r="A37" s="36" t="n"/>
      <c r="B37" s="48" t="inlineStr">
        <is>
          <t>ACC007</t>
        </is>
      </c>
      <c r="C37" s="48" t="inlineStr">
        <is>
          <t>DEFAULT</t>
        </is>
      </c>
      <c r="D37" s="47" t="n"/>
      <c r="E37" s="36">
        <f>IF(OR(D37="",D37=0),"INACTIVE","ACTIVE")</f>
        <v/>
      </c>
      <c r="F37" s="48" t="inlineStr">
        <is>
          <t>NORMAL</t>
        </is>
      </c>
      <c r="G37" s="36" t="n"/>
      <c r="H37" s="36" t="n"/>
      <c r="I37" s="42">
        <f>IF(OR(E37="INACTIVE",H37=""),0,MAX(0,H37-G37))</f>
        <v/>
      </c>
      <c r="J37" s="36" t="n"/>
      <c r="K37" s="42">
        <f>IF(OR(E37="INACTIVE",H37=""),0,IF(AB37="DISABLED",0,IF(AB37="FLAT",AE37,IF(AB37="MANUAL",IF(J37="",0,J37*AC37),IF(AB37="STEP",IF(I37&lt;=AF37,I37*AG37,IF(I37&lt;=AH37,AF37*AG37+(I37-AF37)*AI37,AF37*AG37+(AH37-AF37)*AI37+(I37-AH37)*AK37)),MAX(I37*AC37,AD37))))))</f>
        <v/>
      </c>
      <c r="L37" s="42">
        <f>IF(OR(E37="INACTIVE",H37=""),0,IF(AL37="NONE",0,IF(AL37="FLAT",AM37,IF(AL37="PER_UNIT",I37*AN37,IF(AL37="MANUAL",IF(M37="",0,M37),0)))))</f>
        <v/>
      </c>
      <c r="M37" s="36" t="n"/>
      <c r="N37" s="48" t="inlineStr">
        <is>
          <t>NORMAL</t>
        </is>
      </c>
      <c r="O37" s="36" t="n"/>
      <c r="P37" s="36" t="n"/>
      <c r="Q37" s="42">
        <f>IF(OR(E37="INACTIVE",P37=""),0,MAX(0,P37-O37))</f>
        <v/>
      </c>
      <c r="R37" s="36" t="n"/>
      <c r="S37" s="42">
        <f>IF(OR(E37="INACTIVE",P37=""),0,IF(AO37="DISABLED",0,IF(AO37="FLAT",AR37,IF(AO37="MANUAL",IF(R37="",0,R37*AP37),IF(AO37="STEP",IF(Q37&lt;=AS37,Q37*AT37,IF(Q37&lt;=AU37,AS37*AT37+(Q37-AS37)*AV37,AS37*AT37+(AU37-AS37)*AV37+(Q37-AU37)*AX37)),MAX(Q37*AP37,AQ37))))))</f>
        <v/>
      </c>
      <c r="T37" s="42">
        <f>IF(OR(E37="INACTIVE",P37=""),0,IF(AY37="NONE",0,IF(AY37="FLAT",AZ37,IF(AY37="PER_UNIT",Q37*BA37,IF(AY37="MANUAL",IF(U37="",0,U37),0)))))</f>
        <v/>
      </c>
      <c r="U37" s="36" t="n"/>
      <c r="V37" s="36" t="n"/>
      <c r="W37" s="36" t="n"/>
      <c r="X37" s="42">
        <f>IF(E37="INACTIVE",0,D37+K37+L37+S37+T37+IF(V37="",0,V37)+IF(W37="",0,W37))</f>
        <v/>
      </c>
      <c r="Y37" s="36" t="n"/>
      <c r="Z37" s="42">
        <f>IF(E37="INACTIVE","_",IF(AND(G37&gt;0,H37&gt;0,H37&lt;G37),"[!]น้ำ reset ","")&amp;IF(AND(O37&gt;0,P37&gt;0,P37&lt;O37),"[!]ไฟ reset ","")&amp;IF(AND(F37="MANUAL",J37=""),"[X]units น้ำ ","")&amp;IF(AND(N37="MANUAL",R37=""),"[X]units ไฟ ","")&amp;IF(D37=0,"[!]ค่าเช่า=0",""))</f>
        <v/>
      </c>
      <c r="AA37" s="41">
        <f>IF(C37&lt;&gt;"",C37,CONFIG!$B$6)</f>
        <v/>
      </c>
      <c r="AB37" s="41">
        <f>IF(F37&lt;&gt;"",F37,IFERROR(VLOOKUP(AA37,RULES!$A:$C,3,0),CONFIG!$B$7))</f>
        <v/>
      </c>
      <c r="AC37" s="41">
        <f>IF(IFERROR(VLOOKUP(AA37,RULES!$A:$D,4,0),"")="",CONFIG!$B$10,VLOOKUP(AA37,RULES!$A:$D,4,0))</f>
        <v/>
      </c>
      <c r="AD37" s="41">
        <f>IF(IFERROR(VLOOKUP(AA37,RULES!$A:$E,5,0),"")="",CONFIG!$B$11,VLOOKUP(AA37,RULES!$A:$E,5,0))</f>
        <v/>
      </c>
      <c r="AE37" s="41">
        <f>IFERROR(VLOOKUP(AA37,RULES!$A:$F,6,0)*1,0)</f>
        <v/>
      </c>
      <c r="AF37" s="41">
        <f>IFERROR(VLOOKUP(AA37,RULES!$A:$G,7,0)*1,0)</f>
        <v/>
      </c>
      <c r="AG37" s="41">
        <f>IFERROR(VLOOKUP(AA37,RULES!$A:$H,8,0)*1,0)</f>
        <v/>
      </c>
      <c r="AH37" s="41">
        <f>IFERROR(VLOOKUP(AA37,RULES!$A:$I,9,0)*1,0)</f>
        <v/>
      </c>
      <c r="AI37" s="41">
        <f>IFERROR(VLOOKUP(AA37,RULES!$A:$J,10,0)*1,0)</f>
        <v/>
      </c>
      <c r="AJ37" s="41">
        <f>IFERROR(IF(VLOOKUP(AA37,RULES!$A:$K,11,0)="",999999,VLOOKUP(AA37,RULES!$A:$K,11,0)*1),999999)</f>
        <v/>
      </c>
      <c r="AK37" s="41">
        <f>IFERROR(VLOOKUP(AA37,RULES!$A:$L,12,0)*1,0)</f>
        <v/>
      </c>
      <c r="AL37" s="41">
        <f>IFERROR(VLOOKUP(AA37,RULES!$A:$M,13,0),"NONE")</f>
        <v/>
      </c>
      <c r="AM37" s="41">
        <f>IFERROR(VLOOKUP(AA37,RULES!$A:$N,14,0)*1,0)</f>
        <v/>
      </c>
      <c r="AN37" s="41">
        <f>IFERROR(VLOOKUP(AA37,RULES!$A:$O,15,0)*1,0)</f>
        <v/>
      </c>
      <c r="AO37" s="41">
        <f>IF(N37&lt;&gt;"",N37,IFERROR(VLOOKUP(AA37,RULES!$A:$P,16,0),CONFIG!$B$8))</f>
        <v/>
      </c>
      <c r="AP37" s="41">
        <f>IF(IFERROR(VLOOKUP(AA37,RULES!$A:$Q,17,0),"")="",CONFIG!$B$13,VLOOKUP(AA37,RULES!$A:$Q,17,0))</f>
        <v/>
      </c>
      <c r="AQ37" s="41">
        <f>IF(IFERROR(VLOOKUP(AA37,RULES!$A:$R,18,0),"")="",CONFIG!$B$14,VLOOKUP(AA37,RULES!$A:$R,18,0))</f>
        <v/>
      </c>
      <c r="AR37" s="41">
        <f>IFERROR(VLOOKUP(AA37,RULES!$A:$S,19,0)*1,0)</f>
        <v/>
      </c>
      <c r="AS37" s="41">
        <f>IFERROR(VLOOKUP(AA37,RULES!$A:$T,20,0)*1,0)</f>
        <v/>
      </c>
      <c r="AT37" s="41">
        <f>IFERROR(VLOOKUP(AA37,RULES!$A:$U,21,0)*1,0)</f>
        <v/>
      </c>
      <c r="AU37" s="41">
        <f>IFERROR(VLOOKUP(AA37,RULES!$A:$V,22,0)*1,0)</f>
        <v/>
      </c>
      <c r="AV37" s="41">
        <f>IFERROR(VLOOKUP(AA37,RULES!$A:$W,23,0)*1,0)</f>
        <v/>
      </c>
      <c r="AW37" s="41">
        <f>IFERROR(IF(VLOOKUP(AA37,RULES!$A:$X,24,0)="",999999,VLOOKUP(AA37,RULES!$A:$X,24,0)*1),999999)</f>
        <v/>
      </c>
      <c r="AX37" s="41">
        <f>IFERROR(VLOOKUP(AA37,RULES!$A:$Y,25,0)*1,0)</f>
        <v/>
      </c>
      <c r="AY37" s="41">
        <f>IFERROR(VLOOKUP(AA37,RULES!$A:$Z,26,0),"NONE")</f>
        <v/>
      </c>
      <c r="AZ37" s="41">
        <f>IFERROR(VLOOKUP(AA37,RULES!$A:$AA,27,0)*1,0)</f>
        <v/>
      </c>
      <c r="BA37" s="41">
        <f>IFERROR(VLOOKUP(AA37,RULES!$A:$AB,28,0)*1,0)</f>
        <v/>
      </c>
    </row>
    <row r="38" ht="17" customHeight="1">
      <c r="A38" s="36" t="n"/>
      <c r="B38" s="48" t="inlineStr">
        <is>
          <t>ACC007</t>
        </is>
      </c>
      <c r="C38" s="48" t="inlineStr">
        <is>
          <t>DEFAULT</t>
        </is>
      </c>
      <c r="D38" s="47" t="n"/>
      <c r="E38" s="36">
        <f>IF(OR(D38="",D38=0),"INACTIVE","ACTIVE")</f>
        <v/>
      </c>
      <c r="F38" s="48" t="inlineStr">
        <is>
          <t>NORMAL</t>
        </is>
      </c>
      <c r="G38" s="36" t="n"/>
      <c r="H38" s="36" t="n"/>
      <c r="I38" s="42">
        <f>IF(OR(E38="INACTIVE",H38=""),0,MAX(0,H38-G38))</f>
        <v/>
      </c>
      <c r="J38" s="36" t="n"/>
      <c r="K38" s="42">
        <f>IF(OR(E38="INACTIVE",H38=""),0,IF(AB38="DISABLED",0,IF(AB38="FLAT",AE38,IF(AB38="MANUAL",IF(J38="",0,J38*AC38),IF(AB38="STEP",IF(I38&lt;=AF38,I38*AG38,IF(I38&lt;=AH38,AF38*AG38+(I38-AF38)*AI38,AF38*AG38+(AH38-AF38)*AI38+(I38-AH38)*AK38)),MAX(I38*AC38,AD38))))))</f>
        <v/>
      </c>
      <c r="L38" s="42">
        <f>IF(OR(E38="INACTIVE",H38=""),0,IF(AL38="NONE",0,IF(AL38="FLAT",AM38,IF(AL38="PER_UNIT",I38*AN38,IF(AL38="MANUAL",IF(M38="",0,M38),0)))))</f>
        <v/>
      </c>
      <c r="M38" s="36" t="n"/>
      <c r="N38" s="48" t="inlineStr">
        <is>
          <t>NORMAL</t>
        </is>
      </c>
      <c r="O38" s="36" t="n"/>
      <c r="P38" s="36" t="n"/>
      <c r="Q38" s="42">
        <f>IF(OR(E38="INACTIVE",P38=""),0,MAX(0,P38-O38))</f>
        <v/>
      </c>
      <c r="R38" s="36" t="n"/>
      <c r="S38" s="42">
        <f>IF(OR(E38="INACTIVE",P38=""),0,IF(AO38="DISABLED",0,IF(AO38="FLAT",AR38,IF(AO38="MANUAL",IF(R38="",0,R38*AP38),IF(AO38="STEP",IF(Q38&lt;=AS38,Q38*AT38,IF(Q38&lt;=AU38,AS38*AT38+(Q38-AS38)*AV38,AS38*AT38+(AU38-AS38)*AV38+(Q38-AU38)*AX38)),MAX(Q38*AP38,AQ38))))))</f>
        <v/>
      </c>
      <c r="T38" s="42">
        <f>IF(OR(E38="INACTIVE",P38=""),0,IF(AY38="NONE",0,IF(AY38="FLAT",AZ38,IF(AY38="PER_UNIT",Q38*BA38,IF(AY38="MANUAL",IF(U38="",0,U38),0)))))</f>
        <v/>
      </c>
      <c r="U38" s="36" t="n"/>
      <c r="V38" s="36" t="n"/>
      <c r="W38" s="36" t="n"/>
      <c r="X38" s="42">
        <f>IF(E38="INACTIVE",0,D38+K38+L38+S38+T38+IF(V38="",0,V38)+IF(W38="",0,W38))</f>
        <v/>
      </c>
      <c r="Y38" s="36" t="n"/>
      <c r="Z38" s="42">
        <f>IF(E38="INACTIVE","_",IF(AND(G38&gt;0,H38&gt;0,H38&lt;G38),"[!]น้ำ reset ","")&amp;IF(AND(O38&gt;0,P38&gt;0,P38&lt;O38),"[!]ไฟ reset ","")&amp;IF(AND(F38="MANUAL",J38=""),"[X]units น้ำ ","")&amp;IF(AND(N38="MANUAL",R38=""),"[X]units ไฟ ","")&amp;IF(D38=0,"[!]ค่าเช่า=0",""))</f>
        <v/>
      </c>
      <c r="AA38" s="41">
        <f>IF(C38&lt;&gt;"",C38,CONFIG!$B$6)</f>
        <v/>
      </c>
      <c r="AB38" s="41">
        <f>IF(F38&lt;&gt;"",F38,IFERROR(VLOOKUP(AA38,RULES!$A:$C,3,0),CONFIG!$B$7))</f>
        <v/>
      </c>
      <c r="AC38" s="41">
        <f>IF(IFERROR(VLOOKUP(AA38,RULES!$A:$D,4,0),"")="",CONFIG!$B$10,VLOOKUP(AA38,RULES!$A:$D,4,0))</f>
        <v/>
      </c>
      <c r="AD38" s="41">
        <f>IF(IFERROR(VLOOKUP(AA38,RULES!$A:$E,5,0),"")="",CONFIG!$B$11,VLOOKUP(AA38,RULES!$A:$E,5,0))</f>
        <v/>
      </c>
      <c r="AE38" s="41">
        <f>IFERROR(VLOOKUP(AA38,RULES!$A:$F,6,0)*1,0)</f>
        <v/>
      </c>
      <c r="AF38" s="41">
        <f>IFERROR(VLOOKUP(AA38,RULES!$A:$G,7,0)*1,0)</f>
        <v/>
      </c>
      <c r="AG38" s="41">
        <f>IFERROR(VLOOKUP(AA38,RULES!$A:$H,8,0)*1,0)</f>
        <v/>
      </c>
      <c r="AH38" s="41">
        <f>IFERROR(VLOOKUP(AA38,RULES!$A:$I,9,0)*1,0)</f>
        <v/>
      </c>
      <c r="AI38" s="41">
        <f>IFERROR(VLOOKUP(AA38,RULES!$A:$J,10,0)*1,0)</f>
        <v/>
      </c>
      <c r="AJ38" s="41">
        <f>IFERROR(IF(VLOOKUP(AA38,RULES!$A:$K,11,0)="",999999,VLOOKUP(AA38,RULES!$A:$K,11,0)*1),999999)</f>
        <v/>
      </c>
      <c r="AK38" s="41">
        <f>IFERROR(VLOOKUP(AA38,RULES!$A:$L,12,0)*1,0)</f>
        <v/>
      </c>
      <c r="AL38" s="41">
        <f>IFERROR(VLOOKUP(AA38,RULES!$A:$M,13,0),"NONE")</f>
        <v/>
      </c>
      <c r="AM38" s="41">
        <f>IFERROR(VLOOKUP(AA38,RULES!$A:$N,14,0)*1,0)</f>
        <v/>
      </c>
      <c r="AN38" s="41">
        <f>IFERROR(VLOOKUP(AA38,RULES!$A:$O,15,0)*1,0)</f>
        <v/>
      </c>
      <c r="AO38" s="41">
        <f>IF(N38&lt;&gt;"",N38,IFERROR(VLOOKUP(AA38,RULES!$A:$P,16,0),CONFIG!$B$8))</f>
        <v/>
      </c>
      <c r="AP38" s="41">
        <f>IF(IFERROR(VLOOKUP(AA38,RULES!$A:$Q,17,0),"")="",CONFIG!$B$13,VLOOKUP(AA38,RULES!$A:$Q,17,0))</f>
        <v/>
      </c>
      <c r="AQ38" s="41">
        <f>IF(IFERROR(VLOOKUP(AA38,RULES!$A:$R,18,0),"")="",CONFIG!$B$14,VLOOKUP(AA38,RULES!$A:$R,18,0))</f>
        <v/>
      </c>
      <c r="AR38" s="41">
        <f>IFERROR(VLOOKUP(AA38,RULES!$A:$S,19,0)*1,0)</f>
        <v/>
      </c>
      <c r="AS38" s="41">
        <f>IFERROR(VLOOKUP(AA38,RULES!$A:$T,20,0)*1,0)</f>
        <v/>
      </c>
      <c r="AT38" s="41">
        <f>IFERROR(VLOOKUP(AA38,RULES!$A:$U,21,0)*1,0)</f>
        <v/>
      </c>
      <c r="AU38" s="41">
        <f>IFERROR(VLOOKUP(AA38,RULES!$A:$V,22,0)*1,0)</f>
        <v/>
      </c>
      <c r="AV38" s="41">
        <f>IFERROR(VLOOKUP(AA38,RULES!$A:$W,23,0)*1,0)</f>
        <v/>
      </c>
      <c r="AW38" s="41">
        <f>IFERROR(IF(VLOOKUP(AA38,RULES!$A:$X,24,0)="",999999,VLOOKUP(AA38,RULES!$A:$X,24,0)*1),999999)</f>
        <v/>
      </c>
      <c r="AX38" s="41">
        <f>IFERROR(VLOOKUP(AA38,RULES!$A:$Y,25,0)*1,0)</f>
        <v/>
      </c>
      <c r="AY38" s="41">
        <f>IFERROR(VLOOKUP(AA38,RULES!$A:$Z,26,0),"NONE")</f>
        <v/>
      </c>
      <c r="AZ38" s="41">
        <f>IFERROR(VLOOKUP(AA38,RULES!$A:$AA,27,0)*1,0)</f>
        <v/>
      </c>
      <c r="BA38" s="41">
        <f>IFERROR(VLOOKUP(AA38,RULES!$A:$AB,28,0)*1,0)</f>
        <v/>
      </c>
    </row>
    <row r="39" ht="17" customHeight="1">
      <c r="A39" s="36" t="n"/>
      <c r="B39" s="48" t="inlineStr">
        <is>
          <t>ACC007</t>
        </is>
      </c>
      <c r="C39" s="48" t="inlineStr">
        <is>
          <t>DEFAULT</t>
        </is>
      </c>
      <c r="D39" s="47" t="n"/>
      <c r="E39" s="36">
        <f>IF(OR(D39="",D39=0),"INACTIVE","ACTIVE")</f>
        <v/>
      </c>
      <c r="F39" s="48" t="inlineStr">
        <is>
          <t>NORMAL</t>
        </is>
      </c>
      <c r="G39" s="36" t="n"/>
      <c r="H39" s="36" t="n"/>
      <c r="I39" s="42">
        <f>IF(OR(E39="INACTIVE",H39=""),0,MAX(0,H39-G39))</f>
        <v/>
      </c>
      <c r="J39" s="36" t="n"/>
      <c r="K39" s="42">
        <f>IF(OR(E39="INACTIVE",H39=""),0,IF(AB39="DISABLED",0,IF(AB39="FLAT",AE39,IF(AB39="MANUAL",IF(J39="",0,J39*AC39),IF(AB39="STEP",IF(I39&lt;=AF39,I39*AG39,IF(I39&lt;=AH39,AF39*AG39+(I39-AF39)*AI39,AF39*AG39+(AH39-AF39)*AI39+(I39-AH39)*AK39)),MAX(I39*AC39,AD39))))))</f>
        <v/>
      </c>
      <c r="L39" s="42">
        <f>IF(OR(E39="INACTIVE",H39=""),0,IF(AL39="NONE",0,IF(AL39="FLAT",AM39,IF(AL39="PER_UNIT",I39*AN39,IF(AL39="MANUAL",IF(M39="",0,M39),0)))))</f>
        <v/>
      </c>
      <c r="M39" s="36" t="n"/>
      <c r="N39" s="48" t="inlineStr">
        <is>
          <t>NORMAL</t>
        </is>
      </c>
      <c r="O39" s="36" t="n"/>
      <c r="P39" s="36" t="n"/>
      <c r="Q39" s="42">
        <f>IF(OR(E39="INACTIVE",P39=""),0,MAX(0,P39-O39))</f>
        <v/>
      </c>
      <c r="R39" s="36" t="n"/>
      <c r="S39" s="42">
        <f>IF(OR(E39="INACTIVE",P39=""),0,IF(AO39="DISABLED",0,IF(AO39="FLAT",AR39,IF(AO39="MANUAL",IF(R39="",0,R39*AP39),IF(AO39="STEP",IF(Q39&lt;=AS39,Q39*AT39,IF(Q39&lt;=AU39,AS39*AT39+(Q39-AS39)*AV39,AS39*AT39+(AU39-AS39)*AV39+(Q39-AU39)*AX39)),MAX(Q39*AP39,AQ39))))))</f>
        <v/>
      </c>
      <c r="T39" s="42">
        <f>IF(OR(E39="INACTIVE",P39=""),0,IF(AY39="NONE",0,IF(AY39="FLAT",AZ39,IF(AY39="PER_UNIT",Q39*BA39,IF(AY39="MANUAL",IF(U39="",0,U39),0)))))</f>
        <v/>
      </c>
      <c r="U39" s="36" t="n"/>
      <c r="V39" s="36" t="n"/>
      <c r="W39" s="36" t="n"/>
      <c r="X39" s="42">
        <f>IF(E39="INACTIVE",0,D39+K39+L39+S39+T39+IF(V39="",0,V39)+IF(W39="",0,W39))</f>
        <v/>
      </c>
      <c r="Y39" s="36" t="n"/>
      <c r="Z39" s="42">
        <f>IF(E39="INACTIVE","_",IF(AND(G39&gt;0,H39&gt;0,H39&lt;G39),"[!]น้ำ reset ","")&amp;IF(AND(O39&gt;0,P39&gt;0,P39&lt;O39),"[!]ไฟ reset ","")&amp;IF(AND(F39="MANUAL",J39=""),"[X]units น้ำ ","")&amp;IF(AND(N39="MANUAL",R39=""),"[X]units ไฟ ","")&amp;IF(D39=0,"[!]ค่าเช่า=0",""))</f>
        <v/>
      </c>
      <c r="AA39" s="41">
        <f>IF(C39&lt;&gt;"",C39,CONFIG!$B$6)</f>
        <v/>
      </c>
      <c r="AB39" s="41">
        <f>IF(F39&lt;&gt;"",F39,IFERROR(VLOOKUP(AA39,RULES!$A:$C,3,0),CONFIG!$B$7))</f>
        <v/>
      </c>
      <c r="AC39" s="41">
        <f>IF(IFERROR(VLOOKUP(AA39,RULES!$A:$D,4,0),"")="",CONFIG!$B$10,VLOOKUP(AA39,RULES!$A:$D,4,0))</f>
        <v/>
      </c>
      <c r="AD39" s="41">
        <f>IF(IFERROR(VLOOKUP(AA39,RULES!$A:$E,5,0),"")="",CONFIG!$B$11,VLOOKUP(AA39,RULES!$A:$E,5,0))</f>
        <v/>
      </c>
      <c r="AE39" s="41">
        <f>IFERROR(VLOOKUP(AA39,RULES!$A:$F,6,0)*1,0)</f>
        <v/>
      </c>
      <c r="AF39" s="41">
        <f>IFERROR(VLOOKUP(AA39,RULES!$A:$G,7,0)*1,0)</f>
        <v/>
      </c>
      <c r="AG39" s="41">
        <f>IFERROR(VLOOKUP(AA39,RULES!$A:$H,8,0)*1,0)</f>
        <v/>
      </c>
      <c r="AH39" s="41">
        <f>IFERROR(VLOOKUP(AA39,RULES!$A:$I,9,0)*1,0)</f>
        <v/>
      </c>
      <c r="AI39" s="41">
        <f>IFERROR(VLOOKUP(AA39,RULES!$A:$J,10,0)*1,0)</f>
        <v/>
      </c>
      <c r="AJ39" s="41">
        <f>IFERROR(IF(VLOOKUP(AA39,RULES!$A:$K,11,0)="",999999,VLOOKUP(AA39,RULES!$A:$K,11,0)*1),999999)</f>
        <v/>
      </c>
      <c r="AK39" s="41">
        <f>IFERROR(VLOOKUP(AA39,RULES!$A:$L,12,0)*1,0)</f>
        <v/>
      </c>
      <c r="AL39" s="41">
        <f>IFERROR(VLOOKUP(AA39,RULES!$A:$M,13,0),"NONE")</f>
        <v/>
      </c>
      <c r="AM39" s="41">
        <f>IFERROR(VLOOKUP(AA39,RULES!$A:$N,14,0)*1,0)</f>
        <v/>
      </c>
      <c r="AN39" s="41">
        <f>IFERROR(VLOOKUP(AA39,RULES!$A:$O,15,0)*1,0)</f>
        <v/>
      </c>
      <c r="AO39" s="41">
        <f>IF(N39&lt;&gt;"",N39,IFERROR(VLOOKUP(AA39,RULES!$A:$P,16,0),CONFIG!$B$8))</f>
        <v/>
      </c>
      <c r="AP39" s="41">
        <f>IF(IFERROR(VLOOKUP(AA39,RULES!$A:$Q,17,0),"")="",CONFIG!$B$13,VLOOKUP(AA39,RULES!$A:$Q,17,0))</f>
        <v/>
      </c>
      <c r="AQ39" s="41">
        <f>IF(IFERROR(VLOOKUP(AA39,RULES!$A:$R,18,0),"")="",CONFIG!$B$14,VLOOKUP(AA39,RULES!$A:$R,18,0))</f>
        <v/>
      </c>
      <c r="AR39" s="41">
        <f>IFERROR(VLOOKUP(AA39,RULES!$A:$S,19,0)*1,0)</f>
        <v/>
      </c>
      <c r="AS39" s="41">
        <f>IFERROR(VLOOKUP(AA39,RULES!$A:$T,20,0)*1,0)</f>
        <v/>
      </c>
      <c r="AT39" s="41">
        <f>IFERROR(VLOOKUP(AA39,RULES!$A:$U,21,0)*1,0)</f>
        <v/>
      </c>
      <c r="AU39" s="41">
        <f>IFERROR(VLOOKUP(AA39,RULES!$A:$V,22,0)*1,0)</f>
        <v/>
      </c>
      <c r="AV39" s="41">
        <f>IFERROR(VLOOKUP(AA39,RULES!$A:$W,23,0)*1,0)</f>
        <v/>
      </c>
      <c r="AW39" s="41">
        <f>IFERROR(IF(VLOOKUP(AA39,RULES!$A:$X,24,0)="",999999,VLOOKUP(AA39,RULES!$A:$X,24,0)*1),999999)</f>
        <v/>
      </c>
      <c r="AX39" s="41">
        <f>IFERROR(VLOOKUP(AA39,RULES!$A:$Y,25,0)*1,0)</f>
        <v/>
      </c>
      <c r="AY39" s="41">
        <f>IFERROR(VLOOKUP(AA39,RULES!$A:$Z,26,0),"NONE")</f>
        <v/>
      </c>
      <c r="AZ39" s="41">
        <f>IFERROR(VLOOKUP(AA39,RULES!$A:$AA,27,0)*1,0)</f>
        <v/>
      </c>
      <c r="BA39" s="41">
        <f>IFERROR(VLOOKUP(AA39,RULES!$A:$AB,28,0)*1,0)</f>
        <v/>
      </c>
    </row>
    <row r="40" ht="17" customHeight="1">
      <c r="A40" s="36" t="n"/>
      <c r="B40" s="48" t="inlineStr">
        <is>
          <t>ACC007</t>
        </is>
      </c>
      <c r="C40" s="48" t="inlineStr">
        <is>
          <t>DEFAULT</t>
        </is>
      </c>
      <c r="D40" s="47" t="n"/>
      <c r="E40" s="36">
        <f>IF(OR(D40="",D40=0),"INACTIVE","ACTIVE")</f>
        <v/>
      </c>
      <c r="F40" s="48" t="inlineStr">
        <is>
          <t>NORMAL</t>
        </is>
      </c>
      <c r="G40" s="36" t="n"/>
      <c r="H40" s="36" t="n"/>
      <c r="I40" s="42">
        <f>IF(OR(E40="INACTIVE",H40=""),0,MAX(0,H40-G40))</f>
        <v/>
      </c>
      <c r="J40" s="36" t="n"/>
      <c r="K40" s="42">
        <f>IF(OR(E40="INACTIVE",H40=""),0,IF(AB40="DISABLED",0,IF(AB40="FLAT",AE40,IF(AB40="MANUAL",IF(J40="",0,J40*AC40),IF(AB40="STEP",IF(I40&lt;=AF40,I40*AG40,IF(I40&lt;=AH40,AF40*AG40+(I40-AF40)*AI40,AF40*AG40+(AH40-AF40)*AI40+(I40-AH40)*AK40)),MAX(I40*AC40,AD40))))))</f>
        <v/>
      </c>
      <c r="L40" s="42">
        <f>IF(OR(E40="INACTIVE",H40=""),0,IF(AL40="NONE",0,IF(AL40="FLAT",AM40,IF(AL40="PER_UNIT",I40*AN40,IF(AL40="MANUAL",IF(M40="",0,M40),0)))))</f>
        <v/>
      </c>
      <c r="M40" s="36" t="n"/>
      <c r="N40" s="48" t="inlineStr">
        <is>
          <t>NORMAL</t>
        </is>
      </c>
      <c r="O40" s="36" t="n"/>
      <c r="P40" s="36" t="n"/>
      <c r="Q40" s="42">
        <f>IF(OR(E40="INACTIVE",P40=""),0,MAX(0,P40-O40))</f>
        <v/>
      </c>
      <c r="R40" s="36" t="n"/>
      <c r="S40" s="42">
        <f>IF(OR(E40="INACTIVE",P40=""),0,IF(AO40="DISABLED",0,IF(AO40="FLAT",AR40,IF(AO40="MANUAL",IF(R40="",0,R40*AP40),IF(AO40="STEP",IF(Q40&lt;=AS40,Q40*AT40,IF(Q40&lt;=AU40,AS40*AT40+(Q40-AS40)*AV40,AS40*AT40+(AU40-AS40)*AV40+(Q40-AU40)*AX40)),MAX(Q40*AP40,AQ40))))))</f>
        <v/>
      </c>
      <c r="T40" s="42">
        <f>IF(OR(E40="INACTIVE",P40=""),0,IF(AY40="NONE",0,IF(AY40="FLAT",AZ40,IF(AY40="PER_UNIT",Q40*BA40,IF(AY40="MANUAL",IF(U40="",0,U40),0)))))</f>
        <v/>
      </c>
      <c r="U40" s="36" t="n"/>
      <c r="V40" s="36" t="n"/>
      <c r="W40" s="36" t="n"/>
      <c r="X40" s="42">
        <f>IF(E40="INACTIVE",0,D40+K40+L40+S40+T40+IF(V40="",0,V40)+IF(W40="",0,W40))</f>
        <v/>
      </c>
      <c r="Y40" s="36" t="n"/>
      <c r="Z40" s="42">
        <f>IF(E40="INACTIVE","_",IF(AND(G40&gt;0,H40&gt;0,H40&lt;G40),"[!]น้ำ reset ","")&amp;IF(AND(O40&gt;0,P40&gt;0,P40&lt;O40),"[!]ไฟ reset ","")&amp;IF(AND(F40="MANUAL",J40=""),"[X]units น้ำ ","")&amp;IF(AND(N40="MANUAL",R40=""),"[X]units ไฟ ","")&amp;IF(D40=0,"[!]ค่าเช่า=0",""))</f>
        <v/>
      </c>
      <c r="AA40" s="41">
        <f>IF(C40&lt;&gt;"",C40,CONFIG!$B$6)</f>
        <v/>
      </c>
      <c r="AB40" s="41">
        <f>IF(F40&lt;&gt;"",F40,IFERROR(VLOOKUP(AA40,RULES!$A:$C,3,0),CONFIG!$B$7))</f>
        <v/>
      </c>
      <c r="AC40" s="41">
        <f>IF(IFERROR(VLOOKUP(AA40,RULES!$A:$D,4,0),"")="",CONFIG!$B$10,VLOOKUP(AA40,RULES!$A:$D,4,0))</f>
        <v/>
      </c>
      <c r="AD40" s="41">
        <f>IF(IFERROR(VLOOKUP(AA40,RULES!$A:$E,5,0),"")="",CONFIG!$B$11,VLOOKUP(AA40,RULES!$A:$E,5,0))</f>
        <v/>
      </c>
      <c r="AE40" s="41">
        <f>IFERROR(VLOOKUP(AA40,RULES!$A:$F,6,0)*1,0)</f>
        <v/>
      </c>
      <c r="AF40" s="41">
        <f>IFERROR(VLOOKUP(AA40,RULES!$A:$G,7,0)*1,0)</f>
        <v/>
      </c>
      <c r="AG40" s="41">
        <f>IFERROR(VLOOKUP(AA40,RULES!$A:$H,8,0)*1,0)</f>
        <v/>
      </c>
      <c r="AH40" s="41">
        <f>IFERROR(VLOOKUP(AA40,RULES!$A:$I,9,0)*1,0)</f>
        <v/>
      </c>
      <c r="AI40" s="41">
        <f>IFERROR(VLOOKUP(AA40,RULES!$A:$J,10,0)*1,0)</f>
        <v/>
      </c>
      <c r="AJ40" s="41">
        <f>IFERROR(IF(VLOOKUP(AA40,RULES!$A:$K,11,0)="",999999,VLOOKUP(AA40,RULES!$A:$K,11,0)*1),999999)</f>
        <v/>
      </c>
      <c r="AK40" s="41">
        <f>IFERROR(VLOOKUP(AA40,RULES!$A:$L,12,0)*1,0)</f>
        <v/>
      </c>
      <c r="AL40" s="41">
        <f>IFERROR(VLOOKUP(AA40,RULES!$A:$M,13,0),"NONE")</f>
        <v/>
      </c>
      <c r="AM40" s="41">
        <f>IFERROR(VLOOKUP(AA40,RULES!$A:$N,14,0)*1,0)</f>
        <v/>
      </c>
      <c r="AN40" s="41">
        <f>IFERROR(VLOOKUP(AA40,RULES!$A:$O,15,0)*1,0)</f>
        <v/>
      </c>
      <c r="AO40" s="41">
        <f>IF(N40&lt;&gt;"",N40,IFERROR(VLOOKUP(AA40,RULES!$A:$P,16,0),CONFIG!$B$8))</f>
        <v/>
      </c>
      <c r="AP40" s="41">
        <f>IF(IFERROR(VLOOKUP(AA40,RULES!$A:$Q,17,0),"")="",CONFIG!$B$13,VLOOKUP(AA40,RULES!$A:$Q,17,0))</f>
        <v/>
      </c>
      <c r="AQ40" s="41">
        <f>IF(IFERROR(VLOOKUP(AA40,RULES!$A:$R,18,0),"")="",CONFIG!$B$14,VLOOKUP(AA40,RULES!$A:$R,18,0))</f>
        <v/>
      </c>
      <c r="AR40" s="41">
        <f>IFERROR(VLOOKUP(AA40,RULES!$A:$S,19,0)*1,0)</f>
        <v/>
      </c>
      <c r="AS40" s="41">
        <f>IFERROR(VLOOKUP(AA40,RULES!$A:$T,20,0)*1,0)</f>
        <v/>
      </c>
      <c r="AT40" s="41">
        <f>IFERROR(VLOOKUP(AA40,RULES!$A:$U,21,0)*1,0)</f>
        <v/>
      </c>
      <c r="AU40" s="41">
        <f>IFERROR(VLOOKUP(AA40,RULES!$A:$V,22,0)*1,0)</f>
        <v/>
      </c>
      <c r="AV40" s="41">
        <f>IFERROR(VLOOKUP(AA40,RULES!$A:$W,23,0)*1,0)</f>
        <v/>
      </c>
      <c r="AW40" s="41">
        <f>IFERROR(IF(VLOOKUP(AA40,RULES!$A:$X,24,0)="",999999,VLOOKUP(AA40,RULES!$A:$X,24,0)*1),999999)</f>
        <v/>
      </c>
      <c r="AX40" s="41">
        <f>IFERROR(VLOOKUP(AA40,RULES!$A:$Y,25,0)*1,0)</f>
        <v/>
      </c>
      <c r="AY40" s="41">
        <f>IFERROR(VLOOKUP(AA40,RULES!$A:$Z,26,0),"NONE")</f>
        <v/>
      </c>
      <c r="AZ40" s="41">
        <f>IFERROR(VLOOKUP(AA40,RULES!$A:$AA,27,0)*1,0)</f>
        <v/>
      </c>
      <c r="BA40" s="41">
        <f>IFERROR(VLOOKUP(AA40,RULES!$A:$AB,28,0)*1,0)</f>
        <v/>
      </c>
    </row>
    <row r="41" ht="17" customHeight="1">
      <c r="A41" s="36" t="n"/>
      <c r="B41" s="48" t="inlineStr">
        <is>
          <t>ACC007</t>
        </is>
      </c>
      <c r="C41" s="48" t="inlineStr">
        <is>
          <t>DEFAULT</t>
        </is>
      </c>
      <c r="D41" s="47" t="n"/>
      <c r="E41" s="36">
        <f>IF(OR(D41="",D41=0),"INACTIVE","ACTIVE")</f>
        <v/>
      </c>
      <c r="F41" s="48" t="inlineStr">
        <is>
          <t>NORMAL</t>
        </is>
      </c>
      <c r="G41" s="36" t="n"/>
      <c r="H41" s="36" t="n"/>
      <c r="I41" s="42">
        <f>IF(OR(E41="INACTIVE",H41=""),0,MAX(0,H41-G41))</f>
        <v/>
      </c>
      <c r="J41" s="36" t="n"/>
      <c r="K41" s="42">
        <f>IF(OR(E41="INACTIVE",H41=""),0,IF(AB41="DISABLED",0,IF(AB41="FLAT",AE41,IF(AB41="MANUAL",IF(J41="",0,J41*AC41),IF(AB41="STEP",IF(I41&lt;=AF41,I41*AG41,IF(I41&lt;=AH41,AF41*AG41+(I41-AF41)*AI41,AF41*AG41+(AH41-AF41)*AI41+(I41-AH41)*AK41)),MAX(I41*AC41,AD41))))))</f>
        <v/>
      </c>
      <c r="L41" s="42">
        <f>IF(OR(E41="INACTIVE",H41=""),0,IF(AL41="NONE",0,IF(AL41="FLAT",AM41,IF(AL41="PER_UNIT",I41*AN41,IF(AL41="MANUAL",IF(M41="",0,M41),0)))))</f>
        <v/>
      </c>
      <c r="M41" s="36" t="n"/>
      <c r="N41" s="48" t="inlineStr">
        <is>
          <t>NORMAL</t>
        </is>
      </c>
      <c r="O41" s="36" t="n"/>
      <c r="P41" s="36" t="n"/>
      <c r="Q41" s="42">
        <f>IF(OR(E41="INACTIVE",P41=""),0,MAX(0,P41-O41))</f>
        <v/>
      </c>
      <c r="R41" s="36" t="n"/>
      <c r="S41" s="42">
        <f>IF(OR(E41="INACTIVE",P41=""),0,IF(AO41="DISABLED",0,IF(AO41="FLAT",AR41,IF(AO41="MANUAL",IF(R41="",0,R41*AP41),IF(AO41="STEP",IF(Q41&lt;=AS41,Q41*AT41,IF(Q41&lt;=AU41,AS41*AT41+(Q41-AS41)*AV41,AS41*AT41+(AU41-AS41)*AV41+(Q41-AU41)*AX41)),MAX(Q41*AP41,AQ41))))))</f>
        <v/>
      </c>
      <c r="T41" s="42">
        <f>IF(OR(E41="INACTIVE",P41=""),0,IF(AY41="NONE",0,IF(AY41="FLAT",AZ41,IF(AY41="PER_UNIT",Q41*BA41,IF(AY41="MANUAL",IF(U41="",0,U41),0)))))</f>
        <v/>
      </c>
      <c r="U41" s="36" t="n"/>
      <c r="V41" s="36" t="n"/>
      <c r="W41" s="36" t="n"/>
      <c r="X41" s="42">
        <f>IF(E41="INACTIVE",0,D41+K41+L41+S41+T41+IF(V41="",0,V41)+IF(W41="",0,W41))</f>
        <v/>
      </c>
      <c r="Y41" s="36" t="n"/>
      <c r="Z41" s="42">
        <f>IF(E41="INACTIVE","_",IF(AND(G41&gt;0,H41&gt;0,H41&lt;G41),"[!]น้ำ reset ","")&amp;IF(AND(O41&gt;0,P41&gt;0,P41&lt;O41),"[!]ไฟ reset ","")&amp;IF(AND(F41="MANUAL",J41=""),"[X]units น้ำ ","")&amp;IF(AND(N41="MANUAL",R41=""),"[X]units ไฟ ","")&amp;IF(D41=0,"[!]ค่าเช่า=0",""))</f>
        <v/>
      </c>
      <c r="AA41" s="41">
        <f>IF(C41&lt;&gt;"",C41,CONFIG!$B$6)</f>
        <v/>
      </c>
      <c r="AB41" s="41">
        <f>IF(F41&lt;&gt;"",F41,IFERROR(VLOOKUP(AA41,RULES!$A:$C,3,0),CONFIG!$B$7))</f>
        <v/>
      </c>
      <c r="AC41" s="41">
        <f>IF(IFERROR(VLOOKUP(AA41,RULES!$A:$D,4,0),"")="",CONFIG!$B$10,VLOOKUP(AA41,RULES!$A:$D,4,0))</f>
        <v/>
      </c>
      <c r="AD41" s="41">
        <f>IF(IFERROR(VLOOKUP(AA41,RULES!$A:$E,5,0),"")="",CONFIG!$B$11,VLOOKUP(AA41,RULES!$A:$E,5,0))</f>
        <v/>
      </c>
      <c r="AE41" s="41">
        <f>IFERROR(VLOOKUP(AA41,RULES!$A:$F,6,0)*1,0)</f>
        <v/>
      </c>
      <c r="AF41" s="41">
        <f>IFERROR(VLOOKUP(AA41,RULES!$A:$G,7,0)*1,0)</f>
        <v/>
      </c>
      <c r="AG41" s="41">
        <f>IFERROR(VLOOKUP(AA41,RULES!$A:$H,8,0)*1,0)</f>
        <v/>
      </c>
      <c r="AH41" s="41">
        <f>IFERROR(VLOOKUP(AA41,RULES!$A:$I,9,0)*1,0)</f>
        <v/>
      </c>
      <c r="AI41" s="41">
        <f>IFERROR(VLOOKUP(AA41,RULES!$A:$J,10,0)*1,0)</f>
        <v/>
      </c>
      <c r="AJ41" s="41">
        <f>IFERROR(IF(VLOOKUP(AA41,RULES!$A:$K,11,0)="",999999,VLOOKUP(AA41,RULES!$A:$K,11,0)*1),999999)</f>
        <v/>
      </c>
      <c r="AK41" s="41">
        <f>IFERROR(VLOOKUP(AA41,RULES!$A:$L,12,0)*1,0)</f>
        <v/>
      </c>
      <c r="AL41" s="41">
        <f>IFERROR(VLOOKUP(AA41,RULES!$A:$M,13,0),"NONE")</f>
        <v/>
      </c>
      <c r="AM41" s="41">
        <f>IFERROR(VLOOKUP(AA41,RULES!$A:$N,14,0)*1,0)</f>
        <v/>
      </c>
      <c r="AN41" s="41">
        <f>IFERROR(VLOOKUP(AA41,RULES!$A:$O,15,0)*1,0)</f>
        <v/>
      </c>
      <c r="AO41" s="41">
        <f>IF(N41&lt;&gt;"",N41,IFERROR(VLOOKUP(AA41,RULES!$A:$P,16,0),CONFIG!$B$8))</f>
        <v/>
      </c>
      <c r="AP41" s="41">
        <f>IF(IFERROR(VLOOKUP(AA41,RULES!$A:$Q,17,0),"")="",CONFIG!$B$13,VLOOKUP(AA41,RULES!$A:$Q,17,0))</f>
        <v/>
      </c>
      <c r="AQ41" s="41">
        <f>IF(IFERROR(VLOOKUP(AA41,RULES!$A:$R,18,0),"")="",CONFIG!$B$14,VLOOKUP(AA41,RULES!$A:$R,18,0))</f>
        <v/>
      </c>
      <c r="AR41" s="41">
        <f>IFERROR(VLOOKUP(AA41,RULES!$A:$S,19,0)*1,0)</f>
        <v/>
      </c>
      <c r="AS41" s="41">
        <f>IFERROR(VLOOKUP(AA41,RULES!$A:$T,20,0)*1,0)</f>
        <v/>
      </c>
      <c r="AT41" s="41">
        <f>IFERROR(VLOOKUP(AA41,RULES!$A:$U,21,0)*1,0)</f>
        <v/>
      </c>
      <c r="AU41" s="41">
        <f>IFERROR(VLOOKUP(AA41,RULES!$A:$V,22,0)*1,0)</f>
        <v/>
      </c>
      <c r="AV41" s="41">
        <f>IFERROR(VLOOKUP(AA41,RULES!$A:$W,23,0)*1,0)</f>
        <v/>
      </c>
      <c r="AW41" s="41">
        <f>IFERROR(IF(VLOOKUP(AA41,RULES!$A:$X,24,0)="",999999,VLOOKUP(AA41,RULES!$A:$X,24,0)*1),999999)</f>
        <v/>
      </c>
      <c r="AX41" s="41">
        <f>IFERROR(VLOOKUP(AA41,RULES!$A:$Y,25,0)*1,0)</f>
        <v/>
      </c>
      <c r="AY41" s="41">
        <f>IFERROR(VLOOKUP(AA41,RULES!$A:$Z,26,0),"NONE")</f>
        <v/>
      </c>
      <c r="AZ41" s="41">
        <f>IFERROR(VLOOKUP(AA41,RULES!$A:$AA,27,0)*1,0)</f>
        <v/>
      </c>
      <c r="BA41" s="41">
        <f>IFERROR(VLOOKUP(AA41,RULES!$A:$AB,28,0)*1,0)</f>
        <v/>
      </c>
    </row>
    <row r="42" ht="17" customHeight="1">
      <c r="A42" s="36" t="n"/>
      <c r="B42" s="48" t="inlineStr">
        <is>
          <t>ACC007</t>
        </is>
      </c>
      <c r="C42" s="48" t="inlineStr">
        <is>
          <t>DEFAULT</t>
        </is>
      </c>
      <c r="D42" s="47" t="n"/>
      <c r="E42" s="36">
        <f>IF(OR(D42="",D42=0),"INACTIVE","ACTIVE")</f>
        <v/>
      </c>
      <c r="F42" s="48" t="inlineStr">
        <is>
          <t>NORMAL</t>
        </is>
      </c>
      <c r="G42" s="36" t="n"/>
      <c r="H42" s="36" t="n"/>
      <c r="I42" s="42">
        <f>IF(OR(E42="INACTIVE",H42=""),0,MAX(0,H42-G42))</f>
        <v/>
      </c>
      <c r="J42" s="36" t="n"/>
      <c r="K42" s="42">
        <f>IF(OR(E42="INACTIVE",H42=""),0,IF(AB42="DISABLED",0,IF(AB42="FLAT",AE42,IF(AB42="MANUAL",IF(J42="",0,J42*AC42),IF(AB42="STEP",IF(I42&lt;=AF42,I42*AG42,IF(I42&lt;=AH42,AF42*AG42+(I42-AF42)*AI42,AF42*AG42+(AH42-AF42)*AI42+(I42-AH42)*AK42)),MAX(I42*AC42,AD42))))))</f>
        <v/>
      </c>
      <c r="L42" s="42">
        <f>IF(OR(E42="INACTIVE",H42=""),0,IF(AL42="NONE",0,IF(AL42="FLAT",AM42,IF(AL42="PER_UNIT",I42*AN42,IF(AL42="MANUAL",IF(M42="",0,M42),0)))))</f>
        <v/>
      </c>
      <c r="M42" s="36" t="n"/>
      <c r="N42" s="48" t="inlineStr">
        <is>
          <t>NORMAL</t>
        </is>
      </c>
      <c r="O42" s="36" t="n"/>
      <c r="P42" s="36" t="n"/>
      <c r="Q42" s="42">
        <f>IF(OR(E42="INACTIVE",P42=""),0,MAX(0,P42-O42))</f>
        <v/>
      </c>
      <c r="R42" s="36" t="n"/>
      <c r="S42" s="42">
        <f>IF(OR(E42="INACTIVE",P42=""),0,IF(AO42="DISABLED",0,IF(AO42="FLAT",AR42,IF(AO42="MANUAL",IF(R42="",0,R42*AP42),IF(AO42="STEP",IF(Q42&lt;=AS42,Q42*AT42,IF(Q42&lt;=AU42,AS42*AT42+(Q42-AS42)*AV42,AS42*AT42+(AU42-AS42)*AV42+(Q42-AU42)*AX42)),MAX(Q42*AP42,AQ42))))))</f>
        <v/>
      </c>
      <c r="T42" s="42">
        <f>IF(OR(E42="INACTIVE",P42=""),0,IF(AY42="NONE",0,IF(AY42="FLAT",AZ42,IF(AY42="PER_UNIT",Q42*BA42,IF(AY42="MANUAL",IF(U42="",0,U42),0)))))</f>
        <v/>
      </c>
      <c r="U42" s="36" t="n"/>
      <c r="V42" s="36" t="n"/>
      <c r="W42" s="36" t="n"/>
      <c r="X42" s="42">
        <f>IF(E42="INACTIVE",0,D42+K42+L42+S42+T42+IF(V42="",0,V42)+IF(W42="",0,W42))</f>
        <v/>
      </c>
      <c r="Y42" s="36" t="n"/>
      <c r="Z42" s="42">
        <f>IF(E42="INACTIVE","_",IF(AND(G42&gt;0,H42&gt;0,H42&lt;G42),"[!]น้ำ reset ","")&amp;IF(AND(O42&gt;0,P42&gt;0,P42&lt;O42),"[!]ไฟ reset ","")&amp;IF(AND(F42="MANUAL",J42=""),"[X]units น้ำ ","")&amp;IF(AND(N42="MANUAL",R42=""),"[X]units ไฟ ","")&amp;IF(D42=0,"[!]ค่าเช่า=0",""))</f>
        <v/>
      </c>
      <c r="AA42" s="41">
        <f>IF(C42&lt;&gt;"",C42,CONFIG!$B$6)</f>
        <v/>
      </c>
      <c r="AB42" s="41">
        <f>IF(F42&lt;&gt;"",F42,IFERROR(VLOOKUP(AA42,RULES!$A:$C,3,0),CONFIG!$B$7))</f>
        <v/>
      </c>
      <c r="AC42" s="41">
        <f>IF(IFERROR(VLOOKUP(AA42,RULES!$A:$D,4,0),"")="",CONFIG!$B$10,VLOOKUP(AA42,RULES!$A:$D,4,0))</f>
        <v/>
      </c>
      <c r="AD42" s="41">
        <f>IF(IFERROR(VLOOKUP(AA42,RULES!$A:$E,5,0),"")="",CONFIG!$B$11,VLOOKUP(AA42,RULES!$A:$E,5,0))</f>
        <v/>
      </c>
      <c r="AE42" s="41">
        <f>IFERROR(VLOOKUP(AA42,RULES!$A:$F,6,0)*1,0)</f>
        <v/>
      </c>
      <c r="AF42" s="41">
        <f>IFERROR(VLOOKUP(AA42,RULES!$A:$G,7,0)*1,0)</f>
        <v/>
      </c>
      <c r="AG42" s="41">
        <f>IFERROR(VLOOKUP(AA42,RULES!$A:$H,8,0)*1,0)</f>
        <v/>
      </c>
      <c r="AH42" s="41">
        <f>IFERROR(VLOOKUP(AA42,RULES!$A:$I,9,0)*1,0)</f>
        <v/>
      </c>
      <c r="AI42" s="41">
        <f>IFERROR(VLOOKUP(AA42,RULES!$A:$J,10,0)*1,0)</f>
        <v/>
      </c>
      <c r="AJ42" s="41">
        <f>IFERROR(IF(VLOOKUP(AA42,RULES!$A:$K,11,0)="",999999,VLOOKUP(AA42,RULES!$A:$K,11,0)*1),999999)</f>
        <v/>
      </c>
      <c r="AK42" s="41">
        <f>IFERROR(VLOOKUP(AA42,RULES!$A:$L,12,0)*1,0)</f>
        <v/>
      </c>
      <c r="AL42" s="41">
        <f>IFERROR(VLOOKUP(AA42,RULES!$A:$M,13,0),"NONE")</f>
        <v/>
      </c>
      <c r="AM42" s="41">
        <f>IFERROR(VLOOKUP(AA42,RULES!$A:$N,14,0)*1,0)</f>
        <v/>
      </c>
      <c r="AN42" s="41">
        <f>IFERROR(VLOOKUP(AA42,RULES!$A:$O,15,0)*1,0)</f>
        <v/>
      </c>
      <c r="AO42" s="41">
        <f>IF(N42&lt;&gt;"",N42,IFERROR(VLOOKUP(AA42,RULES!$A:$P,16,0),CONFIG!$B$8))</f>
        <v/>
      </c>
      <c r="AP42" s="41">
        <f>IF(IFERROR(VLOOKUP(AA42,RULES!$A:$Q,17,0),"")="",CONFIG!$B$13,VLOOKUP(AA42,RULES!$A:$Q,17,0))</f>
        <v/>
      </c>
      <c r="AQ42" s="41">
        <f>IF(IFERROR(VLOOKUP(AA42,RULES!$A:$R,18,0),"")="",CONFIG!$B$14,VLOOKUP(AA42,RULES!$A:$R,18,0))</f>
        <v/>
      </c>
      <c r="AR42" s="41">
        <f>IFERROR(VLOOKUP(AA42,RULES!$A:$S,19,0)*1,0)</f>
        <v/>
      </c>
      <c r="AS42" s="41">
        <f>IFERROR(VLOOKUP(AA42,RULES!$A:$T,20,0)*1,0)</f>
        <v/>
      </c>
      <c r="AT42" s="41">
        <f>IFERROR(VLOOKUP(AA42,RULES!$A:$U,21,0)*1,0)</f>
        <v/>
      </c>
      <c r="AU42" s="41">
        <f>IFERROR(VLOOKUP(AA42,RULES!$A:$V,22,0)*1,0)</f>
        <v/>
      </c>
      <c r="AV42" s="41">
        <f>IFERROR(VLOOKUP(AA42,RULES!$A:$W,23,0)*1,0)</f>
        <v/>
      </c>
      <c r="AW42" s="41">
        <f>IFERROR(IF(VLOOKUP(AA42,RULES!$A:$X,24,0)="",999999,VLOOKUP(AA42,RULES!$A:$X,24,0)*1),999999)</f>
        <v/>
      </c>
      <c r="AX42" s="41">
        <f>IFERROR(VLOOKUP(AA42,RULES!$A:$Y,25,0)*1,0)</f>
        <v/>
      </c>
      <c r="AY42" s="41">
        <f>IFERROR(VLOOKUP(AA42,RULES!$A:$Z,26,0),"NONE")</f>
        <v/>
      </c>
      <c r="AZ42" s="41">
        <f>IFERROR(VLOOKUP(AA42,RULES!$A:$AA,27,0)*1,0)</f>
        <v/>
      </c>
      <c r="BA42" s="41">
        <f>IFERROR(VLOOKUP(AA42,RULES!$A:$AB,28,0)*1,0)</f>
        <v/>
      </c>
    </row>
    <row r="43" ht="17" customHeight="1">
      <c r="A43" s="36" t="n"/>
      <c r="B43" s="48" t="inlineStr">
        <is>
          <t>ACC007</t>
        </is>
      </c>
      <c r="C43" s="48" t="inlineStr">
        <is>
          <t>DEFAULT</t>
        </is>
      </c>
      <c r="D43" s="47" t="n"/>
      <c r="E43" s="36">
        <f>IF(OR(D43="",D43=0),"INACTIVE","ACTIVE")</f>
        <v/>
      </c>
      <c r="F43" s="48" t="inlineStr">
        <is>
          <t>NORMAL</t>
        </is>
      </c>
      <c r="G43" s="36" t="n"/>
      <c r="H43" s="36" t="n"/>
      <c r="I43" s="42">
        <f>IF(OR(E43="INACTIVE",H43=""),0,MAX(0,H43-G43))</f>
        <v/>
      </c>
      <c r="J43" s="36" t="n"/>
      <c r="K43" s="42">
        <f>IF(OR(E43="INACTIVE",H43=""),0,IF(AB43="DISABLED",0,IF(AB43="FLAT",AE43,IF(AB43="MANUAL",IF(J43="",0,J43*AC43),IF(AB43="STEP",IF(I43&lt;=AF43,I43*AG43,IF(I43&lt;=AH43,AF43*AG43+(I43-AF43)*AI43,AF43*AG43+(AH43-AF43)*AI43+(I43-AH43)*AK43)),MAX(I43*AC43,AD43))))))</f>
        <v/>
      </c>
      <c r="L43" s="42">
        <f>IF(OR(E43="INACTIVE",H43=""),0,IF(AL43="NONE",0,IF(AL43="FLAT",AM43,IF(AL43="PER_UNIT",I43*AN43,IF(AL43="MANUAL",IF(M43="",0,M43),0)))))</f>
        <v/>
      </c>
      <c r="M43" s="36" t="n"/>
      <c r="N43" s="48" t="inlineStr">
        <is>
          <t>NORMAL</t>
        </is>
      </c>
      <c r="O43" s="36" t="n"/>
      <c r="P43" s="36" t="n"/>
      <c r="Q43" s="42">
        <f>IF(OR(E43="INACTIVE",P43=""),0,MAX(0,P43-O43))</f>
        <v/>
      </c>
      <c r="R43" s="36" t="n"/>
      <c r="S43" s="42">
        <f>IF(OR(E43="INACTIVE",P43=""),0,IF(AO43="DISABLED",0,IF(AO43="FLAT",AR43,IF(AO43="MANUAL",IF(R43="",0,R43*AP43),IF(AO43="STEP",IF(Q43&lt;=AS43,Q43*AT43,IF(Q43&lt;=AU43,AS43*AT43+(Q43-AS43)*AV43,AS43*AT43+(AU43-AS43)*AV43+(Q43-AU43)*AX43)),MAX(Q43*AP43,AQ43))))))</f>
        <v/>
      </c>
      <c r="T43" s="42">
        <f>IF(OR(E43="INACTIVE",P43=""),0,IF(AY43="NONE",0,IF(AY43="FLAT",AZ43,IF(AY43="PER_UNIT",Q43*BA43,IF(AY43="MANUAL",IF(U43="",0,U43),0)))))</f>
        <v/>
      </c>
      <c r="U43" s="36" t="n"/>
      <c r="V43" s="36" t="n"/>
      <c r="W43" s="36" t="n"/>
      <c r="X43" s="42">
        <f>IF(E43="INACTIVE",0,D43+K43+L43+S43+T43+IF(V43="",0,V43)+IF(W43="",0,W43))</f>
        <v/>
      </c>
      <c r="Y43" s="36" t="n"/>
      <c r="Z43" s="42">
        <f>IF(E43="INACTIVE","_",IF(AND(G43&gt;0,H43&gt;0,H43&lt;G43),"[!]น้ำ reset ","")&amp;IF(AND(O43&gt;0,P43&gt;0,P43&lt;O43),"[!]ไฟ reset ","")&amp;IF(AND(F43="MANUAL",J43=""),"[X]units น้ำ ","")&amp;IF(AND(N43="MANUAL",R43=""),"[X]units ไฟ ","")&amp;IF(D43=0,"[!]ค่าเช่า=0",""))</f>
        <v/>
      </c>
      <c r="AA43" s="41">
        <f>IF(C43&lt;&gt;"",C43,CONFIG!$B$6)</f>
        <v/>
      </c>
      <c r="AB43" s="41">
        <f>IF(F43&lt;&gt;"",F43,IFERROR(VLOOKUP(AA43,RULES!$A:$C,3,0),CONFIG!$B$7))</f>
        <v/>
      </c>
      <c r="AC43" s="41">
        <f>IF(IFERROR(VLOOKUP(AA43,RULES!$A:$D,4,0),"")="",CONFIG!$B$10,VLOOKUP(AA43,RULES!$A:$D,4,0))</f>
        <v/>
      </c>
      <c r="AD43" s="41">
        <f>IF(IFERROR(VLOOKUP(AA43,RULES!$A:$E,5,0),"")="",CONFIG!$B$11,VLOOKUP(AA43,RULES!$A:$E,5,0))</f>
        <v/>
      </c>
      <c r="AE43" s="41">
        <f>IFERROR(VLOOKUP(AA43,RULES!$A:$F,6,0)*1,0)</f>
        <v/>
      </c>
      <c r="AF43" s="41">
        <f>IFERROR(VLOOKUP(AA43,RULES!$A:$G,7,0)*1,0)</f>
        <v/>
      </c>
      <c r="AG43" s="41">
        <f>IFERROR(VLOOKUP(AA43,RULES!$A:$H,8,0)*1,0)</f>
        <v/>
      </c>
      <c r="AH43" s="41">
        <f>IFERROR(VLOOKUP(AA43,RULES!$A:$I,9,0)*1,0)</f>
        <v/>
      </c>
      <c r="AI43" s="41">
        <f>IFERROR(VLOOKUP(AA43,RULES!$A:$J,10,0)*1,0)</f>
        <v/>
      </c>
      <c r="AJ43" s="41">
        <f>IFERROR(IF(VLOOKUP(AA43,RULES!$A:$K,11,0)="",999999,VLOOKUP(AA43,RULES!$A:$K,11,0)*1),999999)</f>
        <v/>
      </c>
      <c r="AK43" s="41">
        <f>IFERROR(VLOOKUP(AA43,RULES!$A:$L,12,0)*1,0)</f>
        <v/>
      </c>
      <c r="AL43" s="41">
        <f>IFERROR(VLOOKUP(AA43,RULES!$A:$M,13,0),"NONE")</f>
        <v/>
      </c>
      <c r="AM43" s="41">
        <f>IFERROR(VLOOKUP(AA43,RULES!$A:$N,14,0)*1,0)</f>
        <v/>
      </c>
      <c r="AN43" s="41">
        <f>IFERROR(VLOOKUP(AA43,RULES!$A:$O,15,0)*1,0)</f>
        <v/>
      </c>
      <c r="AO43" s="41">
        <f>IF(N43&lt;&gt;"",N43,IFERROR(VLOOKUP(AA43,RULES!$A:$P,16,0),CONFIG!$B$8))</f>
        <v/>
      </c>
      <c r="AP43" s="41">
        <f>IF(IFERROR(VLOOKUP(AA43,RULES!$A:$Q,17,0),"")="",CONFIG!$B$13,VLOOKUP(AA43,RULES!$A:$Q,17,0))</f>
        <v/>
      </c>
      <c r="AQ43" s="41">
        <f>IF(IFERROR(VLOOKUP(AA43,RULES!$A:$R,18,0),"")="",CONFIG!$B$14,VLOOKUP(AA43,RULES!$A:$R,18,0))</f>
        <v/>
      </c>
      <c r="AR43" s="41">
        <f>IFERROR(VLOOKUP(AA43,RULES!$A:$S,19,0)*1,0)</f>
        <v/>
      </c>
      <c r="AS43" s="41">
        <f>IFERROR(VLOOKUP(AA43,RULES!$A:$T,20,0)*1,0)</f>
        <v/>
      </c>
      <c r="AT43" s="41">
        <f>IFERROR(VLOOKUP(AA43,RULES!$A:$U,21,0)*1,0)</f>
        <v/>
      </c>
      <c r="AU43" s="41">
        <f>IFERROR(VLOOKUP(AA43,RULES!$A:$V,22,0)*1,0)</f>
        <v/>
      </c>
      <c r="AV43" s="41">
        <f>IFERROR(VLOOKUP(AA43,RULES!$A:$W,23,0)*1,0)</f>
        <v/>
      </c>
      <c r="AW43" s="41">
        <f>IFERROR(IF(VLOOKUP(AA43,RULES!$A:$X,24,0)="",999999,VLOOKUP(AA43,RULES!$A:$X,24,0)*1),999999)</f>
        <v/>
      </c>
      <c r="AX43" s="41">
        <f>IFERROR(VLOOKUP(AA43,RULES!$A:$Y,25,0)*1,0)</f>
        <v/>
      </c>
      <c r="AY43" s="41">
        <f>IFERROR(VLOOKUP(AA43,RULES!$A:$Z,26,0),"NONE")</f>
        <v/>
      </c>
      <c r="AZ43" s="41">
        <f>IFERROR(VLOOKUP(AA43,RULES!$A:$AA,27,0)*1,0)</f>
        <v/>
      </c>
      <c r="BA43" s="41">
        <f>IFERROR(VLOOKUP(AA43,RULES!$A:$AB,28,0)*1,0)</f>
        <v/>
      </c>
    </row>
    <row r="44" ht="17" customHeight="1">
      <c r="A44" s="36" t="n"/>
      <c r="B44" s="48" t="inlineStr">
        <is>
          <t>ACC007</t>
        </is>
      </c>
      <c r="C44" s="48" t="inlineStr">
        <is>
          <t>DEFAULT</t>
        </is>
      </c>
      <c r="D44" s="47" t="n"/>
      <c r="E44" s="36">
        <f>IF(OR(D44="",D44=0),"INACTIVE","ACTIVE")</f>
        <v/>
      </c>
      <c r="F44" s="48" t="inlineStr">
        <is>
          <t>NORMAL</t>
        </is>
      </c>
      <c r="G44" s="36" t="n"/>
      <c r="H44" s="36" t="n"/>
      <c r="I44" s="42">
        <f>IF(OR(E44="INACTIVE",H44=""),0,MAX(0,H44-G44))</f>
        <v/>
      </c>
      <c r="J44" s="36" t="n"/>
      <c r="K44" s="42">
        <f>IF(OR(E44="INACTIVE",H44=""),0,IF(AB44="DISABLED",0,IF(AB44="FLAT",AE44,IF(AB44="MANUAL",IF(J44="",0,J44*AC44),IF(AB44="STEP",IF(I44&lt;=AF44,I44*AG44,IF(I44&lt;=AH44,AF44*AG44+(I44-AF44)*AI44,AF44*AG44+(AH44-AF44)*AI44+(I44-AH44)*AK44)),MAX(I44*AC44,AD44))))))</f>
        <v/>
      </c>
      <c r="L44" s="42">
        <f>IF(OR(E44="INACTIVE",H44=""),0,IF(AL44="NONE",0,IF(AL44="FLAT",AM44,IF(AL44="PER_UNIT",I44*AN44,IF(AL44="MANUAL",IF(M44="",0,M44),0)))))</f>
        <v/>
      </c>
      <c r="M44" s="36" t="n"/>
      <c r="N44" s="48" t="inlineStr">
        <is>
          <t>NORMAL</t>
        </is>
      </c>
      <c r="O44" s="36" t="n"/>
      <c r="P44" s="36" t="n"/>
      <c r="Q44" s="42">
        <f>IF(OR(E44="INACTIVE",P44=""),0,MAX(0,P44-O44))</f>
        <v/>
      </c>
      <c r="R44" s="36" t="n"/>
      <c r="S44" s="42">
        <f>IF(OR(E44="INACTIVE",P44=""),0,IF(AO44="DISABLED",0,IF(AO44="FLAT",AR44,IF(AO44="MANUAL",IF(R44="",0,R44*AP44),IF(AO44="STEP",IF(Q44&lt;=AS44,Q44*AT44,IF(Q44&lt;=AU44,AS44*AT44+(Q44-AS44)*AV44,AS44*AT44+(AU44-AS44)*AV44+(Q44-AU44)*AX44)),MAX(Q44*AP44,AQ44))))))</f>
        <v/>
      </c>
      <c r="T44" s="42">
        <f>IF(OR(E44="INACTIVE",P44=""),0,IF(AY44="NONE",0,IF(AY44="FLAT",AZ44,IF(AY44="PER_UNIT",Q44*BA44,IF(AY44="MANUAL",IF(U44="",0,U44),0)))))</f>
        <v/>
      </c>
      <c r="U44" s="36" t="n"/>
      <c r="V44" s="36" t="n"/>
      <c r="W44" s="36" t="n"/>
      <c r="X44" s="42">
        <f>IF(E44="INACTIVE",0,D44+K44+L44+S44+T44+IF(V44="",0,V44)+IF(W44="",0,W44))</f>
        <v/>
      </c>
      <c r="Y44" s="36" t="n"/>
      <c r="Z44" s="42">
        <f>IF(E44="INACTIVE","_",IF(AND(G44&gt;0,H44&gt;0,H44&lt;G44),"[!]น้ำ reset ","")&amp;IF(AND(O44&gt;0,P44&gt;0,P44&lt;O44),"[!]ไฟ reset ","")&amp;IF(AND(F44="MANUAL",J44=""),"[X]units น้ำ ","")&amp;IF(AND(N44="MANUAL",R44=""),"[X]units ไฟ ","")&amp;IF(D44=0,"[!]ค่าเช่า=0",""))</f>
        <v/>
      </c>
      <c r="AA44" s="41">
        <f>IF(C44&lt;&gt;"",C44,CONFIG!$B$6)</f>
        <v/>
      </c>
      <c r="AB44" s="41">
        <f>IF(F44&lt;&gt;"",F44,IFERROR(VLOOKUP(AA44,RULES!$A:$C,3,0),CONFIG!$B$7))</f>
        <v/>
      </c>
      <c r="AC44" s="41">
        <f>IF(IFERROR(VLOOKUP(AA44,RULES!$A:$D,4,0),"")="",CONFIG!$B$10,VLOOKUP(AA44,RULES!$A:$D,4,0))</f>
        <v/>
      </c>
      <c r="AD44" s="41">
        <f>IF(IFERROR(VLOOKUP(AA44,RULES!$A:$E,5,0),"")="",CONFIG!$B$11,VLOOKUP(AA44,RULES!$A:$E,5,0))</f>
        <v/>
      </c>
      <c r="AE44" s="41">
        <f>IFERROR(VLOOKUP(AA44,RULES!$A:$F,6,0)*1,0)</f>
        <v/>
      </c>
      <c r="AF44" s="41">
        <f>IFERROR(VLOOKUP(AA44,RULES!$A:$G,7,0)*1,0)</f>
        <v/>
      </c>
      <c r="AG44" s="41">
        <f>IFERROR(VLOOKUP(AA44,RULES!$A:$H,8,0)*1,0)</f>
        <v/>
      </c>
      <c r="AH44" s="41">
        <f>IFERROR(VLOOKUP(AA44,RULES!$A:$I,9,0)*1,0)</f>
        <v/>
      </c>
      <c r="AI44" s="41">
        <f>IFERROR(VLOOKUP(AA44,RULES!$A:$J,10,0)*1,0)</f>
        <v/>
      </c>
      <c r="AJ44" s="41">
        <f>IFERROR(IF(VLOOKUP(AA44,RULES!$A:$K,11,0)="",999999,VLOOKUP(AA44,RULES!$A:$K,11,0)*1),999999)</f>
        <v/>
      </c>
      <c r="AK44" s="41">
        <f>IFERROR(VLOOKUP(AA44,RULES!$A:$L,12,0)*1,0)</f>
        <v/>
      </c>
      <c r="AL44" s="41">
        <f>IFERROR(VLOOKUP(AA44,RULES!$A:$M,13,0),"NONE")</f>
        <v/>
      </c>
      <c r="AM44" s="41">
        <f>IFERROR(VLOOKUP(AA44,RULES!$A:$N,14,0)*1,0)</f>
        <v/>
      </c>
      <c r="AN44" s="41">
        <f>IFERROR(VLOOKUP(AA44,RULES!$A:$O,15,0)*1,0)</f>
        <v/>
      </c>
      <c r="AO44" s="41">
        <f>IF(N44&lt;&gt;"",N44,IFERROR(VLOOKUP(AA44,RULES!$A:$P,16,0),CONFIG!$B$8))</f>
        <v/>
      </c>
      <c r="AP44" s="41">
        <f>IF(IFERROR(VLOOKUP(AA44,RULES!$A:$Q,17,0),"")="",CONFIG!$B$13,VLOOKUP(AA44,RULES!$A:$Q,17,0))</f>
        <v/>
      </c>
      <c r="AQ44" s="41">
        <f>IF(IFERROR(VLOOKUP(AA44,RULES!$A:$R,18,0),"")="",CONFIG!$B$14,VLOOKUP(AA44,RULES!$A:$R,18,0))</f>
        <v/>
      </c>
      <c r="AR44" s="41">
        <f>IFERROR(VLOOKUP(AA44,RULES!$A:$S,19,0)*1,0)</f>
        <v/>
      </c>
      <c r="AS44" s="41">
        <f>IFERROR(VLOOKUP(AA44,RULES!$A:$T,20,0)*1,0)</f>
        <v/>
      </c>
      <c r="AT44" s="41">
        <f>IFERROR(VLOOKUP(AA44,RULES!$A:$U,21,0)*1,0)</f>
        <v/>
      </c>
      <c r="AU44" s="41">
        <f>IFERROR(VLOOKUP(AA44,RULES!$A:$V,22,0)*1,0)</f>
        <v/>
      </c>
      <c r="AV44" s="41">
        <f>IFERROR(VLOOKUP(AA44,RULES!$A:$W,23,0)*1,0)</f>
        <v/>
      </c>
      <c r="AW44" s="41">
        <f>IFERROR(IF(VLOOKUP(AA44,RULES!$A:$X,24,0)="",999999,VLOOKUP(AA44,RULES!$A:$X,24,0)*1),999999)</f>
        <v/>
      </c>
      <c r="AX44" s="41">
        <f>IFERROR(VLOOKUP(AA44,RULES!$A:$Y,25,0)*1,0)</f>
        <v/>
      </c>
      <c r="AY44" s="41">
        <f>IFERROR(VLOOKUP(AA44,RULES!$A:$Z,26,0),"NONE")</f>
        <v/>
      </c>
      <c r="AZ44" s="41">
        <f>IFERROR(VLOOKUP(AA44,RULES!$A:$AA,27,0)*1,0)</f>
        <v/>
      </c>
      <c r="BA44" s="41">
        <f>IFERROR(VLOOKUP(AA44,RULES!$A:$AB,28,0)*1,0)</f>
        <v/>
      </c>
    </row>
    <row r="45" ht="17" customHeight="1">
      <c r="A45" s="36" t="n"/>
      <c r="B45" s="48" t="inlineStr">
        <is>
          <t>ACC007</t>
        </is>
      </c>
      <c r="C45" s="48" t="inlineStr">
        <is>
          <t>DEFAULT</t>
        </is>
      </c>
      <c r="D45" s="47" t="n"/>
      <c r="E45" s="36">
        <f>IF(OR(D45="",D45=0),"INACTIVE","ACTIVE")</f>
        <v/>
      </c>
      <c r="F45" s="48" t="inlineStr">
        <is>
          <t>NORMAL</t>
        </is>
      </c>
      <c r="G45" s="36" t="n"/>
      <c r="H45" s="36" t="n"/>
      <c r="I45" s="42">
        <f>IF(OR(E45="INACTIVE",H45=""),0,MAX(0,H45-G45))</f>
        <v/>
      </c>
      <c r="J45" s="36" t="n"/>
      <c r="K45" s="42">
        <f>IF(OR(E45="INACTIVE",H45=""),0,IF(AB45="DISABLED",0,IF(AB45="FLAT",AE45,IF(AB45="MANUAL",IF(J45="",0,J45*AC45),IF(AB45="STEP",IF(I45&lt;=AF45,I45*AG45,IF(I45&lt;=AH45,AF45*AG45+(I45-AF45)*AI45,AF45*AG45+(AH45-AF45)*AI45+(I45-AH45)*AK45)),MAX(I45*AC45,AD45))))))</f>
        <v/>
      </c>
      <c r="L45" s="42">
        <f>IF(OR(E45="INACTIVE",H45=""),0,IF(AL45="NONE",0,IF(AL45="FLAT",AM45,IF(AL45="PER_UNIT",I45*AN45,IF(AL45="MANUAL",IF(M45="",0,M45),0)))))</f>
        <v/>
      </c>
      <c r="M45" s="36" t="n"/>
      <c r="N45" s="48" t="inlineStr">
        <is>
          <t>NORMAL</t>
        </is>
      </c>
      <c r="O45" s="36" t="n"/>
      <c r="P45" s="36" t="n"/>
      <c r="Q45" s="42">
        <f>IF(OR(E45="INACTIVE",P45=""),0,MAX(0,P45-O45))</f>
        <v/>
      </c>
      <c r="R45" s="36" t="n"/>
      <c r="S45" s="42">
        <f>IF(OR(E45="INACTIVE",P45=""),0,IF(AO45="DISABLED",0,IF(AO45="FLAT",AR45,IF(AO45="MANUAL",IF(R45="",0,R45*AP45),IF(AO45="STEP",IF(Q45&lt;=AS45,Q45*AT45,IF(Q45&lt;=AU45,AS45*AT45+(Q45-AS45)*AV45,AS45*AT45+(AU45-AS45)*AV45+(Q45-AU45)*AX45)),MAX(Q45*AP45,AQ45))))))</f>
        <v/>
      </c>
      <c r="T45" s="42">
        <f>IF(OR(E45="INACTIVE",P45=""),0,IF(AY45="NONE",0,IF(AY45="FLAT",AZ45,IF(AY45="PER_UNIT",Q45*BA45,IF(AY45="MANUAL",IF(U45="",0,U45),0)))))</f>
        <v/>
      </c>
      <c r="U45" s="36" t="n"/>
      <c r="V45" s="36" t="n"/>
      <c r="W45" s="36" t="n"/>
      <c r="X45" s="42">
        <f>IF(E45="INACTIVE",0,D45+K45+L45+S45+T45+IF(V45="",0,V45)+IF(W45="",0,W45))</f>
        <v/>
      </c>
      <c r="Y45" s="36" t="n"/>
      <c r="Z45" s="42">
        <f>IF(E45="INACTIVE","_",IF(AND(G45&gt;0,H45&gt;0,H45&lt;G45),"[!]น้ำ reset ","")&amp;IF(AND(O45&gt;0,P45&gt;0,P45&lt;O45),"[!]ไฟ reset ","")&amp;IF(AND(F45="MANUAL",J45=""),"[X]units น้ำ ","")&amp;IF(AND(N45="MANUAL",R45=""),"[X]units ไฟ ","")&amp;IF(D45=0,"[!]ค่าเช่า=0",""))</f>
        <v/>
      </c>
      <c r="AA45" s="41">
        <f>IF(C45&lt;&gt;"",C45,CONFIG!$B$6)</f>
        <v/>
      </c>
      <c r="AB45" s="41">
        <f>IF(F45&lt;&gt;"",F45,IFERROR(VLOOKUP(AA45,RULES!$A:$C,3,0),CONFIG!$B$7))</f>
        <v/>
      </c>
      <c r="AC45" s="41">
        <f>IF(IFERROR(VLOOKUP(AA45,RULES!$A:$D,4,0),"")="",CONFIG!$B$10,VLOOKUP(AA45,RULES!$A:$D,4,0))</f>
        <v/>
      </c>
      <c r="AD45" s="41">
        <f>IF(IFERROR(VLOOKUP(AA45,RULES!$A:$E,5,0),"")="",CONFIG!$B$11,VLOOKUP(AA45,RULES!$A:$E,5,0))</f>
        <v/>
      </c>
      <c r="AE45" s="41">
        <f>IFERROR(VLOOKUP(AA45,RULES!$A:$F,6,0)*1,0)</f>
        <v/>
      </c>
      <c r="AF45" s="41">
        <f>IFERROR(VLOOKUP(AA45,RULES!$A:$G,7,0)*1,0)</f>
        <v/>
      </c>
      <c r="AG45" s="41">
        <f>IFERROR(VLOOKUP(AA45,RULES!$A:$H,8,0)*1,0)</f>
        <v/>
      </c>
      <c r="AH45" s="41">
        <f>IFERROR(VLOOKUP(AA45,RULES!$A:$I,9,0)*1,0)</f>
        <v/>
      </c>
      <c r="AI45" s="41">
        <f>IFERROR(VLOOKUP(AA45,RULES!$A:$J,10,0)*1,0)</f>
        <v/>
      </c>
      <c r="AJ45" s="41">
        <f>IFERROR(IF(VLOOKUP(AA45,RULES!$A:$K,11,0)="",999999,VLOOKUP(AA45,RULES!$A:$K,11,0)*1),999999)</f>
        <v/>
      </c>
      <c r="AK45" s="41">
        <f>IFERROR(VLOOKUP(AA45,RULES!$A:$L,12,0)*1,0)</f>
        <v/>
      </c>
      <c r="AL45" s="41">
        <f>IFERROR(VLOOKUP(AA45,RULES!$A:$M,13,0),"NONE")</f>
        <v/>
      </c>
      <c r="AM45" s="41">
        <f>IFERROR(VLOOKUP(AA45,RULES!$A:$N,14,0)*1,0)</f>
        <v/>
      </c>
      <c r="AN45" s="41">
        <f>IFERROR(VLOOKUP(AA45,RULES!$A:$O,15,0)*1,0)</f>
        <v/>
      </c>
      <c r="AO45" s="41">
        <f>IF(N45&lt;&gt;"",N45,IFERROR(VLOOKUP(AA45,RULES!$A:$P,16,0),CONFIG!$B$8))</f>
        <v/>
      </c>
      <c r="AP45" s="41">
        <f>IF(IFERROR(VLOOKUP(AA45,RULES!$A:$Q,17,0),"")="",CONFIG!$B$13,VLOOKUP(AA45,RULES!$A:$Q,17,0))</f>
        <v/>
      </c>
      <c r="AQ45" s="41">
        <f>IF(IFERROR(VLOOKUP(AA45,RULES!$A:$R,18,0),"")="",CONFIG!$B$14,VLOOKUP(AA45,RULES!$A:$R,18,0))</f>
        <v/>
      </c>
      <c r="AR45" s="41">
        <f>IFERROR(VLOOKUP(AA45,RULES!$A:$S,19,0)*1,0)</f>
        <v/>
      </c>
      <c r="AS45" s="41">
        <f>IFERROR(VLOOKUP(AA45,RULES!$A:$T,20,0)*1,0)</f>
        <v/>
      </c>
      <c r="AT45" s="41">
        <f>IFERROR(VLOOKUP(AA45,RULES!$A:$U,21,0)*1,0)</f>
        <v/>
      </c>
      <c r="AU45" s="41">
        <f>IFERROR(VLOOKUP(AA45,RULES!$A:$V,22,0)*1,0)</f>
        <v/>
      </c>
      <c r="AV45" s="41">
        <f>IFERROR(VLOOKUP(AA45,RULES!$A:$W,23,0)*1,0)</f>
        <v/>
      </c>
      <c r="AW45" s="41">
        <f>IFERROR(IF(VLOOKUP(AA45,RULES!$A:$X,24,0)="",999999,VLOOKUP(AA45,RULES!$A:$X,24,0)*1),999999)</f>
        <v/>
      </c>
      <c r="AX45" s="41">
        <f>IFERROR(VLOOKUP(AA45,RULES!$A:$Y,25,0)*1,0)</f>
        <v/>
      </c>
      <c r="AY45" s="41">
        <f>IFERROR(VLOOKUP(AA45,RULES!$A:$Z,26,0),"NONE")</f>
        <v/>
      </c>
      <c r="AZ45" s="41">
        <f>IFERROR(VLOOKUP(AA45,RULES!$A:$AA,27,0)*1,0)</f>
        <v/>
      </c>
      <c r="BA45" s="41">
        <f>IFERROR(VLOOKUP(AA45,RULES!$A:$AB,28,0)*1,0)</f>
        <v/>
      </c>
    </row>
    <row r="46" ht="22" customHeight="1">
      <c r="A46" s="43" t="inlineStr">
        <is>
          <t>Summary Floor 7</t>
        </is>
      </c>
      <c r="B46" s="46" t="n"/>
      <c r="C46" s="44" t="n"/>
      <c r="D46" s="44" t="n"/>
      <c r="E46" s="43">
        <f>COUNTIF(E4:E35,"ACTIVE")&amp;" / "&amp;COUNTIF(E4:E35,"INACTIVE")</f>
        <v/>
      </c>
      <c r="F46" s="44" t="n"/>
      <c r="G46" s="44" t="n"/>
      <c r="H46" s="44" t="n"/>
      <c r="I46" s="44" t="n"/>
      <c r="J46" s="44" t="n"/>
      <c r="K46" s="45">
        <f>SUM(K4:K35)</f>
        <v/>
      </c>
      <c r="L46" s="45">
        <f>SUM(L4:L35)</f>
        <v/>
      </c>
      <c r="M46" s="44" t="n"/>
      <c r="N46" s="44" t="n"/>
      <c r="O46" s="44" t="n"/>
      <c r="P46" s="44" t="n"/>
      <c r="Q46" s="44" t="n"/>
      <c r="R46" s="44" t="n"/>
      <c r="S46" s="45">
        <f>SUM(S4:S35)</f>
        <v/>
      </c>
      <c r="T46" s="45">
        <f>SUM(T4:T35)</f>
        <v/>
      </c>
      <c r="U46" s="44" t="n"/>
      <c r="V46" s="44" t="n"/>
      <c r="W46" s="44" t="n"/>
      <c r="X46" s="45">
        <f>SUM(X4:X35)</f>
        <v/>
      </c>
      <c r="Y46" s="44" t="n"/>
      <c r="Z46" s="44" t="n"/>
    </row>
  </sheetData>
  <mergeCells count="3">
    <mergeCell ref="A1:Z1"/>
    <mergeCell ref="A36:B36"/>
    <mergeCell ref="A46:B46"/>
  </mergeCells>
  <conditionalFormatting sqref="A4:Z46">
    <cfRule type="expression" priority="22" dxfId="11">
      <formula>=$E4="INACTIVE"</formula>
    </cfRule>
  </conditionalFormatting>
  <conditionalFormatting sqref="E4:E46">
    <cfRule type="expression" priority="23" dxfId="12">
      <formula>=E4="ACTIVE"</formula>
    </cfRule>
    <cfRule type="expression" priority="24" dxfId="13">
      <formula>=E4="INACTIVE"</formula>
    </cfRule>
  </conditionalFormatting>
  <conditionalFormatting sqref="F4:F46">
    <cfRule type="expression" priority="25" dxfId="14">
      <formula>=F4="NORMAL"</formula>
    </cfRule>
    <cfRule type="expression" priority="26" dxfId="15">
      <formula>=F4="MANUAL"</formula>
    </cfRule>
    <cfRule type="expression" priority="27" dxfId="16">
      <formula>=F4="DISABLED"</formula>
    </cfRule>
    <cfRule type="expression" priority="28" dxfId="17">
      <formula>=F4="FLAT"</formula>
    </cfRule>
    <cfRule type="expression" priority="29" dxfId="18">
      <formula>=F4="STEP"</formula>
    </cfRule>
  </conditionalFormatting>
  <conditionalFormatting sqref="N4:N46">
    <cfRule type="expression" priority="30" dxfId="14">
      <formula>=N4="NORMAL"</formula>
    </cfRule>
    <cfRule type="expression" priority="31" dxfId="15">
      <formula>=N4="MANUAL"</formula>
    </cfRule>
    <cfRule type="expression" priority="32" dxfId="16">
      <formula>=N4="DISABLED"</formula>
    </cfRule>
    <cfRule type="expression" priority="33" dxfId="17">
      <formula>=N4="FLAT"</formula>
    </cfRule>
    <cfRule type="expression" priority="34" dxfId="18">
      <formula>=N4="STEP"</formula>
    </cfRule>
  </conditionalFormatting>
  <conditionalFormatting sqref="Z4:Z46">
    <cfRule type="expression" priority="35" dxfId="19">
      <formula>=ISNUMBER(SEARCH("[X]",Z4))</formula>
    </cfRule>
    <cfRule type="expression" priority="36" dxfId="20">
      <formula>=ISNUMBER(SEARCH("[!]",Z4))</formula>
    </cfRule>
    <cfRule type="expression" priority="37" dxfId="16">
      <formula>=Z4="_"</formula>
    </cfRule>
    <cfRule type="expression" priority="38" dxfId="14">
      <formula>=AND(Z4="",E4="ACTIVE")</formula>
    </cfRule>
  </conditionalFormatting>
  <conditionalFormatting sqref="B4:B46">
    <cfRule type="expression" priority="39" dxfId="21">
      <formula>=B4&lt;&gt;""</formula>
    </cfRule>
  </conditionalFormatting>
  <conditionalFormatting sqref="C4:C46">
    <cfRule type="expression" priority="40" dxfId="21">
      <formula>=AND(C4&lt;&gt;"",C4&lt;&gt;"DEFAULT")</formula>
    </cfRule>
  </conditionalFormatting>
  <conditionalFormatting sqref="J4:J46">
    <cfRule type="expression" priority="41" dxfId="19">
      <formula>=AND(AB4="MANUAL",J4="")</formula>
    </cfRule>
  </conditionalFormatting>
  <conditionalFormatting sqref="R4:R46">
    <cfRule type="expression" priority="42" dxfId="19">
      <formula>=AND(AO4="MANUAL",R4="")</formula>
    </cfRule>
  </conditionalFormatting>
  <dataValidations count="4">
    <dataValidation sqref="B4:B45" showDropDown="0" showInputMessage="0" showErrorMessage="0" allowBlank="0" type="list">
      <formula1>=ACCOUNTS!$A$2:$A$30</formula1>
    </dataValidation>
    <dataValidation sqref="C4:C45" showDropDown="0" showInputMessage="0" showErrorMessage="0" allowBlank="0" type="list">
      <formula1>=RULES!$A$2:$A$50</formula1>
    </dataValidation>
    <dataValidation sqref="F4:F45" showDropDown="0" showInputMessage="0" showErrorMessage="0" allowBlank="0" type="list">
      <formula1>"NORMAL,MANUAL,DISABLED,FLAT,STEP"</formula1>
    </dataValidation>
    <dataValidation sqref="N4:N45" showDropDown="0" showInputMessage="0" showErrorMessage="0" allowBlank="0" type="list">
      <formula1>"NORMAL,MANUAL,DISABLED,FLAT,STEP"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46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1" customWidth="1" min="12" max="12"/>
    <col width="11" customWidth="1" min="13" max="13"/>
    <col width="10" customWidth="1" min="14" max="14"/>
    <col width="8" customWidth="1" min="15" max="15"/>
    <col width="8" customWidth="1" min="16" max="16"/>
    <col width="8" customWidth="1" min="17" max="17"/>
    <col width="10" customWidth="1" min="18" max="18"/>
    <col width="10" customWidth="1" min="19" max="19"/>
    <col width="11" customWidth="1" min="20" max="20"/>
    <col width="11" customWidth="1" min="21" max="21"/>
    <col width="9" customWidth="1" min="22" max="22"/>
    <col width="9" customWidth="1" min="23" max="23"/>
    <col width="11" customWidth="1" min="24" max="24"/>
    <col width="16" customWidth="1" min="25" max="25"/>
    <col width="22" customWidth="1" min="26" max="26"/>
    <col hidden="1" width="0.5" customWidth="1" min="27" max="27"/>
    <col hidden="1" width="0.5" customWidth="1" min="28" max="28"/>
    <col hidden="1" width="0.5" customWidth="1" min="29" max="29"/>
    <col hidden="1" width="0.5" customWidth="1" min="30" max="30"/>
    <col hidden="1" width="0.5" customWidth="1" min="31" max="31"/>
    <col hidden="1" width="0.5" customWidth="1" min="32" max="32"/>
    <col hidden="1" width="0.5" customWidth="1" min="33" max="33"/>
    <col hidden="1" width="0.5" customWidth="1" min="34" max="34"/>
    <col hidden="1" width="0.5" customWidth="1" min="35" max="35"/>
    <col hidden="1" width="0.5" customWidth="1" min="36" max="36"/>
    <col hidden="1" width="0.5" customWidth="1" min="37" max="37"/>
    <col hidden="1" width="0.5" customWidth="1" min="38" max="38"/>
    <col hidden="1" width="0.5" customWidth="1" min="39" max="39"/>
    <col hidden="1" width="0.5" customWidth="1" min="40" max="40"/>
    <col hidden="1" width="0.5" customWidth="1" min="41" max="41"/>
    <col hidden="1" width="0.5" customWidth="1" min="42" max="42"/>
    <col hidden="1" width="0.5" customWidth="1" min="43" max="43"/>
    <col hidden="1" width="0.5" customWidth="1" min="44" max="44"/>
    <col hidden="1" width="0.5" customWidth="1" min="45" max="45"/>
    <col hidden="1" width="0.5" customWidth="1" min="46" max="46"/>
    <col hidden="1" width="0.5" customWidth="1" min="47" max="47"/>
    <col hidden="1" width="0.5" customWidth="1" min="48" max="48"/>
    <col hidden="1" width="0.5" customWidth="1" min="49" max="49"/>
    <col hidden="1" width="0.5" customWidth="1" min="50" max="50"/>
    <col hidden="1" width="0.5" customWidth="1" min="51" max="51"/>
    <col hidden="1" width="0.5" customWidth="1" min="52" max="52"/>
    <col hidden="1" width="0.5" customWidth="1" min="53" max="53"/>
  </cols>
  <sheetData>
    <row r="1" ht="28" customHeight="1">
      <c r="A1" s="1" t="inlineStr">
        <is>
          <t>ข้อมูลบิล ชั้น 8</t>
        </is>
      </c>
    </row>
    <row r="2" ht="20" customHeight="1">
      <c r="A2" s="9" t="inlineStr">
        <is>
          <t>room</t>
        </is>
      </c>
      <c r="B2" s="9" t="inlineStr">
        <is>
          <t>account_id</t>
        </is>
      </c>
      <c r="C2" s="9" t="inlineStr">
        <is>
          <t>rule_code</t>
        </is>
      </c>
      <c r="D2" s="9" t="inlineStr">
        <is>
          <t>rent_amount</t>
        </is>
      </c>
      <c r="E2" s="9" t="inlineStr">
        <is>
          <t>room_status</t>
        </is>
      </c>
      <c r="F2" s="9" t="inlineStr">
        <is>
          <t>water_mode</t>
        </is>
      </c>
      <c r="G2" s="9" t="inlineStr">
        <is>
          <t>water_prev</t>
        </is>
      </c>
      <c r="H2" s="9" t="inlineStr">
        <is>
          <t>water_curr</t>
        </is>
      </c>
      <c r="I2" s="9" t="inlineStr">
        <is>
          <t>water_units</t>
        </is>
      </c>
      <c r="J2" s="9" t="inlineStr">
        <is>
          <t>water_units_manual</t>
        </is>
      </c>
      <c r="K2" s="9" t="inlineStr">
        <is>
          <t>water_charge</t>
        </is>
      </c>
      <c r="L2" s="9" t="inlineStr">
        <is>
          <t>water_fee</t>
        </is>
      </c>
      <c r="M2" s="9" t="inlineStr">
        <is>
          <t>water_fee_manual</t>
        </is>
      </c>
      <c r="N2" s="9" t="inlineStr">
        <is>
          <t>electric_mode</t>
        </is>
      </c>
      <c r="O2" s="9" t="inlineStr">
        <is>
          <t>electric_prev</t>
        </is>
      </c>
      <c r="P2" s="9" t="inlineStr">
        <is>
          <t>electric_curr</t>
        </is>
      </c>
      <c r="Q2" s="9" t="inlineStr">
        <is>
          <t>electric_units</t>
        </is>
      </c>
      <c r="R2" s="9" t="inlineStr">
        <is>
          <t>electric_units_manual</t>
        </is>
      </c>
      <c r="S2" s="9" t="inlineStr">
        <is>
          <t>electric_charge</t>
        </is>
      </c>
      <c r="T2" s="9" t="inlineStr">
        <is>
          <t>electric_fee</t>
        </is>
      </c>
      <c r="U2" s="9" t="inlineStr">
        <is>
          <t>electric_fee_manual</t>
        </is>
      </c>
      <c r="V2" s="9" t="inlineStr">
        <is>
          <t>furniture_fee</t>
        </is>
      </c>
      <c r="W2" s="9" t="inlineStr">
        <is>
          <t>other_fee</t>
        </is>
      </c>
      <c r="X2" s="9" t="inlineStr">
        <is>
          <t>total_due</t>
        </is>
      </c>
      <c r="Y2" s="9" t="inlineStr">
        <is>
          <t>note</t>
        </is>
      </c>
      <c r="Z2" s="9" t="inlineStr">
        <is>
          <t>check_notes</t>
        </is>
      </c>
      <c r="AA2" s="21" t="inlineStr">
        <is>
          <t>_helpers (hidden)</t>
        </is>
      </c>
    </row>
    <row r="3" ht="22" customHeight="1">
      <c r="A3" s="10" t="inlineStr">
        <is>
          <t>เลขห้อง</t>
        </is>
      </c>
      <c r="B3" s="10" t="inlineStr">
        <is>
          <t>บัญชีรับเงิน</t>
        </is>
      </c>
      <c r="C3" s="10" t="inlineStr">
        <is>
          <t>กฎ billing</t>
        </is>
      </c>
      <c r="D3" s="10" t="inlineStr">
        <is>
          <t>ค่าเช่า (กรอกเอง)</t>
        </is>
      </c>
      <c r="E3" s="10" t="inlineStr">
        <is>
          <t>สถานะ</t>
        </is>
      </c>
      <c r="F3" s="10" t="inlineStr">
        <is>
          <t>โหมดน้ำ</t>
        </is>
      </c>
      <c r="G3" s="10" t="inlineStr">
        <is>
          <t>น้ำก่อน</t>
        </is>
      </c>
      <c r="H3" s="10" t="inlineStr">
        <is>
          <t>น้ำหลัง</t>
        </is>
      </c>
      <c r="I3" s="10" t="inlineStr">
        <is>
          <t>ใช้น้ำ</t>
        </is>
      </c>
      <c r="J3" s="10" t="inlineStr">
        <is>
          <t>units น้ำ(manual)</t>
        </is>
      </c>
      <c r="K3" s="10" t="inlineStr">
        <is>
          <t>ค่าน้ำ</t>
        </is>
      </c>
      <c r="L3" s="10" t="inlineStr">
        <is>
          <t>ค่าบริการน้ำ</t>
        </is>
      </c>
      <c r="M3" s="10" t="inlineStr">
        <is>
          <t>ค่าบริการน้ำ(M)</t>
        </is>
      </c>
      <c r="N3" s="10" t="inlineStr">
        <is>
          <t>โหมดไฟ</t>
        </is>
      </c>
      <c r="O3" s="10" t="inlineStr">
        <is>
          <t>ไฟก่อน</t>
        </is>
      </c>
      <c r="P3" s="10" t="inlineStr">
        <is>
          <t>ไฟหลัง</t>
        </is>
      </c>
      <c r="Q3" s="10" t="inlineStr">
        <is>
          <t>ใช้ไฟ</t>
        </is>
      </c>
      <c r="R3" s="10" t="inlineStr">
        <is>
          <t>units ไฟ(manual)</t>
        </is>
      </c>
      <c r="S3" s="10" t="inlineStr">
        <is>
          <t>ค่าไฟ</t>
        </is>
      </c>
      <c r="T3" s="10" t="inlineStr">
        <is>
          <t>ค่าบริการไฟ</t>
        </is>
      </c>
      <c r="U3" s="10" t="inlineStr">
        <is>
          <t>ค่าบริการไฟ(M)</t>
        </is>
      </c>
      <c r="V3" s="10" t="inlineStr">
        <is>
          <t>ค่าเฟอร์</t>
        </is>
      </c>
      <c r="W3" s="10" t="inlineStr">
        <is>
          <t>อื่นๆ</t>
        </is>
      </c>
      <c r="X3" s="10" t="inlineStr">
        <is>
          <t>รวมเงิน</t>
        </is>
      </c>
      <c r="Y3" s="10" t="inlineStr">
        <is>
          <t>หมายเหตุ</t>
        </is>
      </c>
      <c r="Z3" s="10" t="inlineStr">
        <is>
          <t>ตรวจสอบ</t>
        </is>
      </c>
    </row>
    <row r="4" ht="17" customHeight="1">
      <c r="A4" s="22" t="inlineStr">
        <is>
          <t>3801</t>
        </is>
      </c>
      <c r="B4" s="48" t="inlineStr">
        <is>
          <t>ACC008</t>
        </is>
      </c>
      <c r="C4" s="48" t="inlineStr">
        <is>
          <t>DEFAULT</t>
        </is>
      </c>
      <c r="D4" s="47" t="n"/>
      <c r="E4" s="22">
        <f>IF(OR(D4="",D4=0),"INACTIVE","ACTIVE")</f>
        <v/>
      </c>
      <c r="F4" s="48" t="inlineStr">
        <is>
          <t>NORMAL</t>
        </is>
      </c>
      <c r="G4" s="25" t="n"/>
      <c r="H4" s="25" t="n"/>
      <c r="I4" s="26">
        <f>IF(OR(E4="INACTIVE",H4=""),0,MAX(0,H4-G4))</f>
        <v/>
      </c>
      <c r="J4" s="23" t="n"/>
      <c r="K4" s="26">
        <f>IF(OR(E4="INACTIVE",H4=""),0,IF(AB4="DISABLED",0,IF(AB4="FLAT",AE4,IF(AB4="MANUAL",IF(J4="",0,J4*AC4),IF(AB4="STEP",IF(I4&lt;=AF4,I4*AG4,IF(I4&lt;=AH4,AF4*AG4+(I4-AF4)*AI4,AF4*AG4+(AH4-AF4)*AI4+(I4-AH4)*AK4)),MAX(I4*AC4,AD4))))))</f>
        <v/>
      </c>
      <c r="L4" s="26">
        <f>IF(OR(E4="INACTIVE",H4=""),0,IF(AL4="NONE",0,IF(AL4="FLAT",AM4,IF(AL4="PER_UNIT",I4*AN4,IF(AL4="MANUAL",IF(M4="",0,M4),0)))))</f>
        <v/>
      </c>
      <c r="M4" s="23" t="n"/>
      <c r="N4" s="48" t="inlineStr">
        <is>
          <t>NORMAL</t>
        </is>
      </c>
      <c r="O4" s="25" t="n"/>
      <c r="P4" s="25" t="n"/>
      <c r="Q4" s="26">
        <f>IF(OR(E4="INACTIVE",P4=""),0,MAX(0,P4-O4))</f>
        <v/>
      </c>
      <c r="R4" s="23" t="n"/>
      <c r="S4" s="26">
        <f>IF(OR(E4="INACTIVE",P4=""),0,IF(AO4="DISABLED",0,IF(AO4="FLAT",AR4,IF(AO4="MANUAL",IF(R4="",0,R4*AP4),IF(AO4="STEP",IF(Q4&lt;=AS4,Q4*AT4,IF(Q4&lt;=AU4,AS4*AT4+(Q4-AS4)*AV4,AS4*AT4+(AU4-AS4)*AV4+(Q4-AU4)*AX4)),MAX(Q4*AP4,AQ4))))))</f>
        <v/>
      </c>
      <c r="T4" s="26">
        <f>IF(OR(E4="INACTIVE",P4=""),0,IF(AY4="NONE",0,IF(AY4="FLAT",AZ4,IF(AY4="PER_UNIT",Q4*BA4,IF(AY4="MANUAL",IF(U4="",0,U4),0)))))</f>
        <v/>
      </c>
      <c r="U4" s="23" t="n"/>
      <c r="V4" s="25" t="n"/>
      <c r="W4" s="25" t="n"/>
      <c r="X4" s="26">
        <f>IF(E4="INACTIVE",0,D4+K4+L4+S4+T4+IF(V4="",0,V4)+IF(W4="",0,W4))</f>
        <v/>
      </c>
      <c r="Y4" s="27" t="n"/>
      <c r="Z4" s="28">
        <f>IF(E4="INACTIVE","_",IF(AND(G4&gt;0,H4&gt;0,H4&lt;G4),"[!]น้ำ reset ","")&amp;IF(AND(O4&gt;0,P4&gt;0,P4&lt;O4),"[!]ไฟ reset ","")&amp;IF(AND(F4="MANUAL",J4=""),"[X]units น้ำ ","")&amp;IF(AND(N4="MANUAL",R4=""),"[X]units ไฟ ","")&amp;IF(D4=0,"[!]ค่าเช่า=0",""))</f>
        <v/>
      </c>
      <c r="AA4" s="29">
        <f>IF(C4&lt;&gt;"",C4,CONFIG!$B$6)</f>
        <v/>
      </c>
      <c r="AB4" s="29">
        <f>IF(F4&lt;&gt;"",F4,IFERROR(VLOOKUP(AA4,RULES!$A:$C,3,0),CONFIG!$B$7))</f>
        <v/>
      </c>
      <c r="AC4" s="29">
        <f>IF(IFERROR(VLOOKUP(AA4,RULES!$A:$D,4,0),"")="",CONFIG!$B$10,VLOOKUP(AA4,RULES!$A:$D,4,0))</f>
        <v/>
      </c>
      <c r="AD4" s="29">
        <f>IF(IFERROR(VLOOKUP(AA4,RULES!$A:$E,5,0),"")="",CONFIG!$B$11,VLOOKUP(AA4,RULES!$A:$E,5,0))</f>
        <v/>
      </c>
      <c r="AE4" s="29">
        <f>IFERROR(VLOOKUP(AA4,RULES!$A:$F,6,0)*1,0)</f>
        <v/>
      </c>
      <c r="AF4" s="29">
        <f>IFERROR(VLOOKUP(AA4,RULES!$A:$G,7,0)*1,0)</f>
        <v/>
      </c>
      <c r="AG4" s="29">
        <f>IFERROR(VLOOKUP(AA4,RULES!$A:$H,8,0)*1,0)</f>
        <v/>
      </c>
      <c r="AH4" s="29">
        <f>IFERROR(VLOOKUP(AA4,RULES!$A:$I,9,0)*1,0)</f>
        <v/>
      </c>
      <c r="AI4" s="29">
        <f>IFERROR(VLOOKUP(AA4,RULES!$A:$J,10,0)*1,0)</f>
        <v/>
      </c>
      <c r="AJ4" s="29">
        <f>IFERROR(IF(VLOOKUP(AA4,RULES!$A:$K,11,0)="",999999,VLOOKUP(AA4,RULES!$A:$K,11,0)*1),999999)</f>
        <v/>
      </c>
      <c r="AK4" s="29">
        <f>IFERROR(VLOOKUP(AA4,RULES!$A:$L,12,0)*1,0)</f>
        <v/>
      </c>
      <c r="AL4" s="29">
        <f>IFERROR(VLOOKUP(AA4,RULES!$A:$M,13,0),"NONE")</f>
        <v/>
      </c>
      <c r="AM4" s="29">
        <f>IFERROR(VLOOKUP(AA4,RULES!$A:$N,14,0)*1,0)</f>
        <v/>
      </c>
      <c r="AN4" s="29">
        <f>IFERROR(VLOOKUP(AA4,RULES!$A:$O,15,0)*1,0)</f>
        <v/>
      </c>
      <c r="AO4" s="29">
        <f>IF(N4&lt;&gt;"",N4,IFERROR(VLOOKUP(AA4,RULES!$A:$P,16,0),CONFIG!$B$8))</f>
        <v/>
      </c>
      <c r="AP4" s="29">
        <f>IF(IFERROR(VLOOKUP(AA4,RULES!$A:$Q,17,0),"")="",CONFIG!$B$13,VLOOKUP(AA4,RULES!$A:$Q,17,0))</f>
        <v/>
      </c>
      <c r="AQ4" s="29">
        <f>IF(IFERROR(VLOOKUP(AA4,RULES!$A:$R,18,0),"")="",CONFIG!$B$14,VLOOKUP(AA4,RULES!$A:$R,18,0))</f>
        <v/>
      </c>
      <c r="AR4" s="29">
        <f>IFERROR(VLOOKUP(AA4,RULES!$A:$S,19,0)*1,0)</f>
        <v/>
      </c>
      <c r="AS4" s="29">
        <f>IFERROR(VLOOKUP(AA4,RULES!$A:$T,20,0)*1,0)</f>
        <v/>
      </c>
      <c r="AT4" s="29">
        <f>IFERROR(VLOOKUP(AA4,RULES!$A:$U,21,0)*1,0)</f>
        <v/>
      </c>
      <c r="AU4" s="29">
        <f>IFERROR(VLOOKUP(AA4,RULES!$A:$V,22,0)*1,0)</f>
        <v/>
      </c>
      <c r="AV4" s="29">
        <f>IFERROR(VLOOKUP(AA4,RULES!$A:$W,23,0)*1,0)</f>
        <v/>
      </c>
      <c r="AW4" s="29">
        <f>IFERROR(IF(VLOOKUP(AA4,RULES!$A:$X,24,0)="",999999,VLOOKUP(AA4,RULES!$A:$X,24,0)*1),999999)</f>
        <v/>
      </c>
      <c r="AX4" s="29">
        <f>IFERROR(VLOOKUP(AA4,RULES!$A:$Y,25,0)*1,0)</f>
        <v/>
      </c>
      <c r="AY4" s="29">
        <f>IFERROR(VLOOKUP(AA4,RULES!$A:$Z,26,0),"NONE")</f>
        <v/>
      </c>
      <c r="AZ4" s="29">
        <f>IFERROR(VLOOKUP(AA4,RULES!$A:$AA,27,0)*1,0)</f>
        <v/>
      </c>
      <c r="BA4" s="29">
        <f>IFERROR(VLOOKUP(AA4,RULES!$A:$AB,28,0)*1,0)</f>
        <v/>
      </c>
    </row>
    <row r="5" ht="17" customHeight="1">
      <c r="A5" s="22" t="inlineStr">
        <is>
          <t>3802</t>
        </is>
      </c>
      <c r="B5" s="48" t="inlineStr">
        <is>
          <t>ACC008</t>
        </is>
      </c>
      <c r="C5" s="48" t="inlineStr">
        <is>
          <t>DEFAULT</t>
        </is>
      </c>
      <c r="D5" s="47" t="n"/>
      <c r="E5" s="22">
        <f>IF(OR(D5="",D5=0),"INACTIVE","ACTIVE")</f>
        <v/>
      </c>
      <c r="F5" s="48" t="inlineStr">
        <is>
          <t>NORMAL</t>
        </is>
      </c>
      <c r="G5" s="25" t="n"/>
      <c r="H5" s="25" t="n"/>
      <c r="I5" s="26">
        <f>IF(OR(E5="INACTIVE",H5=""),0,MAX(0,H5-G5))</f>
        <v/>
      </c>
      <c r="J5" s="23" t="n"/>
      <c r="K5" s="26">
        <f>IF(OR(E5="INACTIVE",H5=""),0,IF(AB5="DISABLED",0,IF(AB5="FLAT",AE5,IF(AB5="MANUAL",IF(J5="",0,J5*AC5),IF(AB5="STEP",IF(I5&lt;=AF5,I5*AG5,IF(I5&lt;=AH5,AF5*AG5+(I5-AF5)*AI5,AF5*AG5+(AH5-AF5)*AI5+(I5-AH5)*AK5)),MAX(I5*AC5,AD5))))))</f>
        <v/>
      </c>
      <c r="L5" s="26">
        <f>IF(OR(E5="INACTIVE",H5=""),0,IF(AL5="NONE",0,IF(AL5="FLAT",AM5,IF(AL5="PER_UNIT",I5*AN5,IF(AL5="MANUAL",IF(M5="",0,M5),0)))))</f>
        <v/>
      </c>
      <c r="M5" s="23" t="n"/>
      <c r="N5" s="48" t="inlineStr">
        <is>
          <t>NORMAL</t>
        </is>
      </c>
      <c r="O5" s="25" t="n"/>
      <c r="P5" s="25" t="n"/>
      <c r="Q5" s="26">
        <f>IF(OR(E5="INACTIVE",P5=""),0,MAX(0,P5-O5))</f>
        <v/>
      </c>
      <c r="R5" s="23" t="n"/>
      <c r="S5" s="26">
        <f>IF(OR(E5="INACTIVE",P5=""),0,IF(AO5="DISABLED",0,IF(AO5="FLAT",AR5,IF(AO5="MANUAL",IF(R5="",0,R5*AP5),IF(AO5="STEP",IF(Q5&lt;=AS5,Q5*AT5,IF(Q5&lt;=AU5,AS5*AT5+(Q5-AS5)*AV5,AS5*AT5+(AU5-AS5)*AV5+(Q5-AU5)*AX5)),MAX(Q5*AP5,AQ5))))))</f>
        <v/>
      </c>
      <c r="T5" s="26">
        <f>IF(OR(E5="INACTIVE",P5=""),0,IF(AY5="NONE",0,IF(AY5="FLAT",AZ5,IF(AY5="PER_UNIT",Q5*BA5,IF(AY5="MANUAL",IF(U5="",0,U5),0)))))</f>
        <v/>
      </c>
      <c r="U5" s="23" t="n"/>
      <c r="V5" s="25" t="n"/>
      <c r="W5" s="25" t="n"/>
      <c r="X5" s="26">
        <f>IF(E5="INACTIVE",0,D5+K5+L5+S5+T5+IF(V5="",0,V5)+IF(W5="",0,W5))</f>
        <v/>
      </c>
      <c r="Y5" s="27" t="n"/>
      <c r="Z5" s="28">
        <f>IF(E5="INACTIVE","_",IF(AND(G5&gt;0,H5&gt;0,H5&lt;G5),"[!]น้ำ reset ","")&amp;IF(AND(O5&gt;0,P5&gt;0,P5&lt;O5),"[!]ไฟ reset ","")&amp;IF(AND(F5="MANUAL",J5=""),"[X]units น้ำ ","")&amp;IF(AND(N5="MANUAL",R5=""),"[X]units ไฟ ","")&amp;IF(D5=0,"[!]ค่าเช่า=0",""))</f>
        <v/>
      </c>
      <c r="AA5" s="29">
        <f>IF(C5&lt;&gt;"",C5,CONFIG!$B$6)</f>
        <v/>
      </c>
      <c r="AB5" s="29">
        <f>IF(F5&lt;&gt;"",F5,IFERROR(VLOOKUP(AA5,RULES!$A:$C,3,0),CONFIG!$B$7))</f>
        <v/>
      </c>
      <c r="AC5" s="29">
        <f>IF(IFERROR(VLOOKUP(AA5,RULES!$A:$D,4,0),"")="",CONFIG!$B$10,VLOOKUP(AA5,RULES!$A:$D,4,0))</f>
        <v/>
      </c>
      <c r="AD5" s="29">
        <f>IF(IFERROR(VLOOKUP(AA5,RULES!$A:$E,5,0),"")="",CONFIG!$B$11,VLOOKUP(AA5,RULES!$A:$E,5,0))</f>
        <v/>
      </c>
      <c r="AE5" s="29">
        <f>IFERROR(VLOOKUP(AA5,RULES!$A:$F,6,0)*1,0)</f>
        <v/>
      </c>
      <c r="AF5" s="29">
        <f>IFERROR(VLOOKUP(AA5,RULES!$A:$G,7,0)*1,0)</f>
        <v/>
      </c>
      <c r="AG5" s="29">
        <f>IFERROR(VLOOKUP(AA5,RULES!$A:$H,8,0)*1,0)</f>
        <v/>
      </c>
      <c r="AH5" s="29">
        <f>IFERROR(VLOOKUP(AA5,RULES!$A:$I,9,0)*1,0)</f>
        <v/>
      </c>
      <c r="AI5" s="29">
        <f>IFERROR(VLOOKUP(AA5,RULES!$A:$J,10,0)*1,0)</f>
        <v/>
      </c>
      <c r="AJ5" s="29">
        <f>IFERROR(IF(VLOOKUP(AA5,RULES!$A:$K,11,0)="",999999,VLOOKUP(AA5,RULES!$A:$K,11,0)*1),999999)</f>
        <v/>
      </c>
      <c r="AK5" s="29">
        <f>IFERROR(VLOOKUP(AA5,RULES!$A:$L,12,0)*1,0)</f>
        <v/>
      </c>
      <c r="AL5" s="29">
        <f>IFERROR(VLOOKUP(AA5,RULES!$A:$M,13,0),"NONE")</f>
        <v/>
      </c>
      <c r="AM5" s="29">
        <f>IFERROR(VLOOKUP(AA5,RULES!$A:$N,14,0)*1,0)</f>
        <v/>
      </c>
      <c r="AN5" s="29">
        <f>IFERROR(VLOOKUP(AA5,RULES!$A:$O,15,0)*1,0)</f>
        <v/>
      </c>
      <c r="AO5" s="29">
        <f>IF(N5&lt;&gt;"",N5,IFERROR(VLOOKUP(AA5,RULES!$A:$P,16,0),CONFIG!$B$8))</f>
        <v/>
      </c>
      <c r="AP5" s="29">
        <f>IF(IFERROR(VLOOKUP(AA5,RULES!$A:$Q,17,0),"")="",CONFIG!$B$13,VLOOKUP(AA5,RULES!$A:$Q,17,0))</f>
        <v/>
      </c>
      <c r="AQ5" s="29">
        <f>IF(IFERROR(VLOOKUP(AA5,RULES!$A:$R,18,0),"")="",CONFIG!$B$14,VLOOKUP(AA5,RULES!$A:$R,18,0))</f>
        <v/>
      </c>
      <c r="AR5" s="29">
        <f>IFERROR(VLOOKUP(AA5,RULES!$A:$S,19,0)*1,0)</f>
        <v/>
      </c>
      <c r="AS5" s="29">
        <f>IFERROR(VLOOKUP(AA5,RULES!$A:$T,20,0)*1,0)</f>
        <v/>
      </c>
      <c r="AT5" s="29">
        <f>IFERROR(VLOOKUP(AA5,RULES!$A:$U,21,0)*1,0)</f>
        <v/>
      </c>
      <c r="AU5" s="29">
        <f>IFERROR(VLOOKUP(AA5,RULES!$A:$V,22,0)*1,0)</f>
        <v/>
      </c>
      <c r="AV5" s="29">
        <f>IFERROR(VLOOKUP(AA5,RULES!$A:$W,23,0)*1,0)</f>
        <v/>
      </c>
      <c r="AW5" s="29">
        <f>IFERROR(IF(VLOOKUP(AA5,RULES!$A:$X,24,0)="",999999,VLOOKUP(AA5,RULES!$A:$X,24,0)*1),999999)</f>
        <v/>
      </c>
      <c r="AX5" s="29">
        <f>IFERROR(VLOOKUP(AA5,RULES!$A:$Y,25,0)*1,0)</f>
        <v/>
      </c>
      <c r="AY5" s="29">
        <f>IFERROR(VLOOKUP(AA5,RULES!$A:$Z,26,0),"NONE")</f>
        <v/>
      </c>
      <c r="AZ5" s="29">
        <f>IFERROR(VLOOKUP(AA5,RULES!$A:$AA,27,0)*1,0)</f>
        <v/>
      </c>
      <c r="BA5" s="29">
        <f>IFERROR(VLOOKUP(AA5,RULES!$A:$AB,28,0)*1,0)</f>
        <v/>
      </c>
    </row>
    <row r="6" ht="17" customHeight="1">
      <c r="A6" s="22" t="inlineStr">
        <is>
          <t>3803</t>
        </is>
      </c>
      <c r="B6" s="48" t="inlineStr">
        <is>
          <t>ACC008</t>
        </is>
      </c>
      <c r="C6" s="48" t="inlineStr">
        <is>
          <t>DEFAULT</t>
        </is>
      </c>
      <c r="D6" s="47" t="n"/>
      <c r="E6" s="22">
        <f>IF(OR(D6="",D6=0),"INACTIVE","ACTIVE")</f>
        <v/>
      </c>
      <c r="F6" s="48" t="inlineStr">
        <is>
          <t>NORMAL</t>
        </is>
      </c>
      <c r="G6" s="25" t="n"/>
      <c r="H6" s="25" t="n"/>
      <c r="I6" s="26">
        <f>IF(OR(E6="INACTIVE",H6=""),0,MAX(0,H6-G6))</f>
        <v/>
      </c>
      <c r="J6" s="23" t="n"/>
      <c r="K6" s="26">
        <f>IF(OR(E6="INACTIVE",H6=""),0,IF(AB6="DISABLED",0,IF(AB6="FLAT",AE6,IF(AB6="MANUAL",IF(J6="",0,J6*AC6),IF(AB6="STEP",IF(I6&lt;=AF6,I6*AG6,IF(I6&lt;=AH6,AF6*AG6+(I6-AF6)*AI6,AF6*AG6+(AH6-AF6)*AI6+(I6-AH6)*AK6)),MAX(I6*AC6,AD6))))))</f>
        <v/>
      </c>
      <c r="L6" s="26">
        <f>IF(OR(E6="INACTIVE",H6=""),0,IF(AL6="NONE",0,IF(AL6="FLAT",AM6,IF(AL6="PER_UNIT",I6*AN6,IF(AL6="MANUAL",IF(M6="",0,M6),0)))))</f>
        <v/>
      </c>
      <c r="M6" s="23" t="n"/>
      <c r="N6" s="48" t="inlineStr">
        <is>
          <t>NORMAL</t>
        </is>
      </c>
      <c r="O6" s="25" t="n"/>
      <c r="P6" s="25" t="n"/>
      <c r="Q6" s="26">
        <f>IF(OR(E6="INACTIVE",P6=""),0,MAX(0,P6-O6))</f>
        <v/>
      </c>
      <c r="R6" s="23" t="n"/>
      <c r="S6" s="26">
        <f>IF(OR(E6="INACTIVE",P6=""),0,IF(AO6="DISABLED",0,IF(AO6="FLAT",AR6,IF(AO6="MANUAL",IF(R6="",0,R6*AP6),IF(AO6="STEP",IF(Q6&lt;=AS6,Q6*AT6,IF(Q6&lt;=AU6,AS6*AT6+(Q6-AS6)*AV6,AS6*AT6+(AU6-AS6)*AV6+(Q6-AU6)*AX6)),MAX(Q6*AP6,AQ6))))))</f>
        <v/>
      </c>
      <c r="T6" s="26">
        <f>IF(OR(E6="INACTIVE",P6=""),0,IF(AY6="NONE",0,IF(AY6="FLAT",AZ6,IF(AY6="PER_UNIT",Q6*BA6,IF(AY6="MANUAL",IF(U6="",0,U6),0)))))</f>
        <v/>
      </c>
      <c r="U6" s="23" t="n"/>
      <c r="V6" s="25" t="n"/>
      <c r="W6" s="25" t="n"/>
      <c r="X6" s="26">
        <f>IF(E6="INACTIVE",0,D6+K6+L6+S6+T6+IF(V6="",0,V6)+IF(W6="",0,W6))</f>
        <v/>
      </c>
      <c r="Y6" s="27" t="n"/>
      <c r="Z6" s="28">
        <f>IF(E6="INACTIVE","_",IF(AND(G6&gt;0,H6&gt;0,H6&lt;G6),"[!]น้ำ reset ","")&amp;IF(AND(O6&gt;0,P6&gt;0,P6&lt;O6),"[!]ไฟ reset ","")&amp;IF(AND(F6="MANUAL",J6=""),"[X]units น้ำ ","")&amp;IF(AND(N6="MANUAL",R6=""),"[X]units ไฟ ","")&amp;IF(D6=0,"[!]ค่าเช่า=0",""))</f>
        <v/>
      </c>
      <c r="AA6" s="29">
        <f>IF(C6&lt;&gt;"",C6,CONFIG!$B$6)</f>
        <v/>
      </c>
      <c r="AB6" s="29">
        <f>IF(F6&lt;&gt;"",F6,IFERROR(VLOOKUP(AA6,RULES!$A:$C,3,0),CONFIG!$B$7))</f>
        <v/>
      </c>
      <c r="AC6" s="29">
        <f>IF(IFERROR(VLOOKUP(AA6,RULES!$A:$D,4,0),"")="",CONFIG!$B$10,VLOOKUP(AA6,RULES!$A:$D,4,0))</f>
        <v/>
      </c>
      <c r="AD6" s="29">
        <f>IF(IFERROR(VLOOKUP(AA6,RULES!$A:$E,5,0),"")="",CONFIG!$B$11,VLOOKUP(AA6,RULES!$A:$E,5,0))</f>
        <v/>
      </c>
      <c r="AE6" s="29">
        <f>IFERROR(VLOOKUP(AA6,RULES!$A:$F,6,0)*1,0)</f>
        <v/>
      </c>
      <c r="AF6" s="29">
        <f>IFERROR(VLOOKUP(AA6,RULES!$A:$G,7,0)*1,0)</f>
        <v/>
      </c>
      <c r="AG6" s="29">
        <f>IFERROR(VLOOKUP(AA6,RULES!$A:$H,8,0)*1,0)</f>
        <v/>
      </c>
      <c r="AH6" s="29">
        <f>IFERROR(VLOOKUP(AA6,RULES!$A:$I,9,0)*1,0)</f>
        <v/>
      </c>
      <c r="AI6" s="29">
        <f>IFERROR(VLOOKUP(AA6,RULES!$A:$J,10,0)*1,0)</f>
        <v/>
      </c>
      <c r="AJ6" s="29">
        <f>IFERROR(IF(VLOOKUP(AA6,RULES!$A:$K,11,0)="",999999,VLOOKUP(AA6,RULES!$A:$K,11,0)*1),999999)</f>
        <v/>
      </c>
      <c r="AK6" s="29">
        <f>IFERROR(VLOOKUP(AA6,RULES!$A:$L,12,0)*1,0)</f>
        <v/>
      </c>
      <c r="AL6" s="29">
        <f>IFERROR(VLOOKUP(AA6,RULES!$A:$M,13,0),"NONE")</f>
        <v/>
      </c>
      <c r="AM6" s="29">
        <f>IFERROR(VLOOKUP(AA6,RULES!$A:$N,14,0)*1,0)</f>
        <v/>
      </c>
      <c r="AN6" s="29">
        <f>IFERROR(VLOOKUP(AA6,RULES!$A:$O,15,0)*1,0)</f>
        <v/>
      </c>
      <c r="AO6" s="29">
        <f>IF(N6&lt;&gt;"",N6,IFERROR(VLOOKUP(AA6,RULES!$A:$P,16,0),CONFIG!$B$8))</f>
        <v/>
      </c>
      <c r="AP6" s="29">
        <f>IF(IFERROR(VLOOKUP(AA6,RULES!$A:$Q,17,0),"")="",CONFIG!$B$13,VLOOKUP(AA6,RULES!$A:$Q,17,0))</f>
        <v/>
      </c>
      <c r="AQ6" s="29">
        <f>IF(IFERROR(VLOOKUP(AA6,RULES!$A:$R,18,0),"")="",CONFIG!$B$14,VLOOKUP(AA6,RULES!$A:$R,18,0))</f>
        <v/>
      </c>
      <c r="AR6" s="29">
        <f>IFERROR(VLOOKUP(AA6,RULES!$A:$S,19,0)*1,0)</f>
        <v/>
      </c>
      <c r="AS6" s="29">
        <f>IFERROR(VLOOKUP(AA6,RULES!$A:$T,20,0)*1,0)</f>
        <v/>
      </c>
      <c r="AT6" s="29">
        <f>IFERROR(VLOOKUP(AA6,RULES!$A:$U,21,0)*1,0)</f>
        <v/>
      </c>
      <c r="AU6" s="29">
        <f>IFERROR(VLOOKUP(AA6,RULES!$A:$V,22,0)*1,0)</f>
        <v/>
      </c>
      <c r="AV6" s="29">
        <f>IFERROR(VLOOKUP(AA6,RULES!$A:$W,23,0)*1,0)</f>
        <v/>
      </c>
      <c r="AW6" s="29">
        <f>IFERROR(IF(VLOOKUP(AA6,RULES!$A:$X,24,0)="",999999,VLOOKUP(AA6,RULES!$A:$X,24,0)*1),999999)</f>
        <v/>
      </c>
      <c r="AX6" s="29">
        <f>IFERROR(VLOOKUP(AA6,RULES!$A:$Y,25,0)*1,0)</f>
        <v/>
      </c>
      <c r="AY6" s="29">
        <f>IFERROR(VLOOKUP(AA6,RULES!$A:$Z,26,0),"NONE")</f>
        <v/>
      </c>
      <c r="AZ6" s="29">
        <f>IFERROR(VLOOKUP(AA6,RULES!$A:$AA,27,0)*1,0)</f>
        <v/>
      </c>
      <c r="BA6" s="29">
        <f>IFERROR(VLOOKUP(AA6,RULES!$A:$AB,28,0)*1,0)</f>
        <v/>
      </c>
    </row>
    <row r="7" ht="17" customHeight="1">
      <c r="A7" s="22" t="inlineStr">
        <is>
          <t>3804</t>
        </is>
      </c>
      <c r="B7" s="48" t="inlineStr">
        <is>
          <t>ACC008</t>
        </is>
      </c>
      <c r="C7" s="48" t="inlineStr">
        <is>
          <t>DEFAULT</t>
        </is>
      </c>
      <c r="D7" s="47" t="n"/>
      <c r="E7" s="22">
        <f>IF(OR(D7="",D7=0),"INACTIVE","ACTIVE")</f>
        <v/>
      </c>
      <c r="F7" s="48" t="inlineStr">
        <is>
          <t>NORMAL</t>
        </is>
      </c>
      <c r="G7" s="25" t="n"/>
      <c r="H7" s="25" t="n"/>
      <c r="I7" s="26">
        <f>IF(OR(E7="INACTIVE",H7=""),0,MAX(0,H7-G7))</f>
        <v/>
      </c>
      <c r="J7" s="23" t="n"/>
      <c r="K7" s="26">
        <f>IF(OR(E7="INACTIVE",H7=""),0,IF(AB7="DISABLED",0,IF(AB7="FLAT",AE7,IF(AB7="MANUAL",IF(J7="",0,J7*AC7),IF(AB7="STEP",IF(I7&lt;=AF7,I7*AG7,IF(I7&lt;=AH7,AF7*AG7+(I7-AF7)*AI7,AF7*AG7+(AH7-AF7)*AI7+(I7-AH7)*AK7)),MAX(I7*AC7,AD7))))))</f>
        <v/>
      </c>
      <c r="L7" s="26">
        <f>IF(OR(E7="INACTIVE",H7=""),0,IF(AL7="NONE",0,IF(AL7="FLAT",AM7,IF(AL7="PER_UNIT",I7*AN7,IF(AL7="MANUAL",IF(M7="",0,M7),0)))))</f>
        <v/>
      </c>
      <c r="M7" s="23" t="n"/>
      <c r="N7" s="48" t="inlineStr">
        <is>
          <t>NORMAL</t>
        </is>
      </c>
      <c r="O7" s="25" t="n"/>
      <c r="P7" s="25" t="n"/>
      <c r="Q7" s="26">
        <f>IF(OR(E7="INACTIVE",P7=""),0,MAX(0,P7-O7))</f>
        <v/>
      </c>
      <c r="R7" s="23" t="n"/>
      <c r="S7" s="26">
        <f>IF(OR(E7="INACTIVE",P7=""),0,IF(AO7="DISABLED",0,IF(AO7="FLAT",AR7,IF(AO7="MANUAL",IF(R7="",0,R7*AP7),IF(AO7="STEP",IF(Q7&lt;=AS7,Q7*AT7,IF(Q7&lt;=AU7,AS7*AT7+(Q7-AS7)*AV7,AS7*AT7+(AU7-AS7)*AV7+(Q7-AU7)*AX7)),MAX(Q7*AP7,AQ7))))))</f>
        <v/>
      </c>
      <c r="T7" s="26">
        <f>IF(OR(E7="INACTIVE",P7=""),0,IF(AY7="NONE",0,IF(AY7="FLAT",AZ7,IF(AY7="PER_UNIT",Q7*BA7,IF(AY7="MANUAL",IF(U7="",0,U7),0)))))</f>
        <v/>
      </c>
      <c r="U7" s="23" t="n"/>
      <c r="V7" s="25" t="n"/>
      <c r="W7" s="25" t="n"/>
      <c r="X7" s="26">
        <f>IF(E7="INACTIVE",0,D7+K7+L7+S7+T7+IF(V7="",0,V7)+IF(W7="",0,W7))</f>
        <v/>
      </c>
      <c r="Y7" s="27" t="n"/>
      <c r="Z7" s="28">
        <f>IF(E7="INACTIVE","_",IF(AND(G7&gt;0,H7&gt;0,H7&lt;G7),"[!]น้ำ reset ","")&amp;IF(AND(O7&gt;0,P7&gt;0,P7&lt;O7),"[!]ไฟ reset ","")&amp;IF(AND(F7="MANUAL",J7=""),"[X]units น้ำ ","")&amp;IF(AND(N7="MANUAL",R7=""),"[X]units ไฟ ","")&amp;IF(D7=0,"[!]ค่าเช่า=0",""))</f>
        <v/>
      </c>
      <c r="AA7" s="29">
        <f>IF(C7&lt;&gt;"",C7,CONFIG!$B$6)</f>
        <v/>
      </c>
      <c r="AB7" s="29">
        <f>IF(F7&lt;&gt;"",F7,IFERROR(VLOOKUP(AA7,RULES!$A:$C,3,0),CONFIG!$B$7))</f>
        <v/>
      </c>
      <c r="AC7" s="29">
        <f>IF(IFERROR(VLOOKUP(AA7,RULES!$A:$D,4,0),"")="",CONFIG!$B$10,VLOOKUP(AA7,RULES!$A:$D,4,0))</f>
        <v/>
      </c>
      <c r="AD7" s="29">
        <f>IF(IFERROR(VLOOKUP(AA7,RULES!$A:$E,5,0),"")="",CONFIG!$B$11,VLOOKUP(AA7,RULES!$A:$E,5,0))</f>
        <v/>
      </c>
      <c r="AE7" s="29">
        <f>IFERROR(VLOOKUP(AA7,RULES!$A:$F,6,0)*1,0)</f>
        <v/>
      </c>
      <c r="AF7" s="29">
        <f>IFERROR(VLOOKUP(AA7,RULES!$A:$G,7,0)*1,0)</f>
        <v/>
      </c>
      <c r="AG7" s="29">
        <f>IFERROR(VLOOKUP(AA7,RULES!$A:$H,8,0)*1,0)</f>
        <v/>
      </c>
      <c r="AH7" s="29">
        <f>IFERROR(VLOOKUP(AA7,RULES!$A:$I,9,0)*1,0)</f>
        <v/>
      </c>
      <c r="AI7" s="29">
        <f>IFERROR(VLOOKUP(AA7,RULES!$A:$J,10,0)*1,0)</f>
        <v/>
      </c>
      <c r="AJ7" s="29">
        <f>IFERROR(IF(VLOOKUP(AA7,RULES!$A:$K,11,0)="",999999,VLOOKUP(AA7,RULES!$A:$K,11,0)*1),999999)</f>
        <v/>
      </c>
      <c r="AK7" s="29">
        <f>IFERROR(VLOOKUP(AA7,RULES!$A:$L,12,0)*1,0)</f>
        <v/>
      </c>
      <c r="AL7" s="29">
        <f>IFERROR(VLOOKUP(AA7,RULES!$A:$M,13,0),"NONE")</f>
        <v/>
      </c>
      <c r="AM7" s="29">
        <f>IFERROR(VLOOKUP(AA7,RULES!$A:$N,14,0)*1,0)</f>
        <v/>
      </c>
      <c r="AN7" s="29">
        <f>IFERROR(VLOOKUP(AA7,RULES!$A:$O,15,0)*1,0)</f>
        <v/>
      </c>
      <c r="AO7" s="29">
        <f>IF(N7&lt;&gt;"",N7,IFERROR(VLOOKUP(AA7,RULES!$A:$P,16,0),CONFIG!$B$8))</f>
        <v/>
      </c>
      <c r="AP7" s="29">
        <f>IF(IFERROR(VLOOKUP(AA7,RULES!$A:$Q,17,0),"")="",CONFIG!$B$13,VLOOKUP(AA7,RULES!$A:$Q,17,0))</f>
        <v/>
      </c>
      <c r="AQ7" s="29">
        <f>IF(IFERROR(VLOOKUP(AA7,RULES!$A:$R,18,0),"")="",CONFIG!$B$14,VLOOKUP(AA7,RULES!$A:$R,18,0))</f>
        <v/>
      </c>
      <c r="AR7" s="29">
        <f>IFERROR(VLOOKUP(AA7,RULES!$A:$S,19,0)*1,0)</f>
        <v/>
      </c>
      <c r="AS7" s="29">
        <f>IFERROR(VLOOKUP(AA7,RULES!$A:$T,20,0)*1,0)</f>
        <v/>
      </c>
      <c r="AT7" s="29">
        <f>IFERROR(VLOOKUP(AA7,RULES!$A:$U,21,0)*1,0)</f>
        <v/>
      </c>
      <c r="AU7" s="29">
        <f>IFERROR(VLOOKUP(AA7,RULES!$A:$V,22,0)*1,0)</f>
        <v/>
      </c>
      <c r="AV7" s="29">
        <f>IFERROR(VLOOKUP(AA7,RULES!$A:$W,23,0)*1,0)</f>
        <v/>
      </c>
      <c r="AW7" s="29">
        <f>IFERROR(IF(VLOOKUP(AA7,RULES!$A:$X,24,0)="",999999,VLOOKUP(AA7,RULES!$A:$X,24,0)*1),999999)</f>
        <v/>
      </c>
      <c r="AX7" s="29">
        <f>IFERROR(VLOOKUP(AA7,RULES!$A:$Y,25,0)*1,0)</f>
        <v/>
      </c>
      <c r="AY7" s="29">
        <f>IFERROR(VLOOKUP(AA7,RULES!$A:$Z,26,0),"NONE")</f>
        <v/>
      </c>
      <c r="AZ7" s="29">
        <f>IFERROR(VLOOKUP(AA7,RULES!$A:$AA,27,0)*1,0)</f>
        <v/>
      </c>
      <c r="BA7" s="29">
        <f>IFERROR(VLOOKUP(AA7,RULES!$A:$AB,28,0)*1,0)</f>
        <v/>
      </c>
    </row>
    <row r="8" ht="17" customHeight="1">
      <c r="A8" s="22" t="inlineStr">
        <is>
          <t>3805</t>
        </is>
      </c>
      <c r="B8" s="48" t="inlineStr">
        <is>
          <t>ACC008</t>
        </is>
      </c>
      <c r="C8" s="48" t="inlineStr">
        <is>
          <t>DEFAULT</t>
        </is>
      </c>
      <c r="D8" s="47" t="n"/>
      <c r="E8" s="22">
        <f>IF(OR(D8="",D8=0),"INACTIVE","ACTIVE")</f>
        <v/>
      </c>
      <c r="F8" s="48" t="inlineStr">
        <is>
          <t>NORMAL</t>
        </is>
      </c>
      <c r="G8" s="25" t="n"/>
      <c r="H8" s="25" t="n"/>
      <c r="I8" s="26">
        <f>IF(OR(E8="INACTIVE",H8=""),0,MAX(0,H8-G8))</f>
        <v/>
      </c>
      <c r="J8" s="23" t="n"/>
      <c r="K8" s="26">
        <f>IF(OR(E8="INACTIVE",H8=""),0,IF(AB8="DISABLED",0,IF(AB8="FLAT",AE8,IF(AB8="MANUAL",IF(J8="",0,J8*AC8),IF(AB8="STEP",IF(I8&lt;=AF8,I8*AG8,IF(I8&lt;=AH8,AF8*AG8+(I8-AF8)*AI8,AF8*AG8+(AH8-AF8)*AI8+(I8-AH8)*AK8)),MAX(I8*AC8,AD8))))))</f>
        <v/>
      </c>
      <c r="L8" s="26">
        <f>IF(OR(E8="INACTIVE",H8=""),0,IF(AL8="NONE",0,IF(AL8="FLAT",AM8,IF(AL8="PER_UNIT",I8*AN8,IF(AL8="MANUAL",IF(M8="",0,M8),0)))))</f>
        <v/>
      </c>
      <c r="M8" s="23" t="n"/>
      <c r="N8" s="48" t="inlineStr">
        <is>
          <t>NORMAL</t>
        </is>
      </c>
      <c r="O8" s="25" t="n"/>
      <c r="P8" s="25" t="n"/>
      <c r="Q8" s="26">
        <f>IF(OR(E8="INACTIVE",P8=""),0,MAX(0,P8-O8))</f>
        <v/>
      </c>
      <c r="R8" s="23" t="n"/>
      <c r="S8" s="26">
        <f>IF(OR(E8="INACTIVE",P8=""),0,IF(AO8="DISABLED",0,IF(AO8="FLAT",AR8,IF(AO8="MANUAL",IF(R8="",0,R8*AP8),IF(AO8="STEP",IF(Q8&lt;=AS8,Q8*AT8,IF(Q8&lt;=AU8,AS8*AT8+(Q8-AS8)*AV8,AS8*AT8+(AU8-AS8)*AV8+(Q8-AU8)*AX8)),MAX(Q8*AP8,AQ8))))))</f>
        <v/>
      </c>
      <c r="T8" s="26">
        <f>IF(OR(E8="INACTIVE",P8=""),0,IF(AY8="NONE",0,IF(AY8="FLAT",AZ8,IF(AY8="PER_UNIT",Q8*BA8,IF(AY8="MANUAL",IF(U8="",0,U8),0)))))</f>
        <v/>
      </c>
      <c r="U8" s="23" t="n"/>
      <c r="V8" s="25" t="n"/>
      <c r="W8" s="25" t="n"/>
      <c r="X8" s="26">
        <f>IF(E8="INACTIVE",0,D8+K8+L8+S8+T8+IF(V8="",0,V8)+IF(W8="",0,W8))</f>
        <v/>
      </c>
      <c r="Y8" s="27" t="n"/>
      <c r="Z8" s="28">
        <f>IF(E8="INACTIVE","_",IF(AND(G8&gt;0,H8&gt;0,H8&lt;G8),"[!]น้ำ reset ","")&amp;IF(AND(O8&gt;0,P8&gt;0,P8&lt;O8),"[!]ไฟ reset ","")&amp;IF(AND(F8="MANUAL",J8=""),"[X]units น้ำ ","")&amp;IF(AND(N8="MANUAL",R8=""),"[X]units ไฟ ","")&amp;IF(D8=0,"[!]ค่าเช่า=0",""))</f>
        <v/>
      </c>
      <c r="AA8" s="29">
        <f>IF(C8&lt;&gt;"",C8,CONFIG!$B$6)</f>
        <v/>
      </c>
      <c r="AB8" s="29">
        <f>IF(F8&lt;&gt;"",F8,IFERROR(VLOOKUP(AA8,RULES!$A:$C,3,0),CONFIG!$B$7))</f>
        <v/>
      </c>
      <c r="AC8" s="29">
        <f>IF(IFERROR(VLOOKUP(AA8,RULES!$A:$D,4,0),"")="",CONFIG!$B$10,VLOOKUP(AA8,RULES!$A:$D,4,0))</f>
        <v/>
      </c>
      <c r="AD8" s="29">
        <f>IF(IFERROR(VLOOKUP(AA8,RULES!$A:$E,5,0),"")="",CONFIG!$B$11,VLOOKUP(AA8,RULES!$A:$E,5,0))</f>
        <v/>
      </c>
      <c r="AE8" s="29">
        <f>IFERROR(VLOOKUP(AA8,RULES!$A:$F,6,0)*1,0)</f>
        <v/>
      </c>
      <c r="AF8" s="29">
        <f>IFERROR(VLOOKUP(AA8,RULES!$A:$G,7,0)*1,0)</f>
        <v/>
      </c>
      <c r="AG8" s="29">
        <f>IFERROR(VLOOKUP(AA8,RULES!$A:$H,8,0)*1,0)</f>
        <v/>
      </c>
      <c r="AH8" s="29">
        <f>IFERROR(VLOOKUP(AA8,RULES!$A:$I,9,0)*1,0)</f>
        <v/>
      </c>
      <c r="AI8" s="29">
        <f>IFERROR(VLOOKUP(AA8,RULES!$A:$J,10,0)*1,0)</f>
        <v/>
      </c>
      <c r="AJ8" s="29">
        <f>IFERROR(IF(VLOOKUP(AA8,RULES!$A:$K,11,0)="",999999,VLOOKUP(AA8,RULES!$A:$K,11,0)*1),999999)</f>
        <v/>
      </c>
      <c r="AK8" s="29">
        <f>IFERROR(VLOOKUP(AA8,RULES!$A:$L,12,0)*1,0)</f>
        <v/>
      </c>
      <c r="AL8" s="29">
        <f>IFERROR(VLOOKUP(AA8,RULES!$A:$M,13,0),"NONE")</f>
        <v/>
      </c>
      <c r="AM8" s="29">
        <f>IFERROR(VLOOKUP(AA8,RULES!$A:$N,14,0)*1,0)</f>
        <v/>
      </c>
      <c r="AN8" s="29">
        <f>IFERROR(VLOOKUP(AA8,RULES!$A:$O,15,0)*1,0)</f>
        <v/>
      </c>
      <c r="AO8" s="29">
        <f>IF(N8&lt;&gt;"",N8,IFERROR(VLOOKUP(AA8,RULES!$A:$P,16,0),CONFIG!$B$8))</f>
        <v/>
      </c>
      <c r="AP8" s="29">
        <f>IF(IFERROR(VLOOKUP(AA8,RULES!$A:$Q,17,0),"")="",CONFIG!$B$13,VLOOKUP(AA8,RULES!$A:$Q,17,0))</f>
        <v/>
      </c>
      <c r="AQ8" s="29">
        <f>IF(IFERROR(VLOOKUP(AA8,RULES!$A:$R,18,0),"")="",CONFIG!$B$14,VLOOKUP(AA8,RULES!$A:$R,18,0))</f>
        <v/>
      </c>
      <c r="AR8" s="29">
        <f>IFERROR(VLOOKUP(AA8,RULES!$A:$S,19,0)*1,0)</f>
        <v/>
      </c>
      <c r="AS8" s="29">
        <f>IFERROR(VLOOKUP(AA8,RULES!$A:$T,20,0)*1,0)</f>
        <v/>
      </c>
      <c r="AT8" s="29">
        <f>IFERROR(VLOOKUP(AA8,RULES!$A:$U,21,0)*1,0)</f>
        <v/>
      </c>
      <c r="AU8" s="29">
        <f>IFERROR(VLOOKUP(AA8,RULES!$A:$V,22,0)*1,0)</f>
        <v/>
      </c>
      <c r="AV8" s="29">
        <f>IFERROR(VLOOKUP(AA8,RULES!$A:$W,23,0)*1,0)</f>
        <v/>
      </c>
      <c r="AW8" s="29">
        <f>IFERROR(IF(VLOOKUP(AA8,RULES!$A:$X,24,0)="",999999,VLOOKUP(AA8,RULES!$A:$X,24,0)*1),999999)</f>
        <v/>
      </c>
      <c r="AX8" s="29">
        <f>IFERROR(VLOOKUP(AA8,RULES!$A:$Y,25,0)*1,0)</f>
        <v/>
      </c>
      <c r="AY8" s="29">
        <f>IFERROR(VLOOKUP(AA8,RULES!$A:$Z,26,0),"NONE")</f>
        <v/>
      </c>
      <c r="AZ8" s="29">
        <f>IFERROR(VLOOKUP(AA8,RULES!$A:$AA,27,0)*1,0)</f>
        <v/>
      </c>
      <c r="BA8" s="29">
        <f>IFERROR(VLOOKUP(AA8,RULES!$A:$AB,28,0)*1,0)</f>
        <v/>
      </c>
    </row>
    <row r="9" ht="17" customHeight="1">
      <c r="A9" s="22" t="inlineStr">
        <is>
          <t>3806</t>
        </is>
      </c>
      <c r="B9" s="48" t="inlineStr">
        <is>
          <t>ACC008</t>
        </is>
      </c>
      <c r="C9" s="48" t="inlineStr">
        <is>
          <t>DEFAULT</t>
        </is>
      </c>
      <c r="D9" s="47" t="n"/>
      <c r="E9" s="22">
        <f>IF(OR(D9="",D9=0),"INACTIVE","ACTIVE")</f>
        <v/>
      </c>
      <c r="F9" s="48" t="inlineStr">
        <is>
          <t>NORMAL</t>
        </is>
      </c>
      <c r="G9" s="25" t="n"/>
      <c r="H9" s="25" t="n"/>
      <c r="I9" s="26">
        <f>IF(OR(E9="INACTIVE",H9=""),0,MAX(0,H9-G9))</f>
        <v/>
      </c>
      <c r="J9" s="23" t="n"/>
      <c r="K9" s="26">
        <f>IF(OR(E9="INACTIVE",H9=""),0,IF(AB9="DISABLED",0,IF(AB9="FLAT",AE9,IF(AB9="MANUAL",IF(J9="",0,J9*AC9),IF(AB9="STEP",IF(I9&lt;=AF9,I9*AG9,IF(I9&lt;=AH9,AF9*AG9+(I9-AF9)*AI9,AF9*AG9+(AH9-AF9)*AI9+(I9-AH9)*AK9)),MAX(I9*AC9,AD9))))))</f>
        <v/>
      </c>
      <c r="L9" s="26">
        <f>IF(OR(E9="INACTIVE",H9=""),0,IF(AL9="NONE",0,IF(AL9="FLAT",AM9,IF(AL9="PER_UNIT",I9*AN9,IF(AL9="MANUAL",IF(M9="",0,M9),0)))))</f>
        <v/>
      </c>
      <c r="M9" s="23" t="n"/>
      <c r="N9" s="48" t="inlineStr">
        <is>
          <t>NORMAL</t>
        </is>
      </c>
      <c r="O9" s="25" t="n"/>
      <c r="P9" s="25" t="n"/>
      <c r="Q9" s="26">
        <f>IF(OR(E9="INACTIVE",P9=""),0,MAX(0,P9-O9))</f>
        <v/>
      </c>
      <c r="R9" s="23" t="n"/>
      <c r="S9" s="26">
        <f>IF(OR(E9="INACTIVE",P9=""),0,IF(AO9="DISABLED",0,IF(AO9="FLAT",AR9,IF(AO9="MANUAL",IF(R9="",0,R9*AP9),IF(AO9="STEP",IF(Q9&lt;=AS9,Q9*AT9,IF(Q9&lt;=AU9,AS9*AT9+(Q9-AS9)*AV9,AS9*AT9+(AU9-AS9)*AV9+(Q9-AU9)*AX9)),MAX(Q9*AP9,AQ9))))))</f>
        <v/>
      </c>
      <c r="T9" s="26">
        <f>IF(OR(E9="INACTIVE",P9=""),0,IF(AY9="NONE",0,IF(AY9="FLAT",AZ9,IF(AY9="PER_UNIT",Q9*BA9,IF(AY9="MANUAL",IF(U9="",0,U9),0)))))</f>
        <v/>
      </c>
      <c r="U9" s="23" t="n"/>
      <c r="V9" s="25" t="n"/>
      <c r="W9" s="25" t="n"/>
      <c r="X9" s="26">
        <f>IF(E9="INACTIVE",0,D9+K9+L9+S9+T9+IF(V9="",0,V9)+IF(W9="",0,W9))</f>
        <v/>
      </c>
      <c r="Y9" s="27" t="n"/>
      <c r="Z9" s="28">
        <f>IF(E9="INACTIVE","_",IF(AND(G9&gt;0,H9&gt;0,H9&lt;G9),"[!]น้ำ reset ","")&amp;IF(AND(O9&gt;0,P9&gt;0,P9&lt;O9),"[!]ไฟ reset ","")&amp;IF(AND(F9="MANUAL",J9=""),"[X]units น้ำ ","")&amp;IF(AND(N9="MANUAL",R9=""),"[X]units ไฟ ","")&amp;IF(D9=0,"[!]ค่าเช่า=0",""))</f>
        <v/>
      </c>
      <c r="AA9" s="29">
        <f>IF(C9&lt;&gt;"",C9,CONFIG!$B$6)</f>
        <v/>
      </c>
      <c r="AB9" s="29">
        <f>IF(F9&lt;&gt;"",F9,IFERROR(VLOOKUP(AA9,RULES!$A:$C,3,0),CONFIG!$B$7))</f>
        <v/>
      </c>
      <c r="AC9" s="29">
        <f>IF(IFERROR(VLOOKUP(AA9,RULES!$A:$D,4,0),"")="",CONFIG!$B$10,VLOOKUP(AA9,RULES!$A:$D,4,0))</f>
        <v/>
      </c>
      <c r="AD9" s="29">
        <f>IF(IFERROR(VLOOKUP(AA9,RULES!$A:$E,5,0),"")="",CONFIG!$B$11,VLOOKUP(AA9,RULES!$A:$E,5,0))</f>
        <v/>
      </c>
      <c r="AE9" s="29">
        <f>IFERROR(VLOOKUP(AA9,RULES!$A:$F,6,0)*1,0)</f>
        <v/>
      </c>
      <c r="AF9" s="29">
        <f>IFERROR(VLOOKUP(AA9,RULES!$A:$G,7,0)*1,0)</f>
        <v/>
      </c>
      <c r="AG9" s="29">
        <f>IFERROR(VLOOKUP(AA9,RULES!$A:$H,8,0)*1,0)</f>
        <v/>
      </c>
      <c r="AH9" s="29">
        <f>IFERROR(VLOOKUP(AA9,RULES!$A:$I,9,0)*1,0)</f>
        <v/>
      </c>
      <c r="AI9" s="29">
        <f>IFERROR(VLOOKUP(AA9,RULES!$A:$J,10,0)*1,0)</f>
        <v/>
      </c>
      <c r="AJ9" s="29">
        <f>IFERROR(IF(VLOOKUP(AA9,RULES!$A:$K,11,0)="",999999,VLOOKUP(AA9,RULES!$A:$K,11,0)*1),999999)</f>
        <v/>
      </c>
      <c r="AK9" s="29">
        <f>IFERROR(VLOOKUP(AA9,RULES!$A:$L,12,0)*1,0)</f>
        <v/>
      </c>
      <c r="AL9" s="29">
        <f>IFERROR(VLOOKUP(AA9,RULES!$A:$M,13,0),"NONE")</f>
        <v/>
      </c>
      <c r="AM9" s="29">
        <f>IFERROR(VLOOKUP(AA9,RULES!$A:$N,14,0)*1,0)</f>
        <v/>
      </c>
      <c r="AN9" s="29">
        <f>IFERROR(VLOOKUP(AA9,RULES!$A:$O,15,0)*1,0)</f>
        <v/>
      </c>
      <c r="AO9" s="29">
        <f>IF(N9&lt;&gt;"",N9,IFERROR(VLOOKUP(AA9,RULES!$A:$P,16,0),CONFIG!$B$8))</f>
        <v/>
      </c>
      <c r="AP9" s="29">
        <f>IF(IFERROR(VLOOKUP(AA9,RULES!$A:$Q,17,0),"")="",CONFIG!$B$13,VLOOKUP(AA9,RULES!$A:$Q,17,0))</f>
        <v/>
      </c>
      <c r="AQ9" s="29">
        <f>IF(IFERROR(VLOOKUP(AA9,RULES!$A:$R,18,0),"")="",CONFIG!$B$14,VLOOKUP(AA9,RULES!$A:$R,18,0))</f>
        <v/>
      </c>
      <c r="AR9" s="29">
        <f>IFERROR(VLOOKUP(AA9,RULES!$A:$S,19,0)*1,0)</f>
        <v/>
      </c>
      <c r="AS9" s="29">
        <f>IFERROR(VLOOKUP(AA9,RULES!$A:$T,20,0)*1,0)</f>
        <v/>
      </c>
      <c r="AT9" s="29">
        <f>IFERROR(VLOOKUP(AA9,RULES!$A:$U,21,0)*1,0)</f>
        <v/>
      </c>
      <c r="AU9" s="29">
        <f>IFERROR(VLOOKUP(AA9,RULES!$A:$V,22,0)*1,0)</f>
        <v/>
      </c>
      <c r="AV9" s="29">
        <f>IFERROR(VLOOKUP(AA9,RULES!$A:$W,23,0)*1,0)</f>
        <v/>
      </c>
      <c r="AW9" s="29">
        <f>IFERROR(IF(VLOOKUP(AA9,RULES!$A:$X,24,0)="",999999,VLOOKUP(AA9,RULES!$A:$X,24,0)*1),999999)</f>
        <v/>
      </c>
      <c r="AX9" s="29">
        <f>IFERROR(VLOOKUP(AA9,RULES!$A:$Y,25,0)*1,0)</f>
        <v/>
      </c>
      <c r="AY9" s="29">
        <f>IFERROR(VLOOKUP(AA9,RULES!$A:$Z,26,0),"NONE")</f>
        <v/>
      </c>
      <c r="AZ9" s="29">
        <f>IFERROR(VLOOKUP(AA9,RULES!$A:$AA,27,0)*1,0)</f>
        <v/>
      </c>
      <c r="BA9" s="29">
        <f>IFERROR(VLOOKUP(AA9,RULES!$A:$AB,28,0)*1,0)</f>
        <v/>
      </c>
    </row>
    <row r="10" ht="17" customHeight="1">
      <c r="A10" s="22" t="inlineStr">
        <is>
          <t>3807</t>
        </is>
      </c>
      <c r="B10" s="48" t="inlineStr">
        <is>
          <t>ACC008</t>
        </is>
      </c>
      <c r="C10" s="48" t="inlineStr">
        <is>
          <t>DEFAULT</t>
        </is>
      </c>
      <c r="D10" s="47" t="n"/>
      <c r="E10" s="22">
        <f>IF(OR(D10="",D10=0),"INACTIVE","ACTIVE")</f>
        <v/>
      </c>
      <c r="F10" s="48" t="inlineStr">
        <is>
          <t>NORMAL</t>
        </is>
      </c>
      <c r="G10" s="25" t="n"/>
      <c r="H10" s="25" t="n"/>
      <c r="I10" s="26">
        <f>IF(OR(E10="INACTIVE",H10=""),0,MAX(0,H10-G10))</f>
        <v/>
      </c>
      <c r="J10" s="23" t="n"/>
      <c r="K10" s="26">
        <f>IF(OR(E10="INACTIVE",H10=""),0,IF(AB10="DISABLED",0,IF(AB10="FLAT",AE10,IF(AB10="MANUAL",IF(J10="",0,J10*AC10),IF(AB10="STEP",IF(I10&lt;=AF10,I10*AG10,IF(I10&lt;=AH10,AF10*AG10+(I10-AF10)*AI10,AF10*AG10+(AH10-AF10)*AI10+(I10-AH10)*AK10)),MAX(I10*AC10,AD10))))))</f>
        <v/>
      </c>
      <c r="L10" s="26">
        <f>IF(OR(E10="INACTIVE",H10=""),0,IF(AL10="NONE",0,IF(AL10="FLAT",AM10,IF(AL10="PER_UNIT",I10*AN10,IF(AL10="MANUAL",IF(M10="",0,M10),0)))))</f>
        <v/>
      </c>
      <c r="M10" s="23" t="n"/>
      <c r="N10" s="48" t="inlineStr">
        <is>
          <t>NORMAL</t>
        </is>
      </c>
      <c r="O10" s="25" t="n"/>
      <c r="P10" s="25" t="n"/>
      <c r="Q10" s="26">
        <f>IF(OR(E10="INACTIVE",P10=""),0,MAX(0,P10-O10))</f>
        <v/>
      </c>
      <c r="R10" s="23" t="n"/>
      <c r="S10" s="26">
        <f>IF(OR(E10="INACTIVE",P10=""),0,IF(AO10="DISABLED",0,IF(AO10="FLAT",AR10,IF(AO10="MANUAL",IF(R10="",0,R10*AP10),IF(AO10="STEP",IF(Q10&lt;=AS10,Q10*AT10,IF(Q10&lt;=AU10,AS10*AT10+(Q10-AS10)*AV10,AS10*AT10+(AU10-AS10)*AV10+(Q10-AU10)*AX10)),MAX(Q10*AP10,AQ10))))))</f>
        <v/>
      </c>
      <c r="T10" s="26">
        <f>IF(OR(E10="INACTIVE",P10=""),0,IF(AY10="NONE",0,IF(AY10="FLAT",AZ10,IF(AY10="PER_UNIT",Q10*BA10,IF(AY10="MANUAL",IF(U10="",0,U10),0)))))</f>
        <v/>
      </c>
      <c r="U10" s="23" t="n"/>
      <c r="V10" s="25" t="n"/>
      <c r="W10" s="25" t="n"/>
      <c r="X10" s="26">
        <f>IF(E10="INACTIVE",0,D10+K10+L10+S10+T10+IF(V10="",0,V10)+IF(W10="",0,W10))</f>
        <v/>
      </c>
      <c r="Y10" s="27" t="n"/>
      <c r="Z10" s="28">
        <f>IF(E10="INACTIVE","_",IF(AND(G10&gt;0,H10&gt;0,H10&lt;G10),"[!]น้ำ reset ","")&amp;IF(AND(O10&gt;0,P10&gt;0,P10&lt;O10),"[!]ไฟ reset ","")&amp;IF(AND(F10="MANUAL",J10=""),"[X]units น้ำ ","")&amp;IF(AND(N10="MANUAL",R10=""),"[X]units ไฟ ","")&amp;IF(D10=0,"[!]ค่าเช่า=0",""))</f>
        <v/>
      </c>
      <c r="AA10" s="29">
        <f>IF(C10&lt;&gt;"",C10,CONFIG!$B$6)</f>
        <v/>
      </c>
      <c r="AB10" s="29">
        <f>IF(F10&lt;&gt;"",F10,IFERROR(VLOOKUP(AA10,RULES!$A:$C,3,0),CONFIG!$B$7))</f>
        <v/>
      </c>
      <c r="AC10" s="29">
        <f>IF(IFERROR(VLOOKUP(AA10,RULES!$A:$D,4,0),"")="",CONFIG!$B$10,VLOOKUP(AA10,RULES!$A:$D,4,0))</f>
        <v/>
      </c>
      <c r="AD10" s="29">
        <f>IF(IFERROR(VLOOKUP(AA10,RULES!$A:$E,5,0),"")="",CONFIG!$B$11,VLOOKUP(AA10,RULES!$A:$E,5,0))</f>
        <v/>
      </c>
      <c r="AE10" s="29">
        <f>IFERROR(VLOOKUP(AA10,RULES!$A:$F,6,0)*1,0)</f>
        <v/>
      </c>
      <c r="AF10" s="29">
        <f>IFERROR(VLOOKUP(AA10,RULES!$A:$G,7,0)*1,0)</f>
        <v/>
      </c>
      <c r="AG10" s="29">
        <f>IFERROR(VLOOKUP(AA10,RULES!$A:$H,8,0)*1,0)</f>
        <v/>
      </c>
      <c r="AH10" s="29">
        <f>IFERROR(VLOOKUP(AA10,RULES!$A:$I,9,0)*1,0)</f>
        <v/>
      </c>
      <c r="AI10" s="29">
        <f>IFERROR(VLOOKUP(AA10,RULES!$A:$J,10,0)*1,0)</f>
        <v/>
      </c>
      <c r="AJ10" s="29">
        <f>IFERROR(IF(VLOOKUP(AA10,RULES!$A:$K,11,0)="",999999,VLOOKUP(AA10,RULES!$A:$K,11,0)*1),999999)</f>
        <v/>
      </c>
      <c r="AK10" s="29">
        <f>IFERROR(VLOOKUP(AA10,RULES!$A:$L,12,0)*1,0)</f>
        <v/>
      </c>
      <c r="AL10" s="29">
        <f>IFERROR(VLOOKUP(AA10,RULES!$A:$M,13,0),"NONE")</f>
        <v/>
      </c>
      <c r="AM10" s="29">
        <f>IFERROR(VLOOKUP(AA10,RULES!$A:$N,14,0)*1,0)</f>
        <v/>
      </c>
      <c r="AN10" s="29">
        <f>IFERROR(VLOOKUP(AA10,RULES!$A:$O,15,0)*1,0)</f>
        <v/>
      </c>
      <c r="AO10" s="29">
        <f>IF(N10&lt;&gt;"",N10,IFERROR(VLOOKUP(AA10,RULES!$A:$P,16,0),CONFIG!$B$8))</f>
        <v/>
      </c>
      <c r="AP10" s="29">
        <f>IF(IFERROR(VLOOKUP(AA10,RULES!$A:$Q,17,0),"")="",CONFIG!$B$13,VLOOKUP(AA10,RULES!$A:$Q,17,0))</f>
        <v/>
      </c>
      <c r="AQ10" s="29">
        <f>IF(IFERROR(VLOOKUP(AA10,RULES!$A:$R,18,0),"")="",CONFIG!$B$14,VLOOKUP(AA10,RULES!$A:$R,18,0))</f>
        <v/>
      </c>
      <c r="AR10" s="29">
        <f>IFERROR(VLOOKUP(AA10,RULES!$A:$S,19,0)*1,0)</f>
        <v/>
      </c>
      <c r="AS10" s="29">
        <f>IFERROR(VLOOKUP(AA10,RULES!$A:$T,20,0)*1,0)</f>
        <v/>
      </c>
      <c r="AT10" s="29">
        <f>IFERROR(VLOOKUP(AA10,RULES!$A:$U,21,0)*1,0)</f>
        <v/>
      </c>
      <c r="AU10" s="29">
        <f>IFERROR(VLOOKUP(AA10,RULES!$A:$V,22,0)*1,0)</f>
        <v/>
      </c>
      <c r="AV10" s="29">
        <f>IFERROR(VLOOKUP(AA10,RULES!$A:$W,23,0)*1,0)</f>
        <v/>
      </c>
      <c r="AW10" s="29">
        <f>IFERROR(IF(VLOOKUP(AA10,RULES!$A:$X,24,0)="",999999,VLOOKUP(AA10,RULES!$A:$X,24,0)*1),999999)</f>
        <v/>
      </c>
      <c r="AX10" s="29">
        <f>IFERROR(VLOOKUP(AA10,RULES!$A:$Y,25,0)*1,0)</f>
        <v/>
      </c>
      <c r="AY10" s="29">
        <f>IFERROR(VLOOKUP(AA10,RULES!$A:$Z,26,0),"NONE")</f>
        <v/>
      </c>
      <c r="AZ10" s="29">
        <f>IFERROR(VLOOKUP(AA10,RULES!$A:$AA,27,0)*1,0)</f>
        <v/>
      </c>
      <c r="BA10" s="29">
        <f>IFERROR(VLOOKUP(AA10,RULES!$A:$AB,28,0)*1,0)</f>
        <v/>
      </c>
    </row>
    <row r="11" ht="17" customHeight="1">
      <c r="A11" s="22" t="inlineStr">
        <is>
          <t>3808</t>
        </is>
      </c>
      <c r="B11" s="48" t="inlineStr">
        <is>
          <t>ACC008</t>
        </is>
      </c>
      <c r="C11" s="48" t="inlineStr">
        <is>
          <t>DEFAULT</t>
        </is>
      </c>
      <c r="D11" s="47" t="n"/>
      <c r="E11" s="22">
        <f>IF(OR(D11="",D11=0),"INACTIVE","ACTIVE")</f>
        <v/>
      </c>
      <c r="F11" s="48" t="inlineStr">
        <is>
          <t>NORMAL</t>
        </is>
      </c>
      <c r="G11" s="25" t="n"/>
      <c r="H11" s="25" t="n"/>
      <c r="I11" s="26">
        <f>IF(OR(E11="INACTIVE",H11=""),0,MAX(0,H11-G11))</f>
        <v/>
      </c>
      <c r="J11" s="23" t="n"/>
      <c r="K11" s="26">
        <f>IF(OR(E11="INACTIVE",H11=""),0,IF(AB11="DISABLED",0,IF(AB11="FLAT",AE11,IF(AB11="MANUAL",IF(J11="",0,J11*AC11),IF(AB11="STEP",IF(I11&lt;=AF11,I11*AG11,IF(I11&lt;=AH11,AF11*AG11+(I11-AF11)*AI11,AF11*AG11+(AH11-AF11)*AI11+(I11-AH11)*AK11)),MAX(I11*AC11,AD11))))))</f>
        <v/>
      </c>
      <c r="L11" s="26">
        <f>IF(OR(E11="INACTIVE",H11=""),0,IF(AL11="NONE",0,IF(AL11="FLAT",AM11,IF(AL11="PER_UNIT",I11*AN11,IF(AL11="MANUAL",IF(M11="",0,M11),0)))))</f>
        <v/>
      </c>
      <c r="M11" s="23" t="n"/>
      <c r="N11" s="48" t="inlineStr">
        <is>
          <t>NORMAL</t>
        </is>
      </c>
      <c r="O11" s="25" t="n"/>
      <c r="P11" s="25" t="n"/>
      <c r="Q11" s="26">
        <f>IF(OR(E11="INACTIVE",P11=""),0,MAX(0,P11-O11))</f>
        <v/>
      </c>
      <c r="R11" s="23" t="n"/>
      <c r="S11" s="26">
        <f>IF(OR(E11="INACTIVE",P11=""),0,IF(AO11="DISABLED",0,IF(AO11="FLAT",AR11,IF(AO11="MANUAL",IF(R11="",0,R11*AP11),IF(AO11="STEP",IF(Q11&lt;=AS11,Q11*AT11,IF(Q11&lt;=AU11,AS11*AT11+(Q11-AS11)*AV11,AS11*AT11+(AU11-AS11)*AV11+(Q11-AU11)*AX11)),MAX(Q11*AP11,AQ11))))))</f>
        <v/>
      </c>
      <c r="T11" s="26">
        <f>IF(OR(E11="INACTIVE",P11=""),0,IF(AY11="NONE",0,IF(AY11="FLAT",AZ11,IF(AY11="PER_UNIT",Q11*BA11,IF(AY11="MANUAL",IF(U11="",0,U11),0)))))</f>
        <v/>
      </c>
      <c r="U11" s="23" t="n"/>
      <c r="V11" s="25" t="n"/>
      <c r="W11" s="25" t="n"/>
      <c r="X11" s="26">
        <f>IF(E11="INACTIVE",0,D11+K11+L11+S11+T11+IF(V11="",0,V11)+IF(W11="",0,W11))</f>
        <v/>
      </c>
      <c r="Y11" s="27" t="n"/>
      <c r="Z11" s="28">
        <f>IF(E11="INACTIVE","_",IF(AND(G11&gt;0,H11&gt;0,H11&lt;G11),"[!]น้ำ reset ","")&amp;IF(AND(O11&gt;0,P11&gt;0,P11&lt;O11),"[!]ไฟ reset ","")&amp;IF(AND(F11="MANUAL",J11=""),"[X]units น้ำ ","")&amp;IF(AND(N11="MANUAL",R11=""),"[X]units ไฟ ","")&amp;IF(D11=0,"[!]ค่าเช่า=0",""))</f>
        <v/>
      </c>
      <c r="AA11" s="29">
        <f>IF(C11&lt;&gt;"",C11,CONFIG!$B$6)</f>
        <v/>
      </c>
      <c r="AB11" s="29">
        <f>IF(F11&lt;&gt;"",F11,IFERROR(VLOOKUP(AA11,RULES!$A:$C,3,0),CONFIG!$B$7))</f>
        <v/>
      </c>
      <c r="AC11" s="29">
        <f>IF(IFERROR(VLOOKUP(AA11,RULES!$A:$D,4,0),"")="",CONFIG!$B$10,VLOOKUP(AA11,RULES!$A:$D,4,0))</f>
        <v/>
      </c>
      <c r="AD11" s="29">
        <f>IF(IFERROR(VLOOKUP(AA11,RULES!$A:$E,5,0),"")="",CONFIG!$B$11,VLOOKUP(AA11,RULES!$A:$E,5,0))</f>
        <v/>
      </c>
      <c r="AE11" s="29">
        <f>IFERROR(VLOOKUP(AA11,RULES!$A:$F,6,0)*1,0)</f>
        <v/>
      </c>
      <c r="AF11" s="29">
        <f>IFERROR(VLOOKUP(AA11,RULES!$A:$G,7,0)*1,0)</f>
        <v/>
      </c>
      <c r="AG11" s="29">
        <f>IFERROR(VLOOKUP(AA11,RULES!$A:$H,8,0)*1,0)</f>
        <v/>
      </c>
      <c r="AH11" s="29">
        <f>IFERROR(VLOOKUP(AA11,RULES!$A:$I,9,0)*1,0)</f>
        <v/>
      </c>
      <c r="AI11" s="29">
        <f>IFERROR(VLOOKUP(AA11,RULES!$A:$J,10,0)*1,0)</f>
        <v/>
      </c>
      <c r="AJ11" s="29">
        <f>IFERROR(IF(VLOOKUP(AA11,RULES!$A:$K,11,0)="",999999,VLOOKUP(AA11,RULES!$A:$K,11,0)*1),999999)</f>
        <v/>
      </c>
      <c r="AK11" s="29">
        <f>IFERROR(VLOOKUP(AA11,RULES!$A:$L,12,0)*1,0)</f>
        <v/>
      </c>
      <c r="AL11" s="29">
        <f>IFERROR(VLOOKUP(AA11,RULES!$A:$M,13,0),"NONE")</f>
        <v/>
      </c>
      <c r="AM11" s="29">
        <f>IFERROR(VLOOKUP(AA11,RULES!$A:$N,14,0)*1,0)</f>
        <v/>
      </c>
      <c r="AN11" s="29">
        <f>IFERROR(VLOOKUP(AA11,RULES!$A:$O,15,0)*1,0)</f>
        <v/>
      </c>
      <c r="AO11" s="29">
        <f>IF(N11&lt;&gt;"",N11,IFERROR(VLOOKUP(AA11,RULES!$A:$P,16,0),CONFIG!$B$8))</f>
        <v/>
      </c>
      <c r="AP11" s="29">
        <f>IF(IFERROR(VLOOKUP(AA11,RULES!$A:$Q,17,0),"")="",CONFIG!$B$13,VLOOKUP(AA11,RULES!$A:$Q,17,0))</f>
        <v/>
      </c>
      <c r="AQ11" s="29">
        <f>IF(IFERROR(VLOOKUP(AA11,RULES!$A:$R,18,0),"")="",CONFIG!$B$14,VLOOKUP(AA11,RULES!$A:$R,18,0))</f>
        <v/>
      </c>
      <c r="AR11" s="29">
        <f>IFERROR(VLOOKUP(AA11,RULES!$A:$S,19,0)*1,0)</f>
        <v/>
      </c>
      <c r="AS11" s="29">
        <f>IFERROR(VLOOKUP(AA11,RULES!$A:$T,20,0)*1,0)</f>
        <v/>
      </c>
      <c r="AT11" s="29">
        <f>IFERROR(VLOOKUP(AA11,RULES!$A:$U,21,0)*1,0)</f>
        <v/>
      </c>
      <c r="AU11" s="29">
        <f>IFERROR(VLOOKUP(AA11,RULES!$A:$V,22,0)*1,0)</f>
        <v/>
      </c>
      <c r="AV11" s="29">
        <f>IFERROR(VLOOKUP(AA11,RULES!$A:$W,23,0)*1,0)</f>
        <v/>
      </c>
      <c r="AW11" s="29">
        <f>IFERROR(IF(VLOOKUP(AA11,RULES!$A:$X,24,0)="",999999,VLOOKUP(AA11,RULES!$A:$X,24,0)*1),999999)</f>
        <v/>
      </c>
      <c r="AX11" s="29">
        <f>IFERROR(VLOOKUP(AA11,RULES!$A:$Y,25,0)*1,0)</f>
        <v/>
      </c>
      <c r="AY11" s="29">
        <f>IFERROR(VLOOKUP(AA11,RULES!$A:$Z,26,0),"NONE")</f>
        <v/>
      </c>
      <c r="AZ11" s="29">
        <f>IFERROR(VLOOKUP(AA11,RULES!$A:$AA,27,0)*1,0)</f>
        <v/>
      </c>
      <c r="BA11" s="29">
        <f>IFERROR(VLOOKUP(AA11,RULES!$A:$AB,28,0)*1,0)</f>
        <v/>
      </c>
    </row>
    <row r="12" ht="17" customHeight="1">
      <c r="A12" s="22" t="inlineStr">
        <is>
          <t>3809</t>
        </is>
      </c>
      <c r="B12" s="48" t="inlineStr">
        <is>
          <t>ACC008</t>
        </is>
      </c>
      <c r="C12" s="48" t="inlineStr">
        <is>
          <t>DEFAULT</t>
        </is>
      </c>
      <c r="D12" s="47" t="n"/>
      <c r="E12" s="22">
        <f>IF(OR(D12="",D12=0),"INACTIVE","ACTIVE")</f>
        <v/>
      </c>
      <c r="F12" s="48" t="inlineStr">
        <is>
          <t>NORMAL</t>
        </is>
      </c>
      <c r="G12" s="25" t="n"/>
      <c r="H12" s="25" t="n"/>
      <c r="I12" s="26">
        <f>IF(OR(E12="INACTIVE",H12=""),0,MAX(0,H12-G12))</f>
        <v/>
      </c>
      <c r="J12" s="23" t="n"/>
      <c r="K12" s="26">
        <f>IF(OR(E12="INACTIVE",H12=""),0,IF(AB12="DISABLED",0,IF(AB12="FLAT",AE12,IF(AB12="MANUAL",IF(J12="",0,J12*AC12),IF(AB12="STEP",IF(I12&lt;=AF12,I12*AG12,IF(I12&lt;=AH12,AF12*AG12+(I12-AF12)*AI12,AF12*AG12+(AH12-AF12)*AI12+(I12-AH12)*AK12)),MAX(I12*AC12,AD12))))))</f>
        <v/>
      </c>
      <c r="L12" s="26">
        <f>IF(OR(E12="INACTIVE",H12=""),0,IF(AL12="NONE",0,IF(AL12="FLAT",AM12,IF(AL12="PER_UNIT",I12*AN12,IF(AL12="MANUAL",IF(M12="",0,M12),0)))))</f>
        <v/>
      </c>
      <c r="M12" s="23" t="n"/>
      <c r="N12" s="48" t="inlineStr">
        <is>
          <t>NORMAL</t>
        </is>
      </c>
      <c r="O12" s="25" t="n"/>
      <c r="P12" s="25" t="n"/>
      <c r="Q12" s="26">
        <f>IF(OR(E12="INACTIVE",P12=""),0,MAX(0,P12-O12))</f>
        <v/>
      </c>
      <c r="R12" s="23" t="n"/>
      <c r="S12" s="26">
        <f>IF(OR(E12="INACTIVE",P12=""),0,IF(AO12="DISABLED",0,IF(AO12="FLAT",AR12,IF(AO12="MANUAL",IF(R12="",0,R12*AP12),IF(AO12="STEP",IF(Q12&lt;=AS12,Q12*AT12,IF(Q12&lt;=AU12,AS12*AT12+(Q12-AS12)*AV12,AS12*AT12+(AU12-AS12)*AV12+(Q12-AU12)*AX12)),MAX(Q12*AP12,AQ12))))))</f>
        <v/>
      </c>
      <c r="T12" s="26">
        <f>IF(OR(E12="INACTIVE",P12=""),0,IF(AY12="NONE",0,IF(AY12="FLAT",AZ12,IF(AY12="PER_UNIT",Q12*BA12,IF(AY12="MANUAL",IF(U12="",0,U12),0)))))</f>
        <v/>
      </c>
      <c r="U12" s="23" t="n"/>
      <c r="V12" s="25" t="n"/>
      <c r="W12" s="25" t="n"/>
      <c r="X12" s="26">
        <f>IF(E12="INACTIVE",0,D12+K12+L12+S12+T12+IF(V12="",0,V12)+IF(W12="",0,W12))</f>
        <v/>
      </c>
      <c r="Y12" s="27" t="n"/>
      <c r="Z12" s="28">
        <f>IF(E12="INACTIVE","_",IF(AND(G12&gt;0,H12&gt;0,H12&lt;G12),"[!]น้ำ reset ","")&amp;IF(AND(O12&gt;0,P12&gt;0,P12&lt;O12),"[!]ไฟ reset ","")&amp;IF(AND(F12="MANUAL",J12=""),"[X]units น้ำ ","")&amp;IF(AND(N12="MANUAL",R12=""),"[X]units ไฟ ","")&amp;IF(D12=0,"[!]ค่าเช่า=0",""))</f>
        <v/>
      </c>
      <c r="AA12" s="29">
        <f>IF(C12&lt;&gt;"",C12,CONFIG!$B$6)</f>
        <v/>
      </c>
      <c r="AB12" s="29">
        <f>IF(F12&lt;&gt;"",F12,IFERROR(VLOOKUP(AA12,RULES!$A:$C,3,0),CONFIG!$B$7))</f>
        <v/>
      </c>
      <c r="AC12" s="29">
        <f>IF(IFERROR(VLOOKUP(AA12,RULES!$A:$D,4,0),"")="",CONFIG!$B$10,VLOOKUP(AA12,RULES!$A:$D,4,0))</f>
        <v/>
      </c>
      <c r="AD12" s="29">
        <f>IF(IFERROR(VLOOKUP(AA12,RULES!$A:$E,5,0),"")="",CONFIG!$B$11,VLOOKUP(AA12,RULES!$A:$E,5,0))</f>
        <v/>
      </c>
      <c r="AE12" s="29">
        <f>IFERROR(VLOOKUP(AA12,RULES!$A:$F,6,0)*1,0)</f>
        <v/>
      </c>
      <c r="AF12" s="29">
        <f>IFERROR(VLOOKUP(AA12,RULES!$A:$G,7,0)*1,0)</f>
        <v/>
      </c>
      <c r="AG12" s="29">
        <f>IFERROR(VLOOKUP(AA12,RULES!$A:$H,8,0)*1,0)</f>
        <v/>
      </c>
      <c r="AH12" s="29">
        <f>IFERROR(VLOOKUP(AA12,RULES!$A:$I,9,0)*1,0)</f>
        <v/>
      </c>
      <c r="AI12" s="29">
        <f>IFERROR(VLOOKUP(AA12,RULES!$A:$J,10,0)*1,0)</f>
        <v/>
      </c>
      <c r="AJ12" s="29">
        <f>IFERROR(IF(VLOOKUP(AA12,RULES!$A:$K,11,0)="",999999,VLOOKUP(AA12,RULES!$A:$K,11,0)*1),999999)</f>
        <v/>
      </c>
      <c r="AK12" s="29">
        <f>IFERROR(VLOOKUP(AA12,RULES!$A:$L,12,0)*1,0)</f>
        <v/>
      </c>
      <c r="AL12" s="29">
        <f>IFERROR(VLOOKUP(AA12,RULES!$A:$M,13,0),"NONE")</f>
        <v/>
      </c>
      <c r="AM12" s="29">
        <f>IFERROR(VLOOKUP(AA12,RULES!$A:$N,14,0)*1,0)</f>
        <v/>
      </c>
      <c r="AN12" s="29">
        <f>IFERROR(VLOOKUP(AA12,RULES!$A:$O,15,0)*1,0)</f>
        <v/>
      </c>
      <c r="AO12" s="29">
        <f>IF(N12&lt;&gt;"",N12,IFERROR(VLOOKUP(AA12,RULES!$A:$P,16,0),CONFIG!$B$8))</f>
        <v/>
      </c>
      <c r="AP12" s="29">
        <f>IF(IFERROR(VLOOKUP(AA12,RULES!$A:$Q,17,0),"")="",CONFIG!$B$13,VLOOKUP(AA12,RULES!$A:$Q,17,0))</f>
        <v/>
      </c>
      <c r="AQ12" s="29">
        <f>IF(IFERROR(VLOOKUP(AA12,RULES!$A:$R,18,0),"")="",CONFIG!$B$14,VLOOKUP(AA12,RULES!$A:$R,18,0))</f>
        <v/>
      </c>
      <c r="AR12" s="29">
        <f>IFERROR(VLOOKUP(AA12,RULES!$A:$S,19,0)*1,0)</f>
        <v/>
      </c>
      <c r="AS12" s="29">
        <f>IFERROR(VLOOKUP(AA12,RULES!$A:$T,20,0)*1,0)</f>
        <v/>
      </c>
      <c r="AT12" s="29">
        <f>IFERROR(VLOOKUP(AA12,RULES!$A:$U,21,0)*1,0)</f>
        <v/>
      </c>
      <c r="AU12" s="29">
        <f>IFERROR(VLOOKUP(AA12,RULES!$A:$V,22,0)*1,0)</f>
        <v/>
      </c>
      <c r="AV12" s="29">
        <f>IFERROR(VLOOKUP(AA12,RULES!$A:$W,23,0)*1,0)</f>
        <v/>
      </c>
      <c r="AW12" s="29">
        <f>IFERROR(IF(VLOOKUP(AA12,RULES!$A:$X,24,0)="",999999,VLOOKUP(AA12,RULES!$A:$X,24,0)*1),999999)</f>
        <v/>
      </c>
      <c r="AX12" s="29">
        <f>IFERROR(VLOOKUP(AA12,RULES!$A:$Y,25,0)*1,0)</f>
        <v/>
      </c>
      <c r="AY12" s="29">
        <f>IFERROR(VLOOKUP(AA12,RULES!$A:$Z,26,0),"NONE")</f>
        <v/>
      </c>
      <c r="AZ12" s="29">
        <f>IFERROR(VLOOKUP(AA12,RULES!$A:$AA,27,0)*1,0)</f>
        <v/>
      </c>
      <c r="BA12" s="29">
        <f>IFERROR(VLOOKUP(AA12,RULES!$A:$AB,28,0)*1,0)</f>
        <v/>
      </c>
    </row>
    <row r="13" ht="17" customHeight="1">
      <c r="A13" s="22" t="inlineStr">
        <is>
          <t>3810</t>
        </is>
      </c>
      <c r="B13" s="48" t="inlineStr">
        <is>
          <t>ACC008</t>
        </is>
      </c>
      <c r="C13" s="48" t="inlineStr">
        <is>
          <t>DEFAULT</t>
        </is>
      </c>
      <c r="D13" s="47" t="n"/>
      <c r="E13" s="22">
        <f>IF(OR(D13="",D13=0),"INACTIVE","ACTIVE")</f>
        <v/>
      </c>
      <c r="F13" s="48" t="inlineStr">
        <is>
          <t>NORMAL</t>
        </is>
      </c>
      <c r="G13" s="25" t="n"/>
      <c r="H13" s="25" t="n"/>
      <c r="I13" s="26">
        <f>IF(OR(E13="INACTIVE",H13=""),0,MAX(0,H13-G13))</f>
        <v/>
      </c>
      <c r="J13" s="23" t="n"/>
      <c r="K13" s="26">
        <f>IF(OR(E13="INACTIVE",H13=""),0,IF(AB13="DISABLED",0,IF(AB13="FLAT",AE13,IF(AB13="MANUAL",IF(J13="",0,J13*AC13),IF(AB13="STEP",IF(I13&lt;=AF13,I13*AG13,IF(I13&lt;=AH13,AF13*AG13+(I13-AF13)*AI13,AF13*AG13+(AH13-AF13)*AI13+(I13-AH13)*AK13)),MAX(I13*AC13,AD13))))))</f>
        <v/>
      </c>
      <c r="L13" s="26">
        <f>IF(OR(E13="INACTIVE",H13=""),0,IF(AL13="NONE",0,IF(AL13="FLAT",AM13,IF(AL13="PER_UNIT",I13*AN13,IF(AL13="MANUAL",IF(M13="",0,M13),0)))))</f>
        <v/>
      </c>
      <c r="M13" s="23" t="n"/>
      <c r="N13" s="48" t="inlineStr">
        <is>
          <t>NORMAL</t>
        </is>
      </c>
      <c r="O13" s="25" t="n"/>
      <c r="P13" s="25" t="n"/>
      <c r="Q13" s="26">
        <f>IF(OR(E13="INACTIVE",P13=""),0,MAX(0,P13-O13))</f>
        <v/>
      </c>
      <c r="R13" s="23" t="n"/>
      <c r="S13" s="26">
        <f>IF(OR(E13="INACTIVE",P13=""),0,IF(AO13="DISABLED",0,IF(AO13="FLAT",AR13,IF(AO13="MANUAL",IF(R13="",0,R13*AP13),IF(AO13="STEP",IF(Q13&lt;=AS13,Q13*AT13,IF(Q13&lt;=AU13,AS13*AT13+(Q13-AS13)*AV13,AS13*AT13+(AU13-AS13)*AV13+(Q13-AU13)*AX13)),MAX(Q13*AP13,AQ13))))))</f>
        <v/>
      </c>
      <c r="T13" s="26">
        <f>IF(OR(E13="INACTIVE",P13=""),0,IF(AY13="NONE",0,IF(AY13="FLAT",AZ13,IF(AY13="PER_UNIT",Q13*BA13,IF(AY13="MANUAL",IF(U13="",0,U13),0)))))</f>
        <v/>
      </c>
      <c r="U13" s="23" t="n"/>
      <c r="V13" s="25" t="n"/>
      <c r="W13" s="25" t="n"/>
      <c r="X13" s="26">
        <f>IF(E13="INACTIVE",0,D13+K13+L13+S13+T13+IF(V13="",0,V13)+IF(W13="",0,W13))</f>
        <v/>
      </c>
      <c r="Y13" s="27" t="n"/>
      <c r="Z13" s="28">
        <f>IF(E13="INACTIVE","_",IF(AND(G13&gt;0,H13&gt;0,H13&lt;G13),"[!]น้ำ reset ","")&amp;IF(AND(O13&gt;0,P13&gt;0,P13&lt;O13),"[!]ไฟ reset ","")&amp;IF(AND(F13="MANUAL",J13=""),"[X]units น้ำ ","")&amp;IF(AND(N13="MANUAL",R13=""),"[X]units ไฟ ","")&amp;IF(D13=0,"[!]ค่าเช่า=0",""))</f>
        <v/>
      </c>
      <c r="AA13" s="29">
        <f>IF(C13&lt;&gt;"",C13,CONFIG!$B$6)</f>
        <v/>
      </c>
      <c r="AB13" s="29">
        <f>IF(F13&lt;&gt;"",F13,IFERROR(VLOOKUP(AA13,RULES!$A:$C,3,0),CONFIG!$B$7))</f>
        <v/>
      </c>
      <c r="AC13" s="29">
        <f>IF(IFERROR(VLOOKUP(AA13,RULES!$A:$D,4,0),"")="",CONFIG!$B$10,VLOOKUP(AA13,RULES!$A:$D,4,0))</f>
        <v/>
      </c>
      <c r="AD13" s="29">
        <f>IF(IFERROR(VLOOKUP(AA13,RULES!$A:$E,5,0),"")="",CONFIG!$B$11,VLOOKUP(AA13,RULES!$A:$E,5,0))</f>
        <v/>
      </c>
      <c r="AE13" s="29">
        <f>IFERROR(VLOOKUP(AA13,RULES!$A:$F,6,0)*1,0)</f>
        <v/>
      </c>
      <c r="AF13" s="29">
        <f>IFERROR(VLOOKUP(AA13,RULES!$A:$G,7,0)*1,0)</f>
        <v/>
      </c>
      <c r="AG13" s="29">
        <f>IFERROR(VLOOKUP(AA13,RULES!$A:$H,8,0)*1,0)</f>
        <v/>
      </c>
      <c r="AH13" s="29">
        <f>IFERROR(VLOOKUP(AA13,RULES!$A:$I,9,0)*1,0)</f>
        <v/>
      </c>
      <c r="AI13" s="29">
        <f>IFERROR(VLOOKUP(AA13,RULES!$A:$J,10,0)*1,0)</f>
        <v/>
      </c>
      <c r="AJ13" s="29">
        <f>IFERROR(IF(VLOOKUP(AA13,RULES!$A:$K,11,0)="",999999,VLOOKUP(AA13,RULES!$A:$K,11,0)*1),999999)</f>
        <v/>
      </c>
      <c r="AK13" s="29">
        <f>IFERROR(VLOOKUP(AA13,RULES!$A:$L,12,0)*1,0)</f>
        <v/>
      </c>
      <c r="AL13" s="29">
        <f>IFERROR(VLOOKUP(AA13,RULES!$A:$M,13,0),"NONE")</f>
        <v/>
      </c>
      <c r="AM13" s="29">
        <f>IFERROR(VLOOKUP(AA13,RULES!$A:$N,14,0)*1,0)</f>
        <v/>
      </c>
      <c r="AN13" s="29">
        <f>IFERROR(VLOOKUP(AA13,RULES!$A:$O,15,0)*1,0)</f>
        <v/>
      </c>
      <c r="AO13" s="29">
        <f>IF(N13&lt;&gt;"",N13,IFERROR(VLOOKUP(AA13,RULES!$A:$P,16,0),CONFIG!$B$8))</f>
        <v/>
      </c>
      <c r="AP13" s="29">
        <f>IF(IFERROR(VLOOKUP(AA13,RULES!$A:$Q,17,0),"")="",CONFIG!$B$13,VLOOKUP(AA13,RULES!$A:$Q,17,0))</f>
        <v/>
      </c>
      <c r="AQ13" s="29">
        <f>IF(IFERROR(VLOOKUP(AA13,RULES!$A:$R,18,0),"")="",CONFIG!$B$14,VLOOKUP(AA13,RULES!$A:$R,18,0))</f>
        <v/>
      </c>
      <c r="AR13" s="29">
        <f>IFERROR(VLOOKUP(AA13,RULES!$A:$S,19,0)*1,0)</f>
        <v/>
      </c>
      <c r="AS13" s="29">
        <f>IFERROR(VLOOKUP(AA13,RULES!$A:$T,20,0)*1,0)</f>
        <v/>
      </c>
      <c r="AT13" s="29">
        <f>IFERROR(VLOOKUP(AA13,RULES!$A:$U,21,0)*1,0)</f>
        <v/>
      </c>
      <c r="AU13" s="29">
        <f>IFERROR(VLOOKUP(AA13,RULES!$A:$V,22,0)*1,0)</f>
        <v/>
      </c>
      <c r="AV13" s="29">
        <f>IFERROR(VLOOKUP(AA13,RULES!$A:$W,23,0)*1,0)</f>
        <v/>
      </c>
      <c r="AW13" s="29">
        <f>IFERROR(IF(VLOOKUP(AA13,RULES!$A:$X,24,0)="",999999,VLOOKUP(AA13,RULES!$A:$X,24,0)*1),999999)</f>
        <v/>
      </c>
      <c r="AX13" s="29">
        <f>IFERROR(VLOOKUP(AA13,RULES!$A:$Y,25,0)*1,0)</f>
        <v/>
      </c>
      <c r="AY13" s="29">
        <f>IFERROR(VLOOKUP(AA13,RULES!$A:$Z,26,0),"NONE")</f>
        <v/>
      </c>
      <c r="AZ13" s="29">
        <f>IFERROR(VLOOKUP(AA13,RULES!$A:$AA,27,0)*1,0)</f>
        <v/>
      </c>
      <c r="BA13" s="29">
        <f>IFERROR(VLOOKUP(AA13,RULES!$A:$AB,28,0)*1,0)</f>
        <v/>
      </c>
    </row>
    <row r="14" ht="17" customHeight="1">
      <c r="A14" s="22" t="inlineStr">
        <is>
          <t>3811</t>
        </is>
      </c>
      <c r="B14" s="48" t="inlineStr">
        <is>
          <t>ACC008</t>
        </is>
      </c>
      <c r="C14" s="48" t="inlineStr">
        <is>
          <t>DEFAULT</t>
        </is>
      </c>
      <c r="D14" s="47" t="n"/>
      <c r="E14" s="22">
        <f>IF(OR(D14="",D14=0),"INACTIVE","ACTIVE")</f>
        <v/>
      </c>
      <c r="F14" s="48" t="inlineStr">
        <is>
          <t>NORMAL</t>
        </is>
      </c>
      <c r="G14" s="25" t="n"/>
      <c r="H14" s="25" t="n"/>
      <c r="I14" s="26">
        <f>IF(OR(E14="INACTIVE",H14=""),0,MAX(0,H14-G14))</f>
        <v/>
      </c>
      <c r="J14" s="23" t="n"/>
      <c r="K14" s="26">
        <f>IF(OR(E14="INACTIVE",H14=""),0,IF(AB14="DISABLED",0,IF(AB14="FLAT",AE14,IF(AB14="MANUAL",IF(J14="",0,J14*AC14),IF(AB14="STEP",IF(I14&lt;=AF14,I14*AG14,IF(I14&lt;=AH14,AF14*AG14+(I14-AF14)*AI14,AF14*AG14+(AH14-AF14)*AI14+(I14-AH14)*AK14)),MAX(I14*AC14,AD14))))))</f>
        <v/>
      </c>
      <c r="L14" s="26">
        <f>IF(OR(E14="INACTIVE",H14=""),0,IF(AL14="NONE",0,IF(AL14="FLAT",AM14,IF(AL14="PER_UNIT",I14*AN14,IF(AL14="MANUAL",IF(M14="",0,M14),0)))))</f>
        <v/>
      </c>
      <c r="M14" s="23" t="n"/>
      <c r="N14" s="48" t="inlineStr">
        <is>
          <t>NORMAL</t>
        </is>
      </c>
      <c r="O14" s="25" t="n"/>
      <c r="P14" s="25" t="n"/>
      <c r="Q14" s="26">
        <f>IF(OR(E14="INACTIVE",P14=""),0,MAX(0,P14-O14))</f>
        <v/>
      </c>
      <c r="R14" s="23" t="n"/>
      <c r="S14" s="26">
        <f>IF(OR(E14="INACTIVE",P14=""),0,IF(AO14="DISABLED",0,IF(AO14="FLAT",AR14,IF(AO14="MANUAL",IF(R14="",0,R14*AP14),IF(AO14="STEP",IF(Q14&lt;=AS14,Q14*AT14,IF(Q14&lt;=AU14,AS14*AT14+(Q14-AS14)*AV14,AS14*AT14+(AU14-AS14)*AV14+(Q14-AU14)*AX14)),MAX(Q14*AP14,AQ14))))))</f>
        <v/>
      </c>
      <c r="T14" s="26">
        <f>IF(OR(E14="INACTIVE",P14=""),0,IF(AY14="NONE",0,IF(AY14="FLAT",AZ14,IF(AY14="PER_UNIT",Q14*BA14,IF(AY14="MANUAL",IF(U14="",0,U14),0)))))</f>
        <v/>
      </c>
      <c r="U14" s="23" t="n"/>
      <c r="V14" s="25" t="n"/>
      <c r="W14" s="25" t="n"/>
      <c r="X14" s="26">
        <f>IF(E14="INACTIVE",0,D14+K14+L14+S14+T14+IF(V14="",0,V14)+IF(W14="",0,W14))</f>
        <v/>
      </c>
      <c r="Y14" s="27" t="n"/>
      <c r="Z14" s="28">
        <f>IF(E14="INACTIVE","_",IF(AND(G14&gt;0,H14&gt;0,H14&lt;G14),"[!]น้ำ reset ","")&amp;IF(AND(O14&gt;0,P14&gt;0,P14&lt;O14),"[!]ไฟ reset ","")&amp;IF(AND(F14="MANUAL",J14=""),"[X]units น้ำ ","")&amp;IF(AND(N14="MANUAL",R14=""),"[X]units ไฟ ","")&amp;IF(D14=0,"[!]ค่าเช่า=0",""))</f>
        <v/>
      </c>
      <c r="AA14" s="29">
        <f>IF(C14&lt;&gt;"",C14,CONFIG!$B$6)</f>
        <v/>
      </c>
      <c r="AB14" s="29">
        <f>IF(F14&lt;&gt;"",F14,IFERROR(VLOOKUP(AA14,RULES!$A:$C,3,0),CONFIG!$B$7))</f>
        <v/>
      </c>
      <c r="AC14" s="29">
        <f>IF(IFERROR(VLOOKUP(AA14,RULES!$A:$D,4,0),"")="",CONFIG!$B$10,VLOOKUP(AA14,RULES!$A:$D,4,0))</f>
        <v/>
      </c>
      <c r="AD14" s="29">
        <f>IF(IFERROR(VLOOKUP(AA14,RULES!$A:$E,5,0),"")="",CONFIG!$B$11,VLOOKUP(AA14,RULES!$A:$E,5,0))</f>
        <v/>
      </c>
      <c r="AE14" s="29">
        <f>IFERROR(VLOOKUP(AA14,RULES!$A:$F,6,0)*1,0)</f>
        <v/>
      </c>
      <c r="AF14" s="29">
        <f>IFERROR(VLOOKUP(AA14,RULES!$A:$G,7,0)*1,0)</f>
        <v/>
      </c>
      <c r="AG14" s="29">
        <f>IFERROR(VLOOKUP(AA14,RULES!$A:$H,8,0)*1,0)</f>
        <v/>
      </c>
      <c r="AH14" s="29">
        <f>IFERROR(VLOOKUP(AA14,RULES!$A:$I,9,0)*1,0)</f>
        <v/>
      </c>
      <c r="AI14" s="29">
        <f>IFERROR(VLOOKUP(AA14,RULES!$A:$J,10,0)*1,0)</f>
        <v/>
      </c>
      <c r="AJ14" s="29">
        <f>IFERROR(IF(VLOOKUP(AA14,RULES!$A:$K,11,0)="",999999,VLOOKUP(AA14,RULES!$A:$K,11,0)*1),999999)</f>
        <v/>
      </c>
      <c r="AK14" s="29">
        <f>IFERROR(VLOOKUP(AA14,RULES!$A:$L,12,0)*1,0)</f>
        <v/>
      </c>
      <c r="AL14" s="29">
        <f>IFERROR(VLOOKUP(AA14,RULES!$A:$M,13,0),"NONE")</f>
        <v/>
      </c>
      <c r="AM14" s="29">
        <f>IFERROR(VLOOKUP(AA14,RULES!$A:$N,14,0)*1,0)</f>
        <v/>
      </c>
      <c r="AN14" s="29">
        <f>IFERROR(VLOOKUP(AA14,RULES!$A:$O,15,0)*1,0)</f>
        <v/>
      </c>
      <c r="AO14" s="29">
        <f>IF(N14&lt;&gt;"",N14,IFERROR(VLOOKUP(AA14,RULES!$A:$P,16,0),CONFIG!$B$8))</f>
        <v/>
      </c>
      <c r="AP14" s="29">
        <f>IF(IFERROR(VLOOKUP(AA14,RULES!$A:$Q,17,0),"")="",CONFIG!$B$13,VLOOKUP(AA14,RULES!$A:$Q,17,0))</f>
        <v/>
      </c>
      <c r="AQ14" s="29">
        <f>IF(IFERROR(VLOOKUP(AA14,RULES!$A:$R,18,0),"")="",CONFIG!$B$14,VLOOKUP(AA14,RULES!$A:$R,18,0))</f>
        <v/>
      </c>
      <c r="AR14" s="29">
        <f>IFERROR(VLOOKUP(AA14,RULES!$A:$S,19,0)*1,0)</f>
        <v/>
      </c>
      <c r="AS14" s="29">
        <f>IFERROR(VLOOKUP(AA14,RULES!$A:$T,20,0)*1,0)</f>
        <v/>
      </c>
      <c r="AT14" s="29">
        <f>IFERROR(VLOOKUP(AA14,RULES!$A:$U,21,0)*1,0)</f>
        <v/>
      </c>
      <c r="AU14" s="29">
        <f>IFERROR(VLOOKUP(AA14,RULES!$A:$V,22,0)*1,0)</f>
        <v/>
      </c>
      <c r="AV14" s="29">
        <f>IFERROR(VLOOKUP(AA14,RULES!$A:$W,23,0)*1,0)</f>
        <v/>
      </c>
      <c r="AW14" s="29">
        <f>IFERROR(IF(VLOOKUP(AA14,RULES!$A:$X,24,0)="",999999,VLOOKUP(AA14,RULES!$A:$X,24,0)*1),999999)</f>
        <v/>
      </c>
      <c r="AX14" s="29">
        <f>IFERROR(VLOOKUP(AA14,RULES!$A:$Y,25,0)*1,0)</f>
        <v/>
      </c>
      <c r="AY14" s="29">
        <f>IFERROR(VLOOKUP(AA14,RULES!$A:$Z,26,0),"NONE")</f>
        <v/>
      </c>
      <c r="AZ14" s="29">
        <f>IFERROR(VLOOKUP(AA14,RULES!$A:$AA,27,0)*1,0)</f>
        <v/>
      </c>
      <c r="BA14" s="29">
        <f>IFERROR(VLOOKUP(AA14,RULES!$A:$AB,28,0)*1,0)</f>
        <v/>
      </c>
    </row>
    <row r="15" ht="17" customHeight="1">
      <c r="A15" s="22" t="inlineStr">
        <is>
          <t>3812</t>
        </is>
      </c>
      <c r="B15" s="48" t="inlineStr">
        <is>
          <t>ACC008</t>
        </is>
      </c>
      <c r="C15" s="48" t="inlineStr">
        <is>
          <t>DEFAULT</t>
        </is>
      </c>
      <c r="D15" s="47" t="n"/>
      <c r="E15" s="22">
        <f>IF(OR(D15="",D15=0),"INACTIVE","ACTIVE")</f>
        <v/>
      </c>
      <c r="F15" s="48" t="inlineStr">
        <is>
          <t>NORMAL</t>
        </is>
      </c>
      <c r="G15" s="25" t="n"/>
      <c r="H15" s="25" t="n"/>
      <c r="I15" s="26">
        <f>IF(OR(E15="INACTIVE",H15=""),0,MAX(0,H15-G15))</f>
        <v/>
      </c>
      <c r="J15" s="23" t="n"/>
      <c r="K15" s="26">
        <f>IF(OR(E15="INACTIVE",H15=""),0,IF(AB15="DISABLED",0,IF(AB15="FLAT",AE15,IF(AB15="MANUAL",IF(J15="",0,J15*AC15),IF(AB15="STEP",IF(I15&lt;=AF15,I15*AG15,IF(I15&lt;=AH15,AF15*AG15+(I15-AF15)*AI15,AF15*AG15+(AH15-AF15)*AI15+(I15-AH15)*AK15)),MAX(I15*AC15,AD15))))))</f>
        <v/>
      </c>
      <c r="L15" s="26">
        <f>IF(OR(E15="INACTIVE",H15=""),0,IF(AL15="NONE",0,IF(AL15="FLAT",AM15,IF(AL15="PER_UNIT",I15*AN15,IF(AL15="MANUAL",IF(M15="",0,M15),0)))))</f>
        <v/>
      </c>
      <c r="M15" s="23" t="n"/>
      <c r="N15" s="48" t="inlineStr">
        <is>
          <t>NORMAL</t>
        </is>
      </c>
      <c r="O15" s="25" t="n"/>
      <c r="P15" s="25" t="n"/>
      <c r="Q15" s="26">
        <f>IF(OR(E15="INACTIVE",P15=""),0,MAX(0,P15-O15))</f>
        <v/>
      </c>
      <c r="R15" s="23" t="n"/>
      <c r="S15" s="26">
        <f>IF(OR(E15="INACTIVE",P15=""),0,IF(AO15="DISABLED",0,IF(AO15="FLAT",AR15,IF(AO15="MANUAL",IF(R15="",0,R15*AP15),IF(AO15="STEP",IF(Q15&lt;=AS15,Q15*AT15,IF(Q15&lt;=AU15,AS15*AT15+(Q15-AS15)*AV15,AS15*AT15+(AU15-AS15)*AV15+(Q15-AU15)*AX15)),MAX(Q15*AP15,AQ15))))))</f>
        <v/>
      </c>
      <c r="T15" s="26">
        <f>IF(OR(E15="INACTIVE",P15=""),0,IF(AY15="NONE",0,IF(AY15="FLAT",AZ15,IF(AY15="PER_UNIT",Q15*BA15,IF(AY15="MANUAL",IF(U15="",0,U15),0)))))</f>
        <v/>
      </c>
      <c r="U15" s="23" t="n"/>
      <c r="V15" s="25" t="n"/>
      <c r="W15" s="25" t="n"/>
      <c r="X15" s="26">
        <f>IF(E15="INACTIVE",0,D15+K15+L15+S15+T15+IF(V15="",0,V15)+IF(W15="",0,W15))</f>
        <v/>
      </c>
      <c r="Y15" s="27" t="n"/>
      <c r="Z15" s="28">
        <f>IF(E15="INACTIVE","_",IF(AND(G15&gt;0,H15&gt;0,H15&lt;G15),"[!]น้ำ reset ","")&amp;IF(AND(O15&gt;0,P15&gt;0,P15&lt;O15),"[!]ไฟ reset ","")&amp;IF(AND(F15="MANUAL",J15=""),"[X]units น้ำ ","")&amp;IF(AND(N15="MANUAL",R15=""),"[X]units ไฟ ","")&amp;IF(D15=0,"[!]ค่าเช่า=0",""))</f>
        <v/>
      </c>
      <c r="AA15" s="29">
        <f>IF(C15&lt;&gt;"",C15,CONFIG!$B$6)</f>
        <v/>
      </c>
      <c r="AB15" s="29">
        <f>IF(F15&lt;&gt;"",F15,IFERROR(VLOOKUP(AA15,RULES!$A:$C,3,0),CONFIG!$B$7))</f>
        <v/>
      </c>
      <c r="AC15" s="29">
        <f>IF(IFERROR(VLOOKUP(AA15,RULES!$A:$D,4,0),"")="",CONFIG!$B$10,VLOOKUP(AA15,RULES!$A:$D,4,0))</f>
        <v/>
      </c>
      <c r="AD15" s="29">
        <f>IF(IFERROR(VLOOKUP(AA15,RULES!$A:$E,5,0),"")="",CONFIG!$B$11,VLOOKUP(AA15,RULES!$A:$E,5,0))</f>
        <v/>
      </c>
      <c r="AE15" s="29">
        <f>IFERROR(VLOOKUP(AA15,RULES!$A:$F,6,0)*1,0)</f>
        <v/>
      </c>
      <c r="AF15" s="29">
        <f>IFERROR(VLOOKUP(AA15,RULES!$A:$G,7,0)*1,0)</f>
        <v/>
      </c>
      <c r="AG15" s="29">
        <f>IFERROR(VLOOKUP(AA15,RULES!$A:$H,8,0)*1,0)</f>
        <v/>
      </c>
      <c r="AH15" s="29">
        <f>IFERROR(VLOOKUP(AA15,RULES!$A:$I,9,0)*1,0)</f>
        <v/>
      </c>
      <c r="AI15" s="29">
        <f>IFERROR(VLOOKUP(AA15,RULES!$A:$J,10,0)*1,0)</f>
        <v/>
      </c>
      <c r="AJ15" s="29">
        <f>IFERROR(IF(VLOOKUP(AA15,RULES!$A:$K,11,0)="",999999,VLOOKUP(AA15,RULES!$A:$K,11,0)*1),999999)</f>
        <v/>
      </c>
      <c r="AK15" s="29">
        <f>IFERROR(VLOOKUP(AA15,RULES!$A:$L,12,0)*1,0)</f>
        <v/>
      </c>
      <c r="AL15" s="29">
        <f>IFERROR(VLOOKUP(AA15,RULES!$A:$M,13,0),"NONE")</f>
        <v/>
      </c>
      <c r="AM15" s="29">
        <f>IFERROR(VLOOKUP(AA15,RULES!$A:$N,14,0)*1,0)</f>
        <v/>
      </c>
      <c r="AN15" s="29">
        <f>IFERROR(VLOOKUP(AA15,RULES!$A:$O,15,0)*1,0)</f>
        <v/>
      </c>
      <c r="AO15" s="29">
        <f>IF(N15&lt;&gt;"",N15,IFERROR(VLOOKUP(AA15,RULES!$A:$P,16,0),CONFIG!$B$8))</f>
        <v/>
      </c>
      <c r="AP15" s="29">
        <f>IF(IFERROR(VLOOKUP(AA15,RULES!$A:$Q,17,0),"")="",CONFIG!$B$13,VLOOKUP(AA15,RULES!$A:$Q,17,0))</f>
        <v/>
      </c>
      <c r="AQ15" s="29">
        <f>IF(IFERROR(VLOOKUP(AA15,RULES!$A:$R,18,0),"")="",CONFIG!$B$14,VLOOKUP(AA15,RULES!$A:$R,18,0))</f>
        <v/>
      </c>
      <c r="AR15" s="29">
        <f>IFERROR(VLOOKUP(AA15,RULES!$A:$S,19,0)*1,0)</f>
        <v/>
      </c>
      <c r="AS15" s="29">
        <f>IFERROR(VLOOKUP(AA15,RULES!$A:$T,20,0)*1,0)</f>
        <v/>
      </c>
      <c r="AT15" s="29">
        <f>IFERROR(VLOOKUP(AA15,RULES!$A:$U,21,0)*1,0)</f>
        <v/>
      </c>
      <c r="AU15" s="29">
        <f>IFERROR(VLOOKUP(AA15,RULES!$A:$V,22,0)*1,0)</f>
        <v/>
      </c>
      <c r="AV15" s="29">
        <f>IFERROR(VLOOKUP(AA15,RULES!$A:$W,23,0)*1,0)</f>
        <v/>
      </c>
      <c r="AW15" s="29">
        <f>IFERROR(IF(VLOOKUP(AA15,RULES!$A:$X,24,0)="",999999,VLOOKUP(AA15,RULES!$A:$X,24,0)*1),999999)</f>
        <v/>
      </c>
      <c r="AX15" s="29">
        <f>IFERROR(VLOOKUP(AA15,RULES!$A:$Y,25,0)*1,0)</f>
        <v/>
      </c>
      <c r="AY15" s="29">
        <f>IFERROR(VLOOKUP(AA15,RULES!$A:$Z,26,0),"NONE")</f>
        <v/>
      </c>
      <c r="AZ15" s="29">
        <f>IFERROR(VLOOKUP(AA15,RULES!$A:$AA,27,0)*1,0)</f>
        <v/>
      </c>
      <c r="BA15" s="29">
        <f>IFERROR(VLOOKUP(AA15,RULES!$A:$AB,28,0)*1,0)</f>
        <v/>
      </c>
    </row>
    <row r="16" ht="17" customHeight="1">
      <c r="A16" s="22" t="inlineStr">
        <is>
          <t>3813</t>
        </is>
      </c>
      <c r="B16" s="48" t="inlineStr">
        <is>
          <t>ACC008</t>
        </is>
      </c>
      <c r="C16" s="48" t="inlineStr">
        <is>
          <t>DEFAULT</t>
        </is>
      </c>
      <c r="D16" s="47" t="n"/>
      <c r="E16" s="22">
        <f>IF(OR(D16="",D16=0),"INACTIVE","ACTIVE")</f>
        <v/>
      </c>
      <c r="F16" s="48" t="inlineStr">
        <is>
          <t>NORMAL</t>
        </is>
      </c>
      <c r="G16" s="25" t="n"/>
      <c r="H16" s="25" t="n"/>
      <c r="I16" s="26">
        <f>IF(OR(E16="INACTIVE",H16=""),0,MAX(0,H16-G16))</f>
        <v/>
      </c>
      <c r="J16" s="23" t="n"/>
      <c r="K16" s="26">
        <f>IF(OR(E16="INACTIVE",H16=""),0,IF(AB16="DISABLED",0,IF(AB16="FLAT",AE16,IF(AB16="MANUAL",IF(J16="",0,J16*AC16),IF(AB16="STEP",IF(I16&lt;=AF16,I16*AG16,IF(I16&lt;=AH16,AF16*AG16+(I16-AF16)*AI16,AF16*AG16+(AH16-AF16)*AI16+(I16-AH16)*AK16)),MAX(I16*AC16,AD16))))))</f>
        <v/>
      </c>
      <c r="L16" s="26">
        <f>IF(OR(E16="INACTIVE",H16=""),0,IF(AL16="NONE",0,IF(AL16="FLAT",AM16,IF(AL16="PER_UNIT",I16*AN16,IF(AL16="MANUAL",IF(M16="",0,M16),0)))))</f>
        <v/>
      </c>
      <c r="M16" s="23" t="n"/>
      <c r="N16" s="48" t="inlineStr">
        <is>
          <t>NORMAL</t>
        </is>
      </c>
      <c r="O16" s="25" t="n"/>
      <c r="P16" s="25" t="n"/>
      <c r="Q16" s="26">
        <f>IF(OR(E16="INACTIVE",P16=""),0,MAX(0,P16-O16))</f>
        <v/>
      </c>
      <c r="R16" s="23" t="n"/>
      <c r="S16" s="26">
        <f>IF(OR(E16="INACTIVE",P16=""),0,IF(AO16="DISABLED",0,IF(AO16="FLAT",AR16,IF(AO16="MANUAL",IF(R16="",0,R16*AP16),IF(AO16="STEP",IF(Q16&lt;=AS16,Q16*AT16,IF(Q16&lt;=AU16,AS16*AT16+(Q16-AS16)*AV16,AS16*AT16+(AU16-AS16)*AV16+(Q16-AU16)*AX16)),MAX(Q16*AP16,AQ16))))))</f>
        <v/>
      </c>
      <c r="T16" s="26">
        <f>IF(OR(E16="INACTIVE",P16=""),0,IF(AY16="NONE",0,IF(AY16="FLAT",AZ16,IF(AY16="PER_UNIT",Q16*BA16,IF(AY16="MANUAL",IF(U16="",0,U16),0)))))</f>
        <v/>
      </c>
      <c r="U16" s="23" t="n"/>
      <c r="V16" s="25" t="n"/>
      <c r="W16" s="25" t="n"/>
      <c r="X16" s="26">
        <f>IF(E16="INACTIVE",0,D16+K16+L16+S16+T16+IF(V16="",0,V16)+IF(W16="",0,W16))</f>
        <v/>
      </c>
      <c r="Y16" s="27" t="n"/>
      <c r="Z16" s="28">
        <f>IF(E16="INACTIVE","_",IF(AND(G16&gt;0,H16&gt;0,H16&lt;G16),"[!]น้ำ reset ","")&amp;IF(AND(O16&gt;0,P16&gt;0,P16&lt;O16),"[!]ไฟ reset ","")&amp;IF(AND(F16="MANUAL",J16=""),"[X]units น้ำ ","")&amp;IF(AND(N16="MANUAL",R16=""),"[X]units ไฟ ","")&amp;IF(D16=0,"[!]ค่าเช่า=0",""))</f>
        <v/>
      </c>
      <c r="AA16" s="29">
        <f>IF(C16&lt;&gt;"",C16,CONFIG!$B$6)</f>
        <v/>
      </c>
      <c r="AB16" s="29">
        <f>IF(F16&lt;&gt;"",F16,IFERROR(VLOOKUP(AA16,RULES!$A:$C,3,0),CONFIG!$B$7))</f>
        <v/>
      </c>
      <c r="AC16" s="29">
        <f>IF(IFERROR(VLOOKUP(AA16,RULES!$A:$D,4,0),"")="",CONFIG!$B$10,VLOOKUP(AA16,RULES!$A:$D,4,0))</f>
        <v/>
      </c>
      <c r="AD16" s="29">
        <f>IF(IFERROR(VLOOKUP(AA16,RULES!$A:$E,5,0),"")="",CONFIG!$B$11,VLOOKUP(AA16,RULES!$A:$E,5,0))</f>
        <v/>
      </c>
      <c r="AE16" s="29">
        <f>IFERROR(VLOOKUP(AA16,RULES!$A:$F,6,0)*1,0)</f>
        <v/>
      </c>
      <c r="AF16" s="29">
        <f>IFERROR(VLOOKUP(AA16,RULES!$A:$G,7,0)*1,0)</f>
        <v/>
      </c>
      <c r="AG16" s="29">
        <f>IFERROR(VLOOKUP(AA16,RULES!$A:$H,8,0)*1,0)</f>
        <v/>
      </c>
      <c r="AH16" s="29">
        <f>IFERROR(VLOOKUP(AA16,RULES!$A:$I,9,0)*1,0)</f>
        <v/>
      </c>
      <c r="AI16" s="29">
        <f>IFERROR(VLOOKUP(AA16,RULES!$A:$J,10,0)*1,0)</f>
        <v/>
      </c>
      <c r="AJ16" s="29">
        <f>IFERROR(IF(VLOOKUP(AA16,RULES!$A:$K,11,0)="",999999,VLOOKUP(AA16,RULES!$A:$K,11,0)*1),999999)</f>
        <v/>
      </c>
      <c r="AK16" s="29">
        <f>IFERROR(VLOOKUP(AA16,RULES!$A:$L,12,0)*1,0)</f>
        <v/>
      </c>
      <c r="AL16" s="29">
        <f>IFERROR(VLOOKUP(AA16,RULES!$A:$M,13,0),"NONE")</f>
        <v/>
      </c>
      <c r="AM16" s="29">
        <f>IFERROR(VLOOKUP(AA16,RULES!$A:$N,14,0)*1,0)</f>
        <v/>
      </c>
      <c r="AN16" s="29">
        <f>IFERROR(VLOOKUP(AA16,RULES!$A:$O,15,0)*1,0)</f>
        <v/>
      </c>
      <c r="AO16" s="29">
        <f>IF(N16&lt;&gt;"",N16,IFERROR(VLOOKUP(AA16,RULES!$A:$P,16,0),CONFIG!$B$8))</f>
        <v/>
      </c>
      <c r="AP16" s="29">
        <f>IF(IFERROR(VLOOKUP(AA16,RULES!$A:$Q,17,0),"")="",CONFIG!$B$13,VLOOKUP(AA16,RULES!$A:$Q,17,0))</f>
        <v/>
      </c>
      <c r="AQ16" s="29">
        <f>IF(IFERROR(VLOOKUP(AA16,RULES!$A:$R,18,0),"")="",CONFIG!$B$14,VLOOKUP(AA16,RULES!$A:$R,18,0))</f>
        <v/>
      </c>
      <c r="AR16" s="29">
        <f>IFERROR(VLOOKUP(AA16,RULES!$A:$S,19,0)*1,0)</f>
        <v/>
      </c>
      <c r="AS16" s="29">
        <f>IFERROR(VLOOKUP(AA16,RULES!$A:$T,20,0)*1,0)</f>
        <v/>
      </c>
      <c r="AT16" s="29">
        <f>IFERROR(VLOOKUP(AA16,RULES!$A:$U,21,0)*1,0)</f>
        <v/>
      </c>
      <c r="AU16" s="29">
        <f>IFERROR(VLOOKUP(AA16,RULES!$A:$V,22,0)*1,0)</f>
        <v/>
      </c>
      <c r="AV16" s="29">
        <f>IFERROR(VLOOKUP(AA16,RULES!$A:$W,23,0)*1,0)</f>
        <v/>
      </c>
      <c r="AW16" s="29">
        <f>IFERROR(IF(VLOOKUP(AA16,RULES!$A:$X,24,0)="",999999,VLOOKUP(AA16,RULES!$A:$X,24,0)*1),999999)</f>
        <v/>
      </c>
      <c r="AX16" s="29">
        <f>IFERROR(VLOOKUP(AA16,RULES!$A:$Y,25,0)*1,0)</f>
        <v/>
      </c>
      <c r="AY16" s="29">
        <f>IFERROR(VLOOKUP(AA16,RULES!$A:$Z,26,0),"NONE")</f>
        <v/>
      </c>
      <c r="AZ16" s="29">
        <f>IFERROR(VLOOKUP(AA16,RULES!$A:$AA,27,0)*1,0)</f>
        <v/>
      </c>
      <c r="BA16" s="29">
        <f>IFERROR(VLOOKUP(AA16,RULES!$A:$AB,28,0)*1,0)</f>
        <v/>
      </c>
    </row>
    <row r="17" ht="17" customHeight="1">
      <c r="A17" s="22" t="inlineStr">
        <is>
          <t>3814</t>
        </is>
      </c>
      <c r="B17" s="48" t="inlineStr">
        <is>
          <t>ACC008</t>
        </is>
      </c>
      <c r="C17" s="48" t="inlineStr">
        <is>
          <t>DEFAULT</t>
        </is>
      </c>
      <c r="D17" s="47" t="n"/>
      <c r="E17" s="22">
        <f>IF(OR(D17="",D17=0),"INACTIVE","ACTIVE")</f>
        <v/>
      </c>
      <c r="F17" s="48" t="inlineStr">
        <is>
          <t>NORMAL</t>
        </is>
      </c>
      <c r="G17" s="25" t="n"/>
      <c r="H17" s="25" t="n"/>
      <c r="I17" s="26">
        <f>IF(OR(E17="INACTIVE",H17=""),0,MAX(0,H17-G17))</f>
        <v/>
      </c>
      <c r="J17" s="23" t="n"/>
      <c r="K17" s="26">
        <f>IF(OR(E17="INACTIVE",H17=""),0,IF(AB17="DISABLED",0,IF(AB17="FLAT",AE17,IF(AB17="MANUAL",IF(J17="",0,J17*AC17),IF(AB17="STEP",IF(I17&lt;=AF17,I17*AG17,IF(I17&lt;=AH17,AF17*AG17+(I17-AF17)*AI17,AF17*AG17+(AH17-AF17)*AI17+(I17-AH17)*AK17)),MAX(I17*AC17,AD17))))))</f>
        <v/>
      </c>
      <c r="L17" s="26">
        <f>IF(OR(E17="INACTIVE",H17=""),0,IF(AL17="NONE",0,IF(AL17="FLAT",AM17,IF(AL17="PER_UNIT",I17*AN17,IF(AL17="MANUAL",IF(M17="",0,M17),0)))))</f>
        <v/>
      </c>
      <c r="M17" s="23" t="n"/>
      <c r="N17" s="48" t="inlineStr">
        <is>
          <t>NORMAL</t>
        </is>
      </c>
      <c r="O17" s="25" t="n"/>
      <c r="P17" s="25" t="n"/>
      <c r="Q17" s="26">
        <f>IF(OR(E17="INACTIVE",P17=""),0,MAX(0,P17-O17))</f>
        <v/>
      </c>
      <c r="R17" s="23" t="n"/>
      <c r="S17" s="26">
        <f>IF(OR(E17="INACTIVE",P17=""),0,IF(AO17="DISABLED",0,IF(AO17="FLAT",AR17,IF(AO17="MANUAL",IF(R17="",0,R17*AP17),IF(AO17="STEP",IF(Q17&lt;=AS17,Q17*AT17,IF(Q17&lt;=AU17,AS17*AT17+(Q17-AS17)*AV17,AS17*AT17+(AU17-AS17)*AV17+(Q17-AU17)*AX17)),MAX(Q17*AP17,AQ17))))))</f>
        <v/>
      </c>
      <c r="T17" s="26">
        <f>IF(OR(E17="INACTIVE",P17=""),0,IF(AY17="NONE",0,IF(AY17="FLAT",AZ17,IF(AY17="PER_UNIT",Q17*BA17,IF(AY17="MANUAL",IF(U17="",0,U17),0)))))</f>
        <v/>
      </c>
      <c r="U17" s="23" t="n"/>
      <c r="V17" s="25" t="n"/>
      <c r="W17" s="25" t="n"/>
      <c r="X17" s="26">
        <f>IF(E17="INACTIVE",0,D17+K17+L17+S17+T17+IF(V17="",0,V17)+IF(W17="",0,W17))</f>
        <v/>
      </c>
      <c r="Y17" s="27" t="n"/>
      <c r="Z17" s="28">
        <f>IF(E17="INACTIVE","_",IF(AND(G17&gt;0,H17&gt;0,H17&lt;G17),"[!]น้ำ reset ","")&amp;IF(AND(O17&gt;0,P17&gt;0,P17&lt;O17),"[!]ไฟ reset ","")&amp;IF(AND(F17="MANUAL",J17=""),"[X]units น้ำ ","")&amp;IF(AND(N17="MANUAL",R17=""),"[X]units ไฟ ","")&amp;IF(D17=0,"[!]ค่าเช่า=0",""))</f>
        <v/>
      </c>
      <c r="AA17" s="29">
        <f>IF(C17&lt;&gt;"",C17,CONFIG!$B$6)</f>
        <v/>
      </c>
      <c r="AB17" s="29">
        <f>IF(F17&lt;&gt;"",F17,IFERROR(VLOOKUP(AA17,RULES!$A:$C,3,0),CONFIG!$B$7))</f>
        <v/>
      </c>
      <c r="AC17" s="29">
        <f>IF(IFERROR(VLOOKUP(AA17,RULES!$A:$D,4,0),"")="",CONFIG!$B$10,VLOOKUP(AA17,RULES!$A:$D,4,0))</f>
        <v/>
      </c>
      <c r="AD17" s="29">
        <f>IF(IFERROR(VLOOKUP(AA17,RULES!$A:$E,5,0),"")="",CONFIG!$B$11,VLOOKUP(AA17,RULES!$A:$E,5,0))</f>
        <v/>
      </c>
      <c r="AE17" s="29">
        <f>IFERROR(VLOOKUP(AA17,RULES!$A:$F,6,0)*1,0)</f>
        <v/>
      </c>
      <c r="AF17" s="29">
        <f>IFERROR(VLOOKUP(AA17,RULES!$A:$G,7,0)*1,0)</f>
        <v/>
      </c>
      <c r="AG17" s="29">
        <f>IFERROR(VLOOKUP(AA17,RULES!$A:$H,8,0)*1,0)</f>
        <v/>
      </c>
      <c r="AH17" s="29">
        <f>IFERROR(VLOOKUP(AA17,RULES!$A:$I,9,0)*1,0)</f>
        <v/>
      </c>
      <c r="AI17" s="29">
        <f>IFERROR(VLOOKUP(AA17,RULES!$A:$J,10,0)*1,0)</f>
        <v/>
      </c>
      <c r="AJ17" s="29">
        <f>IFERROR(IF(VLOOKUP(AA17,RULES!$A:$K,11,0)="",999999,VLOOKUP(AA17,RULES!$A:$K,11,0)*1),999999)</f>
        <v/>
      </c>
      <c r="AK17" s="29">
        <f>IFERROR(VLOOKUP(AA17,RULES!$A:$L,12,0)*1,0)</f>
        <v/>
      </c>
      <c r="AL17" s="29">
        <f>IFERROR(VLOOKUP(AA17,RULES!$A:$M,13,0),"NONE")</f>
        <v/>
      </c>
      <c r="AM17" s="29">
        <f>IFERROR(VLOOKUP(AA17,RULES!$A:$N,14,0)*1,0)</f>
        <v/>
      </c>
      <c r="AN17" s="29">
        <f>IFERROR(VLOOKUP(AA17,RULES!$A:$O,15,0)*1,0)</f>
        <v/>
      </c>
      <c r="AO17" s="29">
        <f>IF(N17&lt;&gt;"",N17,IFERROR(VLOOKUP(AA17,RULES!$A:$P,16,0),CONFIG!$B$8))</f>
        <v/>
      </c>
      <c r="AP17" s="29">
        <f>IF(IFERROR(VLOOKUP(AA17,RULES!$A:$Q,17,0),"")="",CONFIG!$B$13,VLOOKUP(AA17,RULES!$A:$Q,17,0))</f>
        <v/>
      </c>
      <c r="AQ17" s="29">
        <f>IF(IFERROR(VLOOKUP(AA17,RULES!$A:$R,18,0),"")="",CONFIG!$B$14,VLOOKUP(AA17,RULES!$A:$R,18,0))</f>
        <v/>
      </c>
      <c r="AR17" s="29">
        <f>IFERROR(VLOOKUP(AA17,RULES!$A:$S,19,0)*1,0)</f>
        <v/>
      </c>
      <c r="AS17" s="29">
        <f>IFERROR(VLOOKUP(AA17,RULES!$A:$T,20,0)*1,0)</f>
        <v/>
      </c>
      <c r="AT17" s="29">
        <f>IFERROR(VLOOKUP(AA17,RULES!$A:$U,21,0)*1,0)</f>
        <v/>
      </c>
      <c r="AU17" s="29">
        <f>IFERROR(VLOOKUP(AA17,RULES!$A:$V,22,0)*1,0)</f>
        <v/>
      </c>
      <c r="AV17" s="29">
        <f>IFERROR(VLOOKUP(AA17,RULES!$A:$W,23,0)*1,0)</f>
        <v/>
      </c>
      <c r="AW17" s="29">
        <f>IFERROR(IF(VLOOKUP(AA17,RULES!$A:$X,24,0)="",999999,VLOOKUP(AA17,RULES!$A:$X,24,0)*1),999999)</f>
        <v/>
      </c>
      <c r="AX17" s="29">
        <f>IFERROR(VLOOKUP(AA17,RULES!$A:$Y,25,0)*1,0)</f>
        <v/>
      </c>
      <c r="AY17" s="29">
        <f>IFERROR(VLOOKUP(AA17,RULES!$A:$Z,26,0),"NONE")</f>
        <v/>
      </c>
      <c r="AZ17" s="29">
        <f>IFERROR(VLOOKUP(AA17,RULES!$A:$AA,27,0)*1,0)</f>
        <v/>
      </c>
      <c r="BA17" s="29">
        <f>IFERROR(VLOOKUP(AA17,RULES!$A:$AB,28,0)*1,0)</f>
        <v/>
      </c>
    </row>
    <row r="18" ht="17" customHeight="1">
      <c r="A18" s="22" t="inlineStr">
        <is>
          <t>3815</t>
        </is>
      </c>
      <c r="B18" s="48" t="inlineStr">
        <is>
          <t>ACC008</t>
        </is>
      </c>
      <c r="C18" s="48" t="inlineStr">
        <is>
          <t>DEFAULT</t>
        </is>
      </c>
      <c r="D18" s="47" t="n"/>
      <c r="E18" s="22">
        <f>IF(OR(D18="",D18=0),"INACTIVE","ACTIVE")</f>
        <v/>
      </c>
      <c r="F18" s="48" t="inlineStr">
        <is>
          <t>NORMAL</t>
        </is>
      </c>
      <c r="G18" s="25" t="n"/>
      <c r="H18" s="25" t="n"/>
      <c r="I18" s="26">
        <f>IF(OR(E18="INACTIVE",H18=""),0,MAX(0,H18-G18))</f>
        <v/>
      </c>
      <c r="J18" s="23" t="n"/>
      <c r="K18" s="26">
        <f>IF(OR(E18="INACTIVE",H18=""),0,IF(AB18="DISABLED",0,IF(AB18="FLAT",AE18,IF(AB18="MANUAL",IF(J18="",0,J18*AC18),IF(AB18="STEP",IF(I18&lt;=AF18,I18*AG18,IF(I18&lt;=AH18,AF18*AG18+(I18-AF18)*AI18,AF18*AG18+(AH18-AF18)*AI18+(I18-AH18)*AK18)),MAX(I18*AC18,AD18))))))</f>
        <v/>
      </c>
      <c r="L18" s="26">
        <f>IF(OR(E18="INACTIVE",H18=""),0,IF(AL18="NONE",0,IF(AL18="FLAT",AM18,IF(AL18="PER_UNIT",I18*AN18,IF(AL18="MANUAL",IF(M18="",0,M18),0)))))</f>
        <v/>
      </c>
      <c r="M18" s="23" t="n"/>
      <c r="N18" s="48" t="inlineStr">
        <is>
          <t>NORMAL</t>
        </is>
      </c>
      <c r="O18" s="25" t="n"/>
      <c r="P18" s="25" t="n"/>
      <c r="Q18" s="26">
        <f>IF(OR(E18="INACTIVE",P18=""),0,MAX(0,P18-O18))</f>
        <v/>
      </c>
      <c r="R18" s="23" t="n"/>
      <c r="S18" s="26">
        <f>IF(OR(E18="INACTIVE",P18=""),0,IF(AO18="DISABLED",0,IF(AO18="FLAT",AR18,IF(AO18="MANUAL",IF(R18="",0,R18*AP18),IF(AO18="STEP",IF(Q18&lt;=AS18,Q18*AT18,IF(Q18&lt;=AU18,AS18*AT18+(Q18-AS18)*AV18,AS18*AT18+(AU18-AS18)*AV18+(Q18-AU18)*AX18)),MAX(Q18*AP18,AQ18))))))</f>
        <v/>
      </c>
      <c r="T18" s="26">
        <f>IF(OR(E18="INACTIVE",P18=""),0,IF(AY18="NONE",0,IF(AY18="FLAT",AZ18,IF(AY18="PER_UNIT",Q18*BA18,IF(AY18="MANUAL",IF(U18="",0,U18),0)))))</f>
        <v/>
      </c>
      <c r="U18" s="23" t="n"/>
      <c r="V18" s="25" t="n"/>
      <c r="W18" s="25" t="n"/>
      <c r="X18" s="26">
        <f>IF(E18="INACTIVE",0,D18+K18+L18+S18+T18+IF(V18="",0,V18)+IF(W18="",0,W18))</f>
        <v/>
      </c>
      <c r="Y18" s="27" t="n"/>
      <c r="Z18" s="28">
        <f>IF(E18="INACTIVE","_",IF(AND(G18&gt;0,H18&gt;0,H18&lt;G18),"[!]น้ำ reset ","")&amp;IF(AND(O18&gt;0,P18&gt;0,P18&lt;O18),"[!]ไฟ reset ","")&amp;IF(AND(F18="MANUAL",J18=""),"[X]units น้ำ ","")&amp;IF(AND(N18="MANUAL",R18=""),"[X]units ไฟ ","")&amp;IF(D18=0,"[!]ค่าเช่า=0",""))</f>
        <v/>
      </c>
      <c r="AA18" s="29">
        <f>IF(C18&lt;&gt;"",C18,CONFIG!$B$6)</f>
        <v/>
      </c>
      <c r="AB18" s="29">
        <f>IF(F18&lt;&gt;"",F18,IFERROR(VLOOKUP(AA18,RULES!$A:$C,3,0),CONFIG!$B$7))</f>
        <v/>
      </c>
      <c r="AC18" s="29">
        <f>IF(IFERROR(VLOOKUP(AA18,RULES!$A:$D,4,0),"")="",CONFIG!$B$10,VLOOKUP(AA18,RULES!$A:$D,4,0))</f>
        <v/>
      </c>
      <c r="AD18" s="29">
        <f>IF(IFERROR(VLOOKUP(AA18,RULES!$A:$E,5,0),"")="",CONFIG!$B$11,VLOOKUP(AA18,RULES!$A:$E,5,0))</f>
        <v/>
      </c>
      <c r="AE18" s="29">
        <f>IFERROR(VLOOKUP(AA18,RULES!$A:$F,6,0)*1,0)</f>
        <v/>
      </c>
      <c r="AF18" s="29">
        <f>IFERROR(VLOOKUP(AA18,RULES!$A:$G,7,0)*1,0)</f>
        <v/>
      </c>
      <c r="AG18" s="29">
        <f>IFERROR(VLOOKUP(AA18,RULES!$A:$H,8,0)*1,0)</f>
        <v/>
      </c>
      <c r="AH18" s="29">
        <f>IFERROR(VLOOKUP(AA18,RULES!$A:$I,9,0)*1,0)</f>
        <v/>
      </c>
      <c r="AI18" s="29">
        <f>IFERROR(VLOOKUP(AA18,RULES!$A:$J,10,0)*1,0)</f>
        <v/>
      </c>
      <c r="AJ18" s="29">
        <f>IFERROR(IF(VLOOKUP(AA18,RULES!$A:$K,11,0)="",999999,VLOOKUP(AA18,RULES!$A:$K,11,0)*1),999999)</f>
        <v/>
      </c>
      <c r="AK18" s="29">
        <f>IFERROR(VLOOKUP(AA18,RULES!$A:$L,12,0)*1,0)</f>
        <v/>
      </c>
      <c r="AL18" s="29">
        <f>IFERROR(VLOOKUP(AA18,RULES!$A:$M,13,0),"NONE")</f>
        <v/>
      </c>
      <c r="AM18" s="29">
        <f>IFERROR(VLOOKUP(AA18,RULES!$A:$N,14,0)*1,0)</f>
        <v/>
      </c>
      <c r="AN18" s="29">
        <f>IFERROR(VLOOKUP(AA18,RULES!$A:$O,15,0)*1,0)</f>
        <v/>
      </c>
      <c r="AO18" s="29">
        <f>IF(N18&lt;&gt;"",N18,IFERROR(VLOOKUP(AA18,RULES!$A:$P,16,0),CONFIG!$B$8))</f>
        <v/>
      </c>
      <c r="AP18" s="29">
        <f>IF(IFERROR(VLOOKUP(AA18,RULES!$A:$Q,17,0),"")="",CONFIG!$B$13,VLOOKUP(AA18,RULES!$A:$Q,17,0))</f>
        <v/>
      </c>
      <c r="AQ18" s="29">
        <f>IF(IFERROR(VLOOKUP(AA18,RULES!$A:$R,18,0),"")="",CONFIG!$B$14,VLOOKUP(AA18,RULES!$A:$R,18,0))</f>
        <v/>
      </c>
      <c r="AR18" s="29">
        <f>IFERROR(VLOOKUP(AA18,RULES!$A:$S,19,0)*1,0)</f>
        <v/>
      </c>
      <c r="AS18" s="29">
        <f>IFERROR(VLOOKUP(AA18,RULES!$A:$T,20,0)*1,0)</f>
        <v/>
      </c>
      <c r="AT18" s="29">
        <f>IFERROR(VLOOKUP(AA18,RULES!$A:$U,21,0)*1,0)</f>
        <v/>
      </c>
      <c r="AU18" s="29">
        <f>IFERROR(VLOOKUP(AA18,RULES!$A:$V,22,0)*1,0)</f>
        <v/>
      </c>
      <c r="AV18" s="29">
        <f>IFERROR(VLOOKUP(AA18,RULES!$A:$W,23,0)*1,0)</f>
        <v/>
      </c>
      <c r="AW18" s="29">
        <f>IFERROR(IF(VLOOKUP(AA18,RULES!$A:$X,24,0)="",999999,VLOOKUP(AA18,RULES!$A:$X,24,0)*1),999999)</f>
        <v/>
      </c>
      <c r="AX18" s="29">
        <f>IFERROR(VLOOKUP(AA18,RULES!$A:$Y,25,0)*1,0)</f>
        <v/>
      </c>
      <c r="AY18" s="29">
        <f>IFERROR(VLOOKUP(AA18,RULES!$A:$Z,26,0),"NONE")</f>
        <v/>
      </c>
      <c r="AZ18" s="29">
        <f>IFERROR(VLOOKUP(AA18,RULES!$A:$AA,27,0)*1,0)</f>
        <v/>
      </c>
      <c r="BA18" s="29">
        <f>IFERROR(VLOOKUP(AA18,RULES!$A:$AB,28,0)*1,0)</f>
        <v/>
      </c>
    </row>
    <row r="19" ht="17" customHeight="1">
      <c r="A19" s="22" t="inlineStr">
        <is>
          <t>3816</t>
        </is>
      </c>
      <c r="B19" s="48" t="inlineStr">
        <is>
          <t>ACC008</t>
        </is>
      </c>
      <c r="C19" s="48" t="inlineStr">
        <is>
          <t>DEFAULT</t>
        </is>
      </c>
      <c r="D19" s="47" t="n"/>
      <c r="E19" s="22">
        <f>IF(OR(D19="",D19=0),"INACTIVE","ACTIVE")</f>
        <v/>
      </c>
      <c r="F19" s="48" t="inlineStr">
        <is>
          <t>NORMAL</t>
        </is>
      </c>
      <c r="G19" s="25" t="n"/>
      <c r="H19" s="25" t="n"/>
      <c r="I19" s="26">
        <f>IF(OR(E19="INACTIVE",H19=""),0,MAX(0,H19-G19))</f>
        <v/>
      </c>
      <c r="J19" s="23" t="n"/>
      <c r="K19" s="26">
        <f>IF(OR(E19="INACTIVE",H19=""),0,IF(AB19="DISABLED",0,IF(AB19="FLAT",AE19,IF(AB19="MANUAL",IF(J19="",0,J19*AC19),IF(AB19="STEP",IF(I19&lt;=AF19,I19*AG19,IF(I19&lt;=AH19,AF19*AG19+(I19-AF19)*AI19,AF19*AG19+(AH19-AF19)*AI19+(I19-AH19)*AK19)),MAX(I19*AC19,AD19))))))</f>
        <v/>
      </c>
      <c r="L19" s="26">
        <f>IF(OR(E19="INACTIVE",H19=""),0,IF(AL19="NONE",0,IF(AL19="FLAT",AM19,IF(AL19="PER_UNIT",I19*AN19,IF(AL19="MANUAL",IF(M19="",0,M19),0)))))</f>
        <v/>
      </c>
      <c r="M19" s="23" t="n"/>
      <c r="N19" s="48" t="inlineStr">
        <is>
          <t>NORMAL</t>
        </is>
      </c>
      <c r="O19" s="25" t="n"/>
      <c r="P19" s="25" t="n"/>
      <c r="Q19" s="26">
        <f>IF(OR(E19="INACTIVE",P19=""),0,MAX(0,P19-O19))</f>
        <v/>
      </c>
      <c r="R19" s="23" t="n"/>
      <c r="S19" s="26">
        <f>IF(OR(E19="INACTIVE",P19=""),0,IF(AO19="DISABLED",0,IF(AO19="FLAT",AR19,IF(AO19="MANUAL",IF(R19="",0,R19*AP19),IF(AO19="STEP",IF(Q19&lt;=AS19,Q19*AT19,IF(Q19&lt;=AU19,AS19*AT19+(Q19-AS19)*AV19,AS19*AT19+(AU19-AS19)*AV19+(Q19-AU19)*AX19)),MAX(Q19*AP19,AQ19))))))</f>
        <v/>
      </c>
      <c r="T19" s="26">
        <f>IF(OR(E19="INACTIVE",P19=""),0,IF(AY19="NONE",0,IF(AY19="FLAT",AZ19,IF(AY19="PER_UNIT",Q19*BA19,IF(AY19="MANUAL",IF(U19="",0,U19),0)))))</f>
        <v/>
      </c>
      <c r="U19" s="23" t="n"/>
      <c r="V19" s="25" t="n"/>
      <c r="W19" s="25" t="n"/>
      <c r="X19" s="26">
        <f>IF(E19="INACTIVE",0,D19+K19+L19+S19+T19+IF(V19="",0,V19)+IF(W19="",0,W19))</f>
        <v/>
      </c>
      <c r="Y19" s="27" t="n"/>
      <c r="Z19" s="28">
        <f>IF(E19="INACTIVE","_",IF(AND(G19&gt;0,H19&gt;0,H19&lt;G19),"[!]น้ำ reset ","")&amp;IF(AND(O19&gt;0,P19&gt;0,P19&lt;O19),"[!]ไฟ reset ","")&amp;IF(AND(F19="MANUAL",J19=""),"[X]units น้ำ ","")&amp;IF(AND(N19="MANUAL",R19=""),"[X]units ไฟ ","")&amp;IF(D19=0,"[!]ค่าเช่า=0",""))</f>
        <v/>
      </c>
      <c r="AA19" s="29">
        <f>IF(C19&lt;&gt;"",C19,CONFIG!$B$6)</f>
        <v/>
      </c>
      <c r="AB19" s="29">
        <f>IF(F19&lt;&gt;"",F19,IFERROR(VLOOKUP(AA19,RULES!$A:$C,3,0),CONFIG!$B$7))</f>
        <v/>
      </c>
      <c r="AC19" s="29">
        <f>IF(IFERROR(VLOOKUP(AA19,RULES!$A:$D,4,0),"")="",CONFIG!$B$10,VLOOKUP(AA19,RULES!$A:$D,4,0))</f>
        <v/>
      </c>
      <c r="AD19" s="29">
        <f>IF(IFERROR(VLOOKUP(AA19,RULES!$A:$E,5,0),"")="",CONFIG!$B$11,VLOOKUP(AA19,RULES!$A:$E,5,0))</f>
        <v/>
      </c>
      <c r="AE19" s="29">
        <f>IFERROR(VLOOKUP(AA19,RULES!$A:$F,6,0)*1,0)</f>
        <v/>
      </c>
      <c r="AF19" s="29">
        <f>IFERROR(VLOOKUP(AA19,RULES!$A:$G,7,0)*1,0)</f>
        <v/>
      </c>
      <c r="AG19" s="29">
        <f>IFERROR(VLOOKUP(AA19,RULES!$A:$H,8,0)*1,0)</f>
        <v/>
      </c>
      <c r="AH19" s="29">
        <f>IFERROR(VLOOKUP(AA19,RULES!$A:$I,9,0)*1,0)</f>
        <v/>
      </c>
      <c r="AI19" s="29">
        <f>IFERROR(VLOOKUP(AA19,RULES!$A:$J,10,0)*1,0)</f>
        <v/>
      </c>
      <c r="AJ19" s="29">
        <f>IFERROR(IF(VLOOKUP(AA19,RULES!$A:$K,11,0)="",999999,VLOOKUP(AA19,RULES!$A:$K,11,0)*1),999999)</f>
        <v/>
      </c>
      <c r="AK19" s="29">
        <f>IFERROR(VLOOKUP(AA19,RULES!$A:$L,12,0)*1,0)</f>
        <v/>
      </c>
      <c r="AL19" s="29">
        <f>IFERROR(VLOOKUP(AA19,RULES!$A:$M,13,0),"NONE")</f>
        <v/>
      </c>
      <c r="AM19" s="29">
        <f>IFERROR(VLOOKUP(AA19,RULES!$A:$N,14,0)*1,0)</f>
        <v/>
      </c>
      <c r="AN19" s="29">
        <f>IFERROR(VLOOKUP(AA19,RULES!$A:$O,15,0)*1,0)</f>
        <v/>
      </c>
      <c r="AO19" s="29">
        <f>IF(N19&lt;&gt;"",N19,IFERROR(VLOOKUP(AA19,RULES!$A:$P,16,0),CONFIG!$B$8))</f>
        <v/>
      </c>
      <c r="AP19" s="29">
        <f>IF(IFERROR(VLOOKUP(AA19,RULES!$A:$Q,17,0),"")="",CONFIG!$B$13,VLOOKUP(AA19,RULES!$A:$Q,17,0))</f>
        <v/>
      </c>
      <c r="AQ19" s="29">
        <f>IF(IFERROR(VLOOKUP(AA19,RULES!$A:$R,18,0),"")="",CONFIG!$B$14,VLOOKUP(AA19,RULES!$A:$R,18,0))</f>
        <v/>
      </c>
      <c r="AR19" s="29">
        <f>IFERROR(VLOOKUP(AA19,RULES!$A:$S,19,0)*1,0)</f>
        <v/>
      </c>
      <c r="AS19" s="29">
        <f>IFERROR(VLOOKUP(AA19,RULES!$A:$T,20,0)*1,0)</f>
        <v/>
      </c>
      <c r="AT19" s="29">
        <f>IFERROR(VLOOKUP(AA19,RULES!$A:$U,21,0)*1,0)</f>
        <v/>
      </c>
      <c r="AU19" s="29">
        <f>IFERROR(VLOOKUP(AA19,RULES!$A:$V,22,0)*1,0)</f>
        <v/>
      </c>
      <c r="AV19" s="29">
        <f>IFERROR(VLOOKUP(AA19,RULES!$A:$W,23,0)*1,0)</f>
        <v/>
      </c>
      <c r="AW19" s="29">
        <f>IFERROR(IF(VLOOKUP(AA19,RULES!$A:$X,24,0)="",999999,VLOOKUP(AA19,RULES!$A:$X,24,0)*1),999999)</f>
        <v/>
      </c>
      <c r="AX19" s="29">
        <f>IFERROR(VLOOKUP(AA19,RULES!$A:$Y,25,0)*1,0)</f>
        <v/>
      </c>
      <c r="AY19" s="29">
        <f>IFERROR(VLOOKUP(AA19,RULES!$A:$Z,26,0),"NONE")</f>
        <v/>
      </c>
      <c r="AZ19" s="29">
        <f>IFERROR(VLOOKUP(AA19,RULES!$A:$AA,27,0)*1,0)</f>
        <v/>
      </c>
      <c r="BA19" s="29">
        <f>IFERROR(VLOOKUP(AA19,RULES!$A:$AB,28,0)*1,0)</f>
        <v/>
      </c>
    </row>
    <row r="20" ht="17" customHeight="1">
      <c r="A20" s="22" t="inlineStr">
        <is>
          <t>3817</t>
        </is>
      </c>
      <c r="B20" s="48" t="inlineStr">
        <is>
          <t>ACC008</t>
        </is>
      </c>
      <c r="C20" s="48" t="inlineStr">
        <is>
          <t>DEFAULT</t>
        </is>
      </c>
      <c r="D20" s="47" t="n"/>
      <c r="E20" s="22">
        <f>IF(OR(D20="",D20=0),"INACTIVE","ACTIVE")</f>
        <v/>
      </c>
      <c r="F20" s="48" t="inlineStr">
        <is>
          <t>NORMAL</t>
        </is>
      </c>
      <c r="G20" s="25" t="n"/>
      <c r="H20" s="25" t="n"/>
      <c r="I20" s="26">
        <f>IF(OR(E20="INACTIVE",H20=""),0,MAX(0,H20-G20))</f>
        <v/>
      </c>
      <c r="J20" s="23" t="n"/>
      <c r="K20" s="26">
        <f>IF(OR(E20="INACTIVE",H20=""),0,IF(AB20="DISABLED",0,IF(AB20="FLAT",AE20,IF(AB20="MANUAL",IF(J20="",0,J20*AC20),IF(AB20="STEP",IF(I20&lt;=AF20,I20*AG20,IF(I20&lt;=AH20,AF20*AG20+(I20-AF20)*AI20,AF20*AG20+(AH20-AF20)*AI20+(I20-AH20)*AK20)),MAX(I20*AC20,AD20))))))</f>
        <v/>
      </c>
      <c r="L20" s="26">
        <f>IF(OR(E20="INACTIVE",H20=""),0,IF(AL20="NONE",0,IF(AL20="FLAT",AM20,IF(AL20="PER_UNIT",I20*AN20,IF(AL20="MANUAL",IF(M20="",0,M20),0)))))</f>
        <v/>
      </c>
      <c r="M20" s="23" t="n"/>
      <c r="N20" s="48" t="inlineStr">
        <is>
          <t>NORMAL</t>
        </is>
      </c>
      <c r="O20" s="25" t="n"/>
      <c r="P20" s="25" t="n"/>
      <c r="Q20" s="26">
        <f>IF(OR(E20="INACTIVE",P20=""),0,MAX(0,P20-O20))</f>
        <v/>
      </c>
      <c r="R20" s="23" t="n"/>
      <c r="S20" s="26">
        <f>IF(OR(E20="INACTIVE",P20=""),0,IF(AO20="DISABLED",0,IF(AO20="FLAT",AR20,IF(AO20="MANUAL",IF(R20="",0,R20*AP20),IF(AO20="STEP",IF(Q20&lt;=AS20,Q20*AT20,IF(Q20&lt;=AU20,AS20*AT20+(Q20-AS20)*AV20,AS20*AT20+(AU20-AS20)*AV20+(Q20-AU20)*AX20)),MAX(Q20*AP20,AQ20))))))</f>
        <v/>
      </c>
      <c r="T20" s="26">
        <f>IF(OR(E20="INACTIVE",P20=""),0,IF(AY20="NONE",0,IF(AY20="FLAT",AZ20,IF(AY20="PER_UNIT",Q20*BA20,IF(AY20="MANUAL",IF(U20="",0,U20),0)))))</f>
        <v/>
      </c>
      <c r="U20" s="23" t="n"/>
      <c r="V20" s="25" t="n"/>
      <c r="W20" s="25" t="n"/>
      <c r="X20" s="26">
        <f>IF(E20="INACTIVE",0,D20+K20+L20+S20+T20+IF(V20="",0,V20)+IF(W20="",0,W20))</f>
        <v/>
      </c>
      <c r="Y20" s="27" t="n"/>
      <c r="Z20" s="28">
        <f>IF(E20="INACTIVE","_",IF(AND(G20&gt;0,H20&gt;0,H20&lt;G20),"[!]น้ำ reset ","")&amp;IF(AND(O20&gt;0,P20&gt;0,P20&lt;O20),"[!]ไฟ reset ","")&amp;IF(AND(F20="MANUAL",J20=""),"[X]units น้ำ ","")&amp;IF(AND(N20="MANUAL",R20=""),"[X]units ไฟ ","")&amp;IF(D20=0,"[!]ค่าเช่า=0",""))</f>
        <v/>
      </c>
      <c r="AA20" s="29">
        <f>IF(C20&lt;&gt;"",C20,CONFIG!$B$6)</f>
        <v/>
      </c>
      <c r="AB20" s="29">
        <f>IF(F20&lt;&gt;"",F20,IFERROR(VLOOKUP(AA20,RULES!$A:$C,3,0),CONFIG!$B$7))</f>
        <v/>
      </c>
      <c r="AC20" s="29">
        <f>IF(IFERROR(VLOOKUP(AA20,RULES!$A:$D,4,0),"")="",CONFIG!$B$10,VLOOKUP(AA20,RULES!$A:$D,4,0))</f>
        <v/>
      </c>
      <c r="AD20" s="29">
        <f>IF(IFERROR(VLOOKUP(AA20,RULES!$A:$E,5,0),"")="",CONFIG!$B$11,VLOOKUP(AA20,RULES!$A:$E,5,0))</f>
        <v/>
      </c>
      <c r="AE20" s="29">
        <f>IFERROR(VLOOKUP(AA20,RULES!$A:$F,6,0)*1,0)</f>
        <v/>
      </c>
      <c r="AF20" s="29">
        <f>IFERROR(VLOOKUP(AA20,RULES!$A:$G,7,0)*1,0)</f>
        <v/>
      </c>
      <c r="AG20" s="29">
        <f>IFERROR(VLOOKUP(AA20,RULES!$A:$H,8,0)*1,0)</f>
        <v/>
      </c>
      <c r="AH20" s="29">
        <f>IFERROR(VLOOKUP(AA20,RULES!$A:$I,9,0)*1,0)</f>
        <v/>
      </c>
      <c r="AI20" s="29">
        <f>IFERROR(VLOOKUP(AA20,RULES!$A:$J,10,0)*1,0)</f>
        <v/>
      </c>
      <c r="AJ20" s="29">
        <f>IFERROR(IF(VLOOKUP(AA20,RULES!$A:$K,11,0)="",999999,VLOOKUP(AA20,RULES!$A:$K,11,0)*1),999999)</f>
        <v/>
      </c>
      <c r="AK20" s="29">
        <f>IFERROR(VLOOKUP(AA20,RULES!$A:$L,12,0)*1,0)</f>
        <v/>
      </c>
      <c r="AL20" s="29">
        <f>IFERROR(VLOOKUP(AA20,RULES!$A:$M,13,0),"NONE")</f>
        <v/>
      </c>
      <c r="AM20" s="29">
        <f>IFERROR(VLOOKUP(AA20,RULES!$A:$N,14,0)*1,0)</f>
        <v/>
      </c>
      <c r="AN20" s="29">
        <f>IFERROR(VLOOKUP(AA20,RULES!$A:$O,15,0)*1,0)</f>
        <v/>
      </c>
      <c r="AO20" s="29">
        <f>IF(N20&lt;&gt;"",N20,IFERROR(VLOOKUP(AA20,RULES!$A:$P,16,0),CONFIG!$B$8))</f>
        <v/>
      </c>
      <c r="AP20" s="29">
        <f>IF(IFERROR(VLOOKUP(AA20,RULES!$A:$Q,17,0),"")="",CONFIG!$B$13,VLOOKUP(AA20,RULES!$A:$Q,17,0))</f>
        <v/>
      </c>
      <c r="AQ20" s="29">
        <f>IF(IFERROR(VLOOKUP(AA20,RULES!$A:$R,18,0),"")="",CONFIG!$B$14,VLOOKUP(AA20,RULES!$A:$R,18,0))</f>
        <v/>
      </c>
      <c r="AR20" s="29">
        <f>IFERROR(VLOOKUP(AA20,RULES!$A:$S,19,0)*1,0)</f>
        <v/>
      </c>
      <c r="AS20" s="29">
        <f>IFERROR(VLOOKUP(AA20,RULES!$A:$T,20,0)*1,0)</f>
        <v/>
      </c>
      <c r="AT20" s="29">
        <f>IFERROR(VLOOKUP(AA20,RULES!$A:$U,21,0)*1,0)</f>
        <v/>
      </c>
      <c r="AU20" s="29">
        <f>IFERROR(VLOOKUP(AA20,RULES!$A:$V,22,0)*1,0)</f>
        <v/>
      </c>
      <c r="AV20" s="29">
        <f>IFERROR(VLOOKUP(AA20,RULES!$A:$W,23,0)*1,0)</f>
        <v/>
      </c>
      <c r="AW20" s="29">
        <f>IFERROR(IF(VLOOKUP(AA20,RULES!$A:$X,24,0)="",999999,VLOOKUP(AA20,RULES!$A:$X,24,0)*1),999999)</f>
        <v/>
      </c>
      <c r="AX20" s="29">
        <f>IFERROR(VLOOKUP(AA20,RULES!$A:$Y,25,0)*1,0)</f>
        <v/>
      </c>
      <c r="AY20" s="29">
        <f>IFERROR(VLOOKUP(AA20,RULES!$A:$Z,26,0),"NONE")</f>
        <v/>
      </c>
      <c r="AZ20" s="29">
        <f>IFERROR(VLOOKUP(AA20,RULES!$A:$AA,27,0)*1,0)</f>
        <v/>
      </c>
      <c r="BA20" s="29">
        <f>IFERROR(VLOOKUP(AA20,RULES!$A:$AB,28,0)*1,0)</f>
        <v/>
      </c>
    </row>
    <row r="21" ht="17" customHeight="1">
      <c r="A21" s="22" t="inlineStr">
        <is>
          <t>3818</t>
        </is>
      </c>
      <c r="B21" s="48" t="inlineStr">
        <is>
          <t>ACC008</t>
        </is>
      </c>
      <c r="C21" s="48" t="inlineStr">
        <is>
          <t>DEFAULT</t>
        </is>
      </c>
      <c r="D21" s="47" t="n"/>
      <c r="E21" s="22">
        <f>IF(OR(D21="",D21=0),"INACTIVE","ACTIVE")</f>
        <v/>
      </c>
      <c r="F21" s="48" t="inlineStr">
        <is>
          <t>NORMAL</t>
        </is>
      </c>
      <c r="G21" s="25" t="n"/>
      <c r="H21" s="25" t="n"/>
      <c r="I21" s="26">
        <f>IF(OR(E21="INACTIVE",H21=""),0,MAX(0,H21-G21))</f>
        <v/>
      </c>
      <c r="J21" s="23" t="n"/>
      <c r="K21" s="26">
        <f>IF(OR(E21="INACTIVE",H21=""),0,IF(AB21="DISABLED",0,IF(AB21="FLAT",AE21,IF(AB21="MANUAL",IF(J21="",0,J21*AC21),IF(AB21="STEP",IF(I21&lt;=AF21,I21*AG21,IF(I21&lt;=AH21,AF21*AG21+(I21-AF21)*AI21,AF21*AG21+(AH21-AF21)*AI21+(I21-AH21)*AK21)),MAX(I21*AC21,AD21))))))</f>
        <v/>
      </c>
      <c r="L21" s="26">
        <f>IF(OR(E21="INACTIVE",H21=""),0,IF(AL21="NONE",0,IF(AL21="FLAT",AM21,IF(AL21="PER_UNIT",I21*AN21,IF(AL21="MANUAL",IF(M21="",0,M21),0)))))</f>
        <v/>
      </c>
      <c r="M21" s="23" t="n"/>
      <c r="N21" s="48" t="inlineStr">
        <is>
          <t>NORMAL</t>
        </is>
      </c>
      <c r="O21" s="25" t="n"/>
      <c r="P21" s="25" t="n"/>
      <c r="Q21" s="26">
        <f>IF(OR(E21="INACTIVE",P21=""),0,MAX(0,P21-O21))</f>
        <v/>
      </c>
      <c r="R21" s="23" t="n"/>
      <c r="S21" s="26">
        <f>IF(OR(E21="INACTIVE",P21=""),0,IF(AO21="DISABLED",0,IF(AO21="FLAT",AR21,IF(AO21="MANUAL",IF(R21="",0,R21*AP21),IF(AO21="STEP",IF(Q21&lt;=AS21,Q21*AT21,IF(Q21&lt;=AU21,AS21*AT21+(Q21-AS21)*AV21,AS21*AT21+(AU21-AS21)*AV21+(Q21-AU21)*AX21)),MAX(Q21*AP21,AQ21))))))</f>
        <v/>
      </c>
      <c r="T21" s="26">
        <f>IF(OR(E21="INACTIVE",P21=""),0,IF(AY21="NONE",0,IF(AY21="FLAT",AZ21,IF(AY21="PER_UNIT",Q21*BA21,IF(AY21="MANUAL",IF(U21="",0,U21),0)))))</f>
        <v/>
      </c>
      <c r="U21" s="23" t="n"/>
      <c r="V21" s="25" t="n"/>
      <c r="W21" s="25" t="n"/>
      <c r="X21" s="26">
        <f>IF(E21="INACTIVE",0,D21+K21+L21+S21+T21+IF(V21="",0,V21)+IF(W21="",0,W21))</f>
        <v/>
      </c>
      <c r="Y21" s="27" t="n"/>
      <c r="Z21" s="28">
        <f>IF(E21="INACTIVE","_",IF(AND(G21&gt;0,H21&gt;0,H21&lt;G21),"[!]น้ำ reset ","")&amp;IF(AND(O21&gt;0,P21&gt;0,P21&lt;O21),"[!]ไฟ reset ","")&amp;IF(AND(F21="MANUAL",J21=""),"[X]units น้ำ ","")&amp;IF(AND(N21="MANUAL",R21=""),"[X]units ไฟ ","")&amp;IF(D21=0,"[!]ค่าเช่า=0",""))</f>
        <v/>
      </c>
      <c r="AA21" s="29">
        <f>IF(C21&lt;&gt;"",C21,CONFIG!$B$6)</f>
        <v/>
      </c>
      <c r="AB21" s="29">
        <f>IF(F21&lt;&gt;"",F21,IFERROR(VLOOKUP(AA21,RULES!$A:$C,3,0),CONFIG!$B$7))</f>
        <v/>
      </c>
      <c r="AC21" s="29">
        <f>IF(IFERROR(VLOOKUP(AA21,RULES!$A:$D,4,0),"")="",CONFIG!$B$10,VLOOKUP(AA21,RULES!$A:$D,4,0))</f>
        <v/>
      </c>
      <c r="AD21" s="29">
        <f>IF(IFERROR(VLOOKUP(AA21,RULES!$A:$E,5,0),"")="",CONFIG!$B$11,VLOOKUP(AA21,RULES!$A:$E,5,0))</f>
        <v/>
      </c>
      <c r="AE21" s="29">
        <f>IFERROR(VLOOKUP(AA21,RULES!$A:$F,6,0)*1,0)</f>
        <v/>
      </c>
      <c r="AF21" s="29">
        <f>IFERROR(VLOOKUP(AA21,RULES!$A:$G,7,0)*1,0)</f>
        <v/>
      </c>
      <c r="AG21" s="29">
        <f>IFERROR(VLOOKUP(AA21,RULES!$A:$H,8,0)*1,0)</f>
        <v/>
      </c>
      <c r="AH21" s="29">
        <f>IFERROR(VLOOKUP(AA21,RULES!$A:$I,9,0)*1,0)</f>
        <v/>
      </c>
      <c r="AI21" s="29">
        <f>IFERROR(VLOOKUP(AA21,RULES!$A:$J,10,0)*1,0)</f>
        <v/>
      </c>
      <c r="AJ21" s="29">
        <f>IFERROR(IF(VLOOKUP(AA21,RULES!$A:$K,11,0)="",999999,VLOOKUP(AA21,RULES!$A:$K,11,0)*1),999999)</f>
        <v/>
      </c>
      <c r="AK21" s="29">
        <f>IFERROR(VLOOKUP(AA21,RULES!$A:$L,12,0)*1,0)</f>
        <v/>
      </c>
      <c r="AL21" s="29">
        <f>IFERROR(VLOOKUP(AA21,RULES!$A:$M,13,0),"NONE")</f>
        <v/>
      </c>
      <c r="AM21" s="29">
        <f>IFERROR(VLOOKUP(AA21,RULES!$A:$N,14,0)*1,0)</f>
        <v/>
      </c>
      <c r="AN21" s="29">
        <f>IFERROR(VLOOKUP(AA21,RULES!$A:$O,15,0)*1,0)</f>
        <v/>
      </c>
      <c r="AO21" s="29">
        <f>IF(N21&lt;&gt;"",N21,IFERROR(VLOOKUP(AA21,RULES!$A:$P,16,0),CONFIG!$B$8))</f>
        <v/>
      </c>
      <c r="AP21" s="29">
        <f>IF(IFERROR(VLOOKUP(AA21,RULES!$A:$Q,17,0),"")="",CONFIG!$B$13,VLOOKUP(AA21,RULES!$A:$Q,17,0))</f>
        <v/>
      </c>
      <c r="AQ21" s="29">
        <f>IF(IFERROR(VLOOKUP(AA21,RULES!$A:$R,18,0),"")="",CONFIG!$B$14,VLOOKUP(AA21,RULES!$A:$R,18,0))</f>
        <v/>
      </c>
      <c r="AR21" s="29">
        <f>IFERROR(VLOOKUP(AA21,RULES!$A:$S,19,0)*1,0)</f>
        <v/>
      </c>
      <c r="AS21" s="29">
        <f>IFERROR(VLOOKUP(AA21,RULES!$A:$T,20,0)*1,0)</f>
        <v/>
      </c>
      <c r="AT21" s="29">
        <f>IFERROR(VLOOKUP(AA21,RULES!$A:$U,21,0)*1,0)</f>
        <v/>
      </c>
      <c r="AU21" s="29">
        <f>IFERROR(VLOOKUP(AA21,RULES!$A:$V,22,0)*1,0)</f>
        <v/>
      </c>
      <c r="AV21" s="29">
        <f>IFERROR(VLOOKUP(AA21,RULES!$A:$W,23,0)*1,0)</f>
        <v/>
      </c>
      <c r="AW21" s="29">
        <f>IFERROR(IF(VLOOKUP(AA21,RULES!$A:$X,24,0)="",999999,VLOOKUP(AA21,RULES!$A:$X,24,0)*1),999999)</f>
        <v/>
      </c>
      <c r="AX21" s="29">
        <f>IFERROR(VLOOKUP(AA21,RULES!$A:$Y,25,0)*1,0)</f>
        <v/>
      </c>
      <c r="AY21" s="29">
        <f>IFERROR(VLOOKUP(AA21,RULES!$A:$Z,26,0),"NONE")</f>
        <v/>
      </c>
      <c r="AZ21" s="29">
        <f>IFERROR(VLOOKUP(AA21,RULES!$A:$AA,27,0)*1,0)</f>
        <v/>
      </c>
      <c r="BA21" s="29">
        <f>IFERROR(VLOOKUP(AA21,RULES!$A:$AB,28,0)*1,0)</f>
        <v/>
      </c>
    </row>
    <row r="22" ht="17" customHeight="1">
      <c r="A22" s="22" t="inlineStr">
        <is>
          <t>3819</t>
        </is>
      </c>
      <c r="B22" s="48" t="inlineStr">
        <is>
          <t>ACC008</t>
        </is>
      </c>
      <c r="C22" s="48" t="inlineStr">
        <is>
          <t>DEFAULT</t>
        </is>
      </c>
      <c r="D22" s="47" t="n"/>
      <c r="E22" s="22">
        <f>IF(OR(D22="",D22=0),"INACTIVE","ACTIVE")</f>
        <v/>
      </c>
      <c r="F22" s="48" t="inlineStr">
        <is>
          <t>NORMAL</t>
        </is>
      </c>
      <c r="G22" s="25" t="n"/>
      <c r="H22" s="25" t="n"/>
      <c r="I22" s="26">
        <f>IF(OR(E22="INACTIVE",H22=""),0,MAX(0,H22-G22))</f>
        <v/>
      </c>
      <c r="J22" s="23" t="n"/>
      <c r="K22" s="26">
        <f>IF(OR(E22="INACTIVE",H22=""),0,IF(AB22="DISABLED",0,IF(AB22="FLAT",AE22,IF(AB22="MANUAL",IF(J22="",0,J22*AC22),IF(AB22="STEP",IF(I22&lt;=AF22,I22*AG22,IF(I22&lt;=AH22,AF22*AG22+(I22-AF22)*AI22,AF22*AG22+(AH22-AF22)*AI22+(I22-AH22)*AK22)),MAX(I22*AC22,AD22))))))</f>
        <v/>
      </c>
      <c r="L22" s="26">
        <f>IF(OR(E22="INACTIVE",H22=""),0,IF(AL22="NONE",0,IF(AL22="FLAT",AM22,IF(AL22="PER_UNIT",I22*AN22,IF(AL22="MANUAL",IF(M22="",0,M22),0)))))</f>
        <v/>
      </c>
      <c r="M22" s="23" t="n"/>
      <c r="N22" s="48" t="inlineStr">
        <is>
          <t>NORMAL</t>
        </is>
      </c>
      <c r="O22" s="25" t="n"/>
      <c r="P22" s="25" t="n"/>
      <c r="Q22" s="26">
        <f>IF(OR(E22="INACTIVE",P22=""),0,MAX(0,P22-O22))</f>
        <v/>
      </c>
      <c r="R22" s="23" t="n"/>
      <c r="S22" s="26">
        <f>IF(OR(E22="INACTIVE",P22=""),0,IF(AO22="DISABLED",0,IF(AO22="FLAT",AR22,IF(AO22="MANUAL",IF(R22="",0,R22*AP22),IF(AO22="STEP",IF(Q22&lt;=AS22,Q22*AT22,IF(Q22&lt;=AU22,AS22*AT22+(Q22-AS22)*AV22,AS22*AT22+(AU22-AS22)*AV22+(Q22-AU22)*AX22)),MAX(Q22*AP22,AQ22))))))</f>
        <v/>
      </c>
      <c r="T22" s="26">
        <f>IF(OR(E22="INACTIVE",P22=""),0,IF(AY22="NONE",0,IF(AY22="FLAT",AZ22,IF(AY22="PER_UNIT",Q22*BA22,IF(AY22="MANUAL",IF(U22="",0,U22),0)))))</f>
        <v/>
      </c>
      <c r="U22" s="23" t="n"/>
      <c r="V22" s="25" t="n"/>
      <c r="W22" s="25" t="n"/>
      <c r="X22" s="26">
        <f>IF(E22="INACTIVE",0,D22+K22+L22+S22+T22+IF(V22="",0,V22)+IF(W22="",0,W22))</f>
        <v/>
      </c>
      <c r="Y22" s="27" t="n"/>
      <c r="Z22" s="28">
        <f>IF(E22="INACTIVE","_",IF(AND(G22&gt;0,H22&gt;0,H22&lt;G22),"[!]น้ำ reset ","")&amp;IF(AND(O22&gt;0,P22&gt;0,P22&lt;O22),"[!]ไฟ reset ","")&amp;IF(AND(F22="MANUAL",J22=""),"[X]units น้ำ ","")&amp;IF(AND(N22="MANUAL",R22=""),"[X]units ไฟ ","")&amp;IF(D22=0,"[!]ค่าเช่า=0",""))</f>
        <v/>
      </c>
      <c r="AA22" s="29">
        <f>IF(C22&lt;&gt;"",C22,CONFIG!$B$6)</f>
        <v/>
      </c>
      <c r="AB22" s="29">
        <f>IF(F22&lt;&gt;"",F22,IFERROR(VLOOKUP(AA22,RULES!$A:$C,3,0),CONFIG!$B$7))</f>
        <v/>
      </c>
      <c r="AC22" s="29">
        <f>IF(IFERROR(VLOOKUP(AA22,RULES!$A:$D,4,0),"")="",CONFIG!$B$10,VLOOKUP(AA22,RULES!$A:$D,4,0))</f>
        <v/>
      </c>
      <c r="AD22" s="29">
        <f>IF(IFERROR(VLOOKUP(AA22,RULES!$A:$E,5,0),"")="",CONFIG!$B$11,VLOOKUP(AA22,RULES!$A:$E,5,0))</f>
        <v/>
      </c>
      <c r="AE22" s="29">
        <f>IFERROR(VLOOKUP(AA22,RULES!$A:$F,6,0)*1,0)</f>
        <v/>
      </c>
      <c r="AF22" s="29">
        <f>IFERROR(VLOOKUP(AA22,RULES!$A:$G,7,0)*1,0)</f>
        <v/>
      </c>
      <c r="AG22" s="29">
        <f>IFERROR(VLOOKUP(AA22,RULES!$A:$H,8,0)*1,0)</f>
        <v/>
      </c>
      <c r="AH22" s="29">
        <f>IFERROR(VLOOKUP(AA22,RULES!$A:$I,9,0)*1,0)</f>
        <v/>
      </c>
      <c r="AI22" s="29">
        <f>IFERROR(VLOOKUP(AA22,RULES!$A:$J,10,0)*1,0)</f>
        <v/>
      </c>
      <c r="AJ22" s="29">
        <f>IFERROR(IF(VLOOKUP(AA22,RULES!$A:$K,11,0)="",999999,VLOOKUP(AA22,RULES!$A:$K,11,0)*1),999999)</f>
        <v/>
      </c>
      <c r="AK22" s="29">
        <f>IFERROR(VLOOKUP(AA22,RULES!$A:$L,12,0)*1,0)</f>
        <v/>
      </c>
      <c r="AL22" s="29">
        <f>IFERROR(VLOOKUP(AA22,RULES!$A:$M,13,0),"NONE")</f>
        <v/>
      </c>
      <c r="AM22" s="29">
        <f>IFERROR(VLOOKUP(AA22,RULES!$A:$N,14,0)*1,0)</f>
        <v/>
      </c>
      <c r="AN22" s="29">
        <f>IFERROR(VLOOKUP(AA22,RULES!$A:$O,15,0)*1,0)</f>
        <v/>
      </c>
      <c r="AO22" s="29">
        <f>IF(N22&lt;&gt;"",N22,IFERROR(VLOOKUP(AA22,RULES!$A:$P,16,0),CONFIG!$B$8))</f>
        <v/>
      </c>
      <c r="AP22" s="29">
        <f>IF(IFERROR(VLOOKUP(AA22,RULES!$A:$Q,17,0),"")="",CONFIG!$B$13,VLOOKUP(AA22,RULES!$A:$Q,17,0))</f>
        <v/>
      </c>
      <c r="AQ22" s="29">
        <f>IF(IFERROR(VLOOKUP(AA22,RULES!$A:$R,18,0),"")="",CONFIG!$B$14,VLOOKUP(AA22,RULES!$A:$R,18,0))</f>
        <v/>
      </c>
      <c r="AR22" s="29">
        <f>IFERROR(VLOOKUP(AA22,RULES!$A:$S,19,0)*1,0)</f>
        <v/>
      </c>
      <c r="AS22" s="29">
        <f>IFERROR(VLOOKUP(AA22,RULES!$A:$T,20,0)*1,0)</f>
        <v/>
      </c>
      <c r="AT22" s="29">
        <f>IFERROR(VLOOKUP(AA22,RULES!$A:$U,21,0)*1,0)</f>
        <v/>
      </c>
      <c r="AU22" s="29">
        <f>IFERROR(VLOOKUP(AA22,RULES!$A:$V,22,0)*1,0)</f>
        <v/>
      </c>
      <c r="AV22" s="29">
        <f>IFERROR(VLOOKUP(AA22,RULES!$A:$W,23,0)*1,0)</f>
        <v/>
      </c>
      <c r="AW22" s="29">
        <f>IFERROR(IF(VLOOKUP(AA22,RULES!$A:$X,24,0)="",999999,VLOOKUP(AA22,RULES!$A:$X,24,0)*1),999999)</f>
        <v/>
      </c>
      <c r="AX22" s="29">
        <f>IFERROR(VLOOKUP(AA22,RULES!$A:$Y,25,0)*1,0)</f>
        <v/>
      </c>
      <c r="AY22" s="29">
        <f>IFERROR(VLOOKUP(AA22,RULES!$A:$Z,26,0),"NONE")</f>
        <v/>
      </c>
      <c r="AZ22" s="29">
        <f>IFERROR(VLOOKUP(AA22,RULES!$A:$AA,27,0)*1,0)</f>
        <v/>
      </c>
      <c r="BA22" s="29">
        <f>IFERROR(VLOOKUP(AA22,RULES!$A:$AB,28,0)*1,0)</f>
        <v/>
      </c>
    </row>
    <row r="23" ht="17" customHeight="1">
      <c r="A23" s="22" t="inlineStr">
        <is>
          <t>3820</t>
        </is>
      </c>
      <c r="B23" s="48" t="inlineStr">
        <is>
          <t>ACC008</t>
        </is>
      </c>
      <c r="C23" s="48" t="inlineStr">
        <is>
          <t>DEFAULT</t>
        </is>
      </c>
      <c r="D23" s="47" t="n"/>
      <c r="E23" s="22">
        <f>IF(OR(D23="",D23=0),"INACTIVE","ACTIVE")</f>
        <v/>
      </c>
      <c r="F23" s="48" t="inlineStr">
        <is>
          <t>NORMAL</t>
        </is>
      </c>
      <c r="G23" s="25" t="n"/>
      <c r="H23" s="25" t="n"/>
      <c r="I23" s="26">
        <f>IF(OR(E23="INACTIVE",H23=""),0,MAX(0,H23-G23))</f>
        <v/>
      </c>
      <c r="J23" s="23" t="n"/>
      <c r="K23" s="26">
        <f>IF(OR(E23="INACTIVE",H23=""),0,IF(AB23="DISABLED",0,IF(AB23="FLAT",AE23,IF(AB23="MANUAL",IF(J23="",0,J23*AC23),IF(AB23="STEP",IF(I23&lt;=AF23,I23*AG23,IF(I23&lt;=AH23,AF23*AG23+(I23-AF23)*AI23,AF23*AG23+(AH23-AF23)*AI23+(I23-AH23)*AK23)),MAX(I23*AC23,AD23))))))</f>
        <v/>
      </c>
      <c r="L23" s="26">
        <f>IF(OR(E23="INACTIVE",H23=""),0,IF(AL23="NONE",0,IF(AL23="FLAT",AM23,IF(AL23="PER_UNIT",I23*AN23,IF(AL23="MANUAL",IF(M23="",0,M23),0)))))</f>
        <v/>
      </c>
      <c r="M23" s="23" t="n"/>
      <c r="N23" s="48" t="inlineStr">
        <is>
          <t>NORMAL</t>
        </is>
      </c>
      <c r="O23" s="25" t="n"/>
      <c r="P23" s="25" t="n"/>
      <c r="Q23" s="26">
        <f>IF(OR(E23="INACTIVE",P23=""),0,MAX(0,P23-O23))</f>
        <v/>
      </c>
      <c r="R23" s="23" t="n"/>
      <c r="S23" s="26">
        <f>IF(OR(E23="INACTIVE",P23=""),0,IF(AO23="DISABLED",0,IF(AO23="FLAT",AR23,IF(AO23="MANUAL",IF(R23="",0,R23*AP23),IF(AO23="STEP",IF(Q23&lt;=AS23,Q23*AT23,IF(Q23&lt;=AU23,AS23*AT23+(Q23-AS23)*AV23,AS23*AT23+(AU23-AS23)*AV23+(Q23-AU23)*AX23)),MAX(Q23*AP23,AQ23))))))</f>
        <v/>
      </c>
      <c r="T23" s="26">
        <f>IF(OR(E23="INACTIVE",P23=""),0,IF(AY23="NONE",0,IF(AY23="FLAT",AZ23,IF(AY23="PER_UNIT",Q23*BA23,IF(AY23="MANUAL",IF(U23="",0,U23),0)))))</f>
        <v/>
      </c>
      <c r="U23" s="23" t="n"/>
      <c r="V23" s="25" t="n"/>
      <c r="W23" s="25" t="n"/>
      <c r="X23" s="26">
        <f>IF(E23="INACTIVE",0,D23+K23+L23+S23+T23+IF(V23="",0,V23)+IF(W23="",0,W23))</f>
        <v/>
      </c>
      <c r="Y23" s="27" t="n"/>
      <c r="Z23" s="28">
        <f>IF(E23="INACTIVE","_",IF(AND(G23&gt;0,H23&gt;0,H23&lt;G23),"[!]น้ำ reset ","")&amp;IF(AND(O23&gt;0,P23&gt;0,P23&lt;O23),"[!]ไฟ reset ","")&amp;IF(AND(F23="MANUAL",J23=""),"[X]units น้ำ ","")&amp;IF(AND(N23="MANUAL",R23=""),"[X]units ไฟ ","")&amp;IF(D23=0,"[!]ค่าเช่า=0",""))</f>
        <v/>
      </c>
      <c r="AA23" s="29">
        <f>IF(C23&lt;&gt;"",C23,CONFIG!$B$6)</f>
        <v/>
      </c>
      <c r="AB23" s="29">
        <f>IF(F23&lt;&gt;"",F23,IFERROR(VLOOKUP(AA23,RULES!$A:$C,3,0),CONFIG!$B$7))</f>
        <v/>
      </c>
      <c r="AC23" s="29">
        <f>IF(IFERROR(VLOOKUP(AA23,RULES!$A:$D,4,0),"")="",CONFIG!$B$10,VLOOKUP(AA23,RULES!$A:$D,4,0))</f>
        <v/>
      </c>
      <c r="AD23" s="29">
        <f>IF(IFERROR(VLOOKUP(AA23,RULES!$A:$E,5,0),"")="",CONFIG!$B$11,VLOOKUP(AA23,RULES!$A:$E,5,0))</f>
        <v/>
      </c>
      <c r="AE23" s="29">
        <f>IFERROR(VLOOKUP(AA23,RULES!$A:$F,6,0)*1,0)</f>
        <v/>
      </c>
      <c r="AF23" s="29">
        <f>IFERROR(VLOOKUP(AA23,RULES!$A:$G,7,0)*1,0)</f>
        <v/>
      </c>
      <c r="AG23" s="29">
        <f>IFERROR(VLOOKUP(AA23,RULES!$A:$H,8,0)*1,0)</f>
        <v/>
      </c>
      <c r="AH23" s="29">
        <f>IFERROR(VLOOKUP(AA23,RULES!$A:$I,9,0)*1,0)</f>
        <v/>
      </c>
      <c r="AI23" s="29">
        <f>IFERROR(VLOOKUP(AA23,RULES!$A:$J,10,0)*1,0)</f>
        <v/>
      </c>
      <c r="AJ23" s="29">
        <f>IFERROR(IF(VLOOKUP(AA23,RULES!$A:$K,11,0)="",999999,VLOOKUP(AA23,RULES!$A:$K,11,0)*1),999999)</f>
        <v/>
      </c>
      <c r="AK23" s="29">
        <f>IFERROR(VLOOKUP(AA23,RULES!$A:$L,12,0)*1,0)</f>
        <v/>
      </c>
      <c r="AL23" s="29">
        <f>IFERROR(VLOOKUP(AA23,RULES!$A:$M,13,0),"NONE")</f>
        <v/>
      </c>
      <c r="AM23" s="29">
        <f>IFERROR(VLOOKUP(AA23,RULES!$A:$N,14,0)*1,0)</f>
        <v/>
      </c>
      <c r="AN23" s="29">
        <f>IFERROR(VLOOKUP(AA23,RULES!$A:$O,15,0)*1,0)</f>
        <v/>
      </c>
      <c r="AO23" s="29">
        <f>IF(N23&lt;&gt;"",N23,IFERROR(VLOOKUP(AA23,RULES!$A:$P,16,0),CONFIG!$B$8))</f>
        <v/>
      </c>
      <c r="AP23" s="29">
        <f>IF(IFERROR(VLOOKUP(AA23,RULES!$A:$Q,17,0),"")="",CONFIG!$B$13,VLOOKUP(AA23,RULES!$A:$Q,17,0))</f>
        <v/>
      </c>
      <c r="AQ23" s="29">
        <f>IF(IFERROR(VLOOKUP(AA23,RULES!$A:$R,18,0),"")="",CONFIG!$B$14,VLOOKUP(AA23,RULES!$A:$R,18,0))</f>
        <v/>
      </c>
      <c r="AR23" s="29">
        <f>IFERROR(VLOOKUP(AA23,RULES!$A:$S,19,0)*1,0)</f>
        <v/>
      </c>
      <c r="AS23" s="29">
        <f>IFERROR(VLOOKUP(AA23,RULES!$A:$T,20,0)*1,0)</f>
        <v/>
      </c>
      <c r="AT23" s="29">
        <f>IFERROR(VLOOKUP(AA23,RULES!$A:$U,21,0)*1,0)</f>
        <v/>
      </c>
      <c r="AU23" s="29">
        <f>IFERROR(VLOOKUP(AA23,RULES!$A:$V,22,0)*1,0)</f>
        <v/>
      </c>
      <c r="AV23" s="29">
        <f>IFERROR(VLOOKUP(AA23,RULES!$A:$W,23,0)*1,0)</f>
        <v/>
      </c>
      <c r="AW23" s="29">
        <f>IFERROR(IF(VLOOKUP(AA23,RULES!$A:$X,24,0)="",999999,VLOOKUP(AA23,RULES!$A:$X,24,0)*1),999999)</f>
        <v/>
      </c>
      <c r="AX23" s="29">
        <f>IFERROR(VLOOKUP(AA23,RULES!$A:$Y,25,0)*1,0)</f>
        <v/>
      </c>
      <c r="AY23" s="29">
        <f>IFERROR(VLOOKUP(AA23,RULES!$A:$Z,26,0),"NONE")</f>
        <v/>
      </c>
      <c r="AZ23" s="29">
        <f>IFERROR(VLOOKUP(AA23,RULES!$A:$AA,27,0)*1,0)</f>
        <v/>
      </c>
      <c r="BA23" s="29">
        <f>IFERROR(VLOOKUP(AA23,RULES!$A:$AB,28,0)*1,0)</f>
        <v/>
      </c>
    </row>
    <row r="24" ht="17" customHeight="1">
      <c r="A24" s="22" t="inlineStr">
        <is>
          <t>3821</t>
        </is>
      </c>
      <c r="B24" s="48" t="inlineStr">
        <is>
          <t>ACC008</t>
        </is>
      </c>
      <c r="C24" s="48" t="inlineStr">
        <is>
          <t>DEFAULT</t>
        </is>
      </c>
      <c r="D24" s="47" t="n"/>
      <c r="E24" s="22">
        <f>IF(OR(D24="",D24=0),"INACTIVE","ACTIVE")</f>
        <v/>
      </c>
      <c r="F24" s="48" t="inlineStr">
        <is>
          <t>NORMAL</t>
        </is>
      </c>
      <c r="G24" s="25" t="n"/>
      <c r="H24" s="25" t="n"/>
      <c r="I24" s="26">
        <f>IF(OR(E24="INACTIVE",H24=""),0,MAX(0,H24-G24))</f>
        <v/>
      </c>
      <c r="J24" s="23" t="n"/>
      <c r="K24" s="26">
        <f>IF(OR(E24="INACTIVE",H24=""),0,IF(AB24="DISABLED",0,IF(AB24="FLAT",AE24,IF(AB24="MANUAL",IF(J24="",0,J24*AC24),IF(AB24="STEP",IF(I24&lt;=AF24,I24*AG24,IF(I24&lt;=AH24,AF24*AG24+(I24-AF24)*AI24,AF24*AG24+(AH24-AF24)*AI24+(I24-AH24)*AK24)),MAX(I24*AC24,AD24))))))</f>
        <v/>
      </c>
      <c r="L24" s="26">
        <f>IF(OR(E24="INACTIVE",H24=""),0,IF(AL24="NONE",0,IF(AL24="FLAT",AM24,IF(AL24="PER_UNIT",I24*AN24,IF(AL24="MANUAL",IF(M24="",0,M24),0)))))</f>
        <v/>
      </c>
      <c r="M24" s="23" t="n"/>
      <c r="N24" s="48" t="inlineStr">
        <is>
          <t>NORMAL</t>
        </is>
      </c>
      <c r="O24" s="25" t="n"/>
      <c r="P24" s="25" t="n"/>
      <c r="Q24" s="26">
        <f>IF(OR(E24="INACTIVE",P24=""),0,MAX(0,P24-O24))</f>
        <v/>
      </c>
      <c r="R24" s="23" t="n"/>
      <c r="S24" s="26">
        <f>IF(OR(E24="INACTIVE",P24=""),0,IF(AO24="DISABLED",0,IF(AO24="FLAT",AR24,IF(AO24="MANUAL",IF(R24="",0,R24*AP24),IF(AO24="STEP",IF(Q24&lt;=AS24,Q24*AT24,IF(Q24&lt;=AU24,AS24*AT24+(Q24-AS24)*AV24,AS24*AT24+(AU24-AS24)*AV24+(Q24-AU24)*AX24)),MAX(Q24*AP24,AQ24))))))</f>
        <v/>
      </c>
      <c r="T24" s="26">
        <f>IF(OR(E24="INACTIVE",P24=""),0,IF(AY24="NONE",0,IF(AY24="FLAT",AZ24,IF(AY24="PER_UNIT",Q24*BA24,IF(AY24="MANUAL",IF(U24="",0,U24),0)))))</f>
        <v/>
      </c>
      <c r="U24" s="23" t="n"/>
      <c r="V24" s="25" t="n"/>
      <c r="W24" s="25" t="n"/>
      <c r="X24" s="26">
        <f>IF(E24="INACTIVE",0,D24+K24+L24+S24+T24+IF(V24="",0,V24)+IF(W24="",0,W24))</f>
        <v/>
      </c>
      <c r="Y24" s="27" t="n"/>
      <c r="Z24" s="28">
        <f>IF(E24="INACTIVE","_",IF(AND(G24&gt;0,H24&gt;0,H24&lt;G24),"[!]น้ำ reset ","")&amp;IF(AND(O24&gt;0,P24&gt;0,P24&lt;O24),"[!]ไฟ reset ","")&amp;IF(AND(F24="MANUAL",J24=""),"[X]units น้ำ ","")&amp;IF(AND(N24="MANUAL",R24=""),"[X]units ไฟ ","")&amp;IF(D24=0,"[!]ค่าเช่า=0",""))</f>
        <v/>
      </c>
      <c r="AA24" s="29">
        <f>IF(C24&lt;&gt;"",C24,CONFIG!$B$6)</f>
        <v/>
      </c>
      <c r="AB24" s="29">
        <f>IF(F24&lt;&gt;"",F24,IFERROR(VLOOKUP(AA24,RULES!$A:$C,3,0),CONFIG!$B$7))</f>
        <v/>
      </c>
      <c r="AC24" s="29">
        <f>IF(IFERROR(VLOOKUP(AA24,RULES!$A:$D,4,0),"")="",CONFIG!$B$10,VLOOKUP(AA24,RULES!$A:$D,4,0))</f>
        <v/>
      </c>
      <c r="AD24" s="29">
        <f>IF(IFERROR(VLOOKUP(AA24,RULES!$A:$E,5,0),"")="",CONFIG!$B$11,VLOOKUP(AA24,RULES!$A:$E,5,0))</f>
        <v/>
      </c>
      <c r="AE24" s="29">
        <f>IFERROR(VLOOKUP(AA24,RULES!$A:$F,6,0)*1,0)</f>
        <v/>
      </c>
      <c r="AF24" s="29">
        <f>IFERROR(VLOOKUP(AA24,RULES!$A:$G,7,0)*1,0)</f>
        <v/>
      </c>
      <c r="AG24" s="29">
        <f>IFERROR(VLOOKUP(AA24,RULES!$A:$H,8,0)*1,0)</f>
        <v/>
      </c>
      <c r="AH24" s="29">
        <f>IFERROR(VLOOKUP(AA24,RULES!$A:$I,9,0)*1,0)</f>
        <v/>
      </c>
      <c r="AI24" s="29">
        <f>IFERROR(VLOOKUP(AA24,RULES!$A:$J,10,0)*1,0)</f>
        <v/>
      </c>
      <c r="AJ24" s="29">
        <f>IFERROR(IF(VLOOKUP(AA24,RULES!$A:$K,11,0)="",999999,VLOOKUP(AA24,RULES!$A:$K,11,0)*1),999999)</f>
        <v/>
      </c>
      <c r="AK24" s="29">
        <f>IFERROR(VLOOKUP(AA24,RULES!$A:$L,12,0)*1,0)</f>
        <v/>
      </c>
      <c r="AL24" s="29">
        <f>IFERROR(VLOOKUP(AA24,RULES!$A:$M,13,0),"NONE")</f>
        <v/>
      </c>
      <c r="AM24" s="29">
        <f>IFERROR(VLOOKUP(AA24,RULES!$A:$N,14,0)*1,0)</f>
        <v/>
      </c>
      <c r="AN24" s="29">
        <f>IFERROR(VLOOKUP(AA24,RULES!$A:$O,15,0)*1,0)</f>
        <v/>
      </c>
      <c r="AO24" s="29">
        <f>IF(N24&lt;&gt;"",N24,IFERROR(VLOOKUP(AA24,RULES!$A:$P,16,0),CONFIG!$B$8))</f>
        <v/>
      </c>
      <c r="AP24" s="29">
        <f>IF(IFERROR(VLOOKUP(AA24,RULES!$A:$Q,17,0),"")="",CONFIG!$B$13,VLOOKUP(AA24,RULES!$A:$Q,17,0))</f>
        <v/>
      </c>
      <c r="AQ24" s="29">
        <f>IF(IFERROR(VLOOKUP(AA24,RULES!$A:$R,18,0),"")="",CONFIG!$B$14,VLOOKUP(AA24,RULES!$A:$R,18,0))</f>
        <v/>
      </c>
      <c r="AR24" s="29">
        <f>IFERROR(VLOOKUP(AA24,RULES!$A:$S,19,0)*1,0)</f>
        <v/>
      </c>
      <c r="AS24" s="29">
        <f>IFERROR(VLOOKUP(AA24,RULES!$A:$T,20,0)*1,0)</f>
        <v/>
      </c>
      <c r="AT24" s="29">
        <f>IFERROR(VLOOKUP(AA24,RULES!$A:$U,21,0)*1,0)</f>
        <v/>
      </c>
      <c r="AU24" s="29">
        <f>IFERROR(VLOOKUP(AA24,RULES!$A:$V,22,0)*1,0)</f>
        <v/>
      </c>
      <c r="AV24" s="29">
        <f>IFERROR(VLOOKUP(AA24,RULES!$A:$W,23,0)*1,0)</f>
        <v/>
      </c>
      <c r="AW24" s="29">
        <f>IFERROR(IF(VLOOKUP(AA24,RULES!$A:$X,24,0)="",999999,VLOOKUP(AA24,RULES!$A:$X,24,0)*1),999999)</f>
        <v/>
      </c>
      <c r="AX24" s="29">
        <f>IFERROR(VLOOKUP(AA24,RULES!$A:$Y,25,0)*1,0)</f>
        <v/>
      </c>
      <c r="AY24" s="29">
        <f>IFERROR(VLOOKUP(AA24,RULES!$A:$Z,26,0),"NONE")</f>
        <v/>
      </c>
      <c r="AZ24" s="29">
        <f>IFERROR(VLOOKUP(AA24,RULES!$A:$AA,27,0)*1,0)</f>
        <v/>
      </c>
      <c r="BA24" s="29">
        <f>IFERROR(VLOOKUP(AA24,RULES!$A:$AB,28,0)*1,0)</f>
        <v/>
      </c>
    </row>
    <row r="25" ht="17" customHeight="1">
      <c r="A25" s="22" t="inlineStr">
        <is>
          <t>3822</t>
        </is>
      </c>
      <c r="B25" s="48" t="inlineStr">
        <is>
          <t>ACC008</t>
        </is>
      </c>
      <c r="C25" s="48" t="inlineStr">
        <is>
          <t>DEFAULT</t>
        </is>
      </c>
      <c r="D25" s="47" t="n"/>
      <c r="E25" s="22">
        <f>IF(OR(D25="",D25=0),"INACTIVE","ACTIVE")</f>
        <v/>
      </c>
      <c r="F25" s="48" t="inlineStr">
        <is>
          <t>NORMAL</t>
        </is>
      </c>
      <c r="G25" s="25" t="n"/>
      <c r="H25" s="25" t="n"/>
      <c r="I25" s="26">
        <f>IF(OR(E25="INACTIVE",H25=""),0,MAX(0,H25-G25))</f>
        <v/>
      </c>
      <c r="J25" s="23" t="n"/>
      <c r="K25" s="26">
        <f>IF(OR(E25="INACTIVE",H25=""),0,IF(AB25="DISABLED",0,IF(AB25="FLAT",AE25,IF(AB25="MANUAL",IF(J25="",0,J25*AC25),IF(AB25="STEP",IF(I25&lt;=AF25,I25*AG25,IF(I25&lt;=AH25,AF25*AG25+(I25-AF25)*AI25,AF25*AG25+(AH25-AF25)*AI25+(I25-AH25)*AK25)),MAX(I25*AC25,AD25))))))</f>
        <v/>
      </c>
      <c r="L25" s="26">
        <f>IF(OR(E25="INACTIVE",H25=""),0,IF(AL25="NONE",0,IF(AL25="FLAT",AM25,IF(AL25="PER_UNIT",I25*AN25,IF(AL25="MANUAL",IF(M25="",0,M25),0)))))</f>
        <v/>
      </c>
      <c r="M25" s="23" t="n"/>
      <c r="N25" s="48" t="inlineStr">
        <is>
          <t>NORMAL</t>
        </is>
      </c>
      <c r="O25" s="25" t="n"/>
      <c r="P25" s="25" t="n"/>
      <c r="Q25" s="26">
        <f>IF(OR(E25="INACTIVE",P25=""),0,MAX(0,P25-O25))</f>
        <v/>
      </c>
      <c r="R25" s="23" t="n"/>
      <c r="S25" s="26">
        <f>IF(OR(E25="INACTIVE",P25=""),0,IF(AO25="DISABLED",0,IF(AO25="FLAT",AR25,IF(AO25="MANUAL",IF(R25="",0,R25*AP25),IF(AO25="STEP",IF(Q25&lt;=AS25,Q25*AT25,IF(Q25&lt;=AU25,AS25*AT25+(Q25-AS25)*AV25,AS25*AT25+(AU25-AS25)*AV25+(Q25-AU25)*AX25)),MAX(Q25*AP25,AQ25))))))</f>
        <v/>
      </c>
      <c r="T25" s="26">
        <f>IF(OR(E25="INACTIVE",P25=""),0,IF(AY25="NONE",0,IF(AY25="FLAT",AZ25,IF(AY25="PER_UNIT",Q25*BA25,IF(AY25="MANUAL",IF(U25="",0,U25),0)))))</f>
        <v/>
      </c>
      <c r="U25" s="23" t="n"/>
      <c r="V25" s="25" t="n"/>
      <c r="W25" s="25" t="n"/>
      <c r="X25" s="26">
        <f>IF(E25="INACTIVE",0,D25+K25+L25+S25+T25+IF(V25="",0,V25)+IF(W25="",0,W25))</f>
        <v/>
      </c>
      <c r="Y25" s="27" t="n"/>
      <c r="Z25" s="28">
        <f>IF(E25="INACTIVE","_",IF(AND(G25&gt;0,H25&gt;0,H25&lt;G25),"[!]น้ำ reset ","")&amp;IF(AND(O25&gt;0,P25&gt;0,P25&lt;O25),"[!]ไฟ reset ","")&amp;IF(AND(F25="MANUAL",J25=""),"[X]units น้ำ ","")&amp;IF(AND(N25="MANUAL",R25=""),"[X]units ไฟ ","")&amp;IF(D25=0,"[!]ค่าเช่า=0",""))</f>
        <v/>
      </c>
      <c r="AA25" s="29">
        <f>IF(C25&lt;&gt;"",C25,CONFIG!$B$6)</f>
        <v/>
      </c>
      <c r="AB25" s="29">
        <f>IF(F25&lt;&gt;"",F25,IFERROR(VLOOKUP(AA25,RULES!$A:$C,3,0),CONFIG!$B$7))</f>
        <v/>
      </c>
      <c r="AC25" s="29">
        <f>IF(IFERROR(VLOOKUP(AA25,RULES!$A:$D,4,0),"")="",CONFIG!$B$10,VLOOKUP(AA25,RULES!$A:$D,4,0))</f>
        <v/>
      </c>
      <c r="AD25" s="29">
        <f>IF(IFERROR(VLOOKUP(AA25,RULES!$A:$E,5,0),"")="",CONFIG!$B$11,VLOOKUP(AA25,RULES!$A:$E,5,0))</f>
        <v/>
      </c>
      <c r="AE25" s="29">
        <f>IFERROR(VLOOKUP(AA25,RULES!$A:$F,6,0)*1,0)</f>
        <v/>
      </c>
      <c r="AF25" s="29">
        <f>IFERROR(VLOOKUP(AA25,RULES!$A:$G,7,0)*1,0)</f>
        <v/>
      </c>
      <c r="AG25" s="29">
        <f>IFERROR(VLOOKUP(AA25,RULES!$A:$H,8,0)*1,0)</f>
        <v/>
      </c>
      <c r="AH25" s="29">
        <f>IFERROR(VLOOKUP(AA25,RULES!$A:$I,9,0)*1,0)</f>
        <v/>
      </c>
      <c r="AI25" s="29">
        <f>IFERROR(VLOOKUP(AA25,RULES!$A:$J,10,0)*1,0)</f>
        <v/>
      </c>
      <c r="AJ25" s="29">
        <f>IFERROR(IF(VLOOKUP(AA25,RULES!$A:$K,11,0)="",999999,VLOOKUP(AA25,RULES!$A:$K,11,0)*1),999999)</f>
        <v/>
      </c>
      <c r="AK25" s="29">
        <f>IFERROR(VLOOKUP(AA25,RULES!$A:$L,12,0)*1,0)</f>
        <v/>
      </c>
      <c r="AL25" s="29">
        <f>IFERROR(VLOOKUP(AA25,RULES!$A:$M,13,0),"NONE")</f>
        <v/>
      </c>
      <c r="AM25" s="29">
        <f>IFERROR(VLOOKUP(AA25,RULES!$A:$N,14,0)*1,0)</f>
        <v/>
      </c>
      <c r="AN25" s="29">
        <f>IFERROR(VLOOKUP(AA25,RULES!$A:$O,15,0)*1,0)</f>
        <v/>
      </c>
      <c r="AO25" s="29">
        <f>IF(N25&lt;&gt;"",N25,IFERROR(VLOOKUP(AA25,RULES!$A:$P,16,0),CONFIG!$B$8))</f>
        <v/>
      </c>
      <c r="AP25" s="29">
        <f>IF(IFERROR(VLOOKUP(AA25,RULES!$A:$Q,17,0),"")="",CONFIG!$B$13,VLOOKUP(AA25,RULES!$A:$Q,17,0))</f>
        <v/>
      </c>
      <c r="AQ25" s="29">
        <f>IF(IFERROR(VLOOKUP(AA25,RULES!$A:$R,18,0),"")="",CONFIG!$B$14,VLOOKUP(AA25,RULES!$A:$R,18,0))</f>
        <v/>
      </c>
      <c r="AR25" s="29">
        <f>IFERROR(VLOOKUP(AA25,RULES!$A:$S,19,0)*1,0)</f>
        <v/>
      </c>
      <c r="AS25" s="29">
        <f>IFERROR(VLOOKUP(AA25,RULES!$A:$T,20,0)*1,0)</f>
        <v/>
      </c>
      <c r="AT25" s="29">
        <f>IFERROR(VLOOKUP(AA25,RULES!$A:$U,21,0)*1,0)</f>
        <v/>
      </c>
      <c r="AU25" s="29">
        <f>IFERROR(VLOOKUP(AA25,RULES!$A:$V,22,0)*1,0)</f>
        <v/>
      </c>
      <c r="AV25" s="29">
        <f>IFERROR(VLOOKUP(AA25,RULES!$A:$W,23,0)*1,0)</f>
        <v/>
      </c>
      <c r="AW25" s="29">
        <f>IFERROR(IF(VLOOKUP(AA25,RULES!$A:$X,24,0)="",999999,VLOOKUP(AA25,RULES!$A:$X,24,0)*1),999999)</f>
        <v/>
      </c>
      <c r="AX25" s="29">
        <f>IFERROR(VLOOKUP(AA25,RULES!$A:$Y,25,0)*1,0)</f>
        <v/>
      </c>
      <c r="AY25" s="29">
        <f>IFERROR(VLOOKUP(AA25,RULES!$A:$Z,26,0),"NONE")</f>
        <v/>
      </c>
      <c r="AZ25" s="29">
        <f>IFERROR(VLOOKUP(AA25,RULES!$A:$AA,27,0)*1,0)</f>
        <v/>
      </c>
      <c r="BA25" s="29">
        <f>IFERROR(VLOOKUP(AA25,RULES!$A:$AB,28,0)*1,0)</f>
        <v/>
      </c>
    </row>
    <row r="26" ht="17" customHeight="1">
      <c r="A26" s="22" t="inlineStr">
        <is>
          <t>3823</t>
        </is>
      </c>
      <c r="B26" s="48" t="inlineStr">
        <is>
          <t>ACC008</t>
        </is>
      </c>
      <c r="C26" s="48" t="inlineStr">
        <is>
          <t>DEFAULT</t>
        </is>
      </c>
      <c r="D26" s="47" t="n"/>
      <c r="E26" s="22">
        <f>IF(OR(D26="",D26=0),"INACTIVE","ACTIVE")</f>
        <v/>
      </c>
      <c r="F26" s="48" t="inlineStr">
        <is>
          <t>NORMAL</t>
        </is>
      </c>
      <c r="G26" s="25" t="n"/>
      <c r="H26" s="25" t="n"/>
      <c r="I26" s="26">
        <f>IF(OR(E26="INACTIVE",H26=""),0,MAX(0,H26-G26))</f>
        <v/>
      </c>
      <c r="J26" s="23" t="n"/>
      <c r="K26" s="26">
        <f>IF(OR(E26="INACTIVE",H26=""),0,IF(AB26="DISABLED",0,IF(AB26="FLAT",AE26,IF(AB26="MANUAL",IF(J26="",0,J26*AC26),IF(AB26="STEP",IF(I26&lt;=AF26,I26*AG26,IF(I26&lt;=AH26,AF26*AG26+(I26-AF26)*AI26,AF26*AG26+(AH26-AF26)*AI26+(I26-AH26)*AK26)),MAX(I26*AC26,AD26))))))</f>
        <v/>
      </c>
      <c r="L26" s="26">
        <f>IF(OR(E26="INACTIVE",H26=""),0,IF(AL26="NONE",0,IF(AL26="FLAT",AM26,IF(AL26="PER_UNIT",I26*AN26,IF(AL26="MANUAL",IF(M26="",0,M26),0)))))</f>
        <v/>
      </c>
      <c r="M26" s="23" t="n"/>
      <c r="N26" s="48" t="inlineStr">
        <is>
          <t>NORMAL</t>
        </is>
      </c>
      <c r="O26" s="25" t="n"/>
      <c r="P26" s="25" t="n"/>
      <c r="Q26" s="26">
        <f>IF(OR(E26="INACTIVE",P26=""),0,MAX(0,P26-O26))</f>
        <v/>
      </c>
      <c r="R26" s="23" t="n"/>
      <c r="S26" s="26">
        <f>IF(OR(E26="INACTIVE",P26=""),0,IF(AO26="DISABLED",0,IF(AO26="FLAT",AR26,IF(AO26="MANUAL",IF(R26="",0,R26*AP26),IF(AO26="STEP",IF(Q26&lt;=AS26,Q26*AT26,IF(Q26&lt;=AU26,AS26*AT26+(Q26-AS26)*AV26,AS26*AT26+(AU26-AS26)*AV26+(Q26-AU26)*AX26)),MAX(Q26*AP26,AQ26))))))</f>
        <v/>
      </c>
      <c r="T26" s="26">
        <f>IF(OR(E26="INACTIVE",P26=""),0,IF(AY26="NONE",0,IF(AY26="FLAT",AZ26,IF(AY26="PER_UNIT",Q26*BA26,IF(AY26="MANUAL",IF(U26="",0,U26),0)))))</f>
        <v/>
      </c>
      <c r="U26" s="23" t="n"/>
      <c r="V26" s="25" t="n"/>
      <c r="W26" s="25" t="n"/>
      <c r="X26" s="26">
        <f>IF(E26="INACTIVE",0,D26+K26+L26+S26+T26+IF(V26="",0,V26)+IF(W26="",0,W26))</f>
        <v/>
      </c>
      <c r="Y26" s="27" t="n"/>
      <c r="Z26" s="28">
        <f>IF(E26="INACTIVE","_",IF(AND(G26&gt;0,H26&gt;0,H26&lt;G26),"[!]น้ำ reset ","")&amp;IF(AND(O26&gt;0,P26&gt;0,P26&lt;O26),"[!]ไฟ reset ","")&amp;IF(AND(F26="MANUAL",J26=""),"[X]units น้ำ ","")&amp;IF(AND(N26="MANUAL",R26=""),"[X]units ไฟ ","")&amp;IF(D26=0,"[!]ค่าเช่า=0",""))</f>
        <v/>
      </c>
      <c r="AA26" s="29">
        <f>IF(C26&lt;&gt;"",C26,CONFIG!$B$6)</f>
        <v/>
      </c>
      <c r="AB26" s="29">
        <f>IF(F26&lt;&gt;"",F26,IFERROR(VLOOKUP(AA26,RULES!$A:$C,3,0),CONFIG!$B$7))</f>
        <v/>
      </c>
      <c r="AC26" s="29">
        <f>IF(IFERROR(VLOOKUP(AA26,RULES!$A:$D,4,0),"")="",CONFIG!$B$10,VLOOKUP(AA26,RULES!$A:$D,4,0))</f>
        <v/>
      </c>
      <c r="AD26" s="29">
        <f>IF(IFERROR(VLOOKUP(AA26,RULES!$A:$E,5,0),"")="",CONFIG!$B$11,VLOOKUP(AA26,RULES!$A:$E,5,0))</f>
        <v/>
      </c>
      <c r="AE26" s="29">
        <f>IFERROR(VLOOKUP(AA26,RULES!$A:$F,6,0)*1,0)</f>
        <v/>
      </c>
      <c r="AF26" s="29">
        <f>IFERROR(VLOOKUP(AA26,RULES!$A:$G,7,0)*1,0)</f>
        <v/>
      </c>
      <c r="AG26" s="29">
        <f>IFERROR(VLOOKUP(AA26,RULES!$A:$H,8,0)*1,0)</f>
        <v/>
      </c>
      <c r="AH26" s="29">
        <f>IFERROR(VLOOKUP(AA26,RULES!$A:$I,9,0)*1,0)</f>
        <v/>
      </c>
      <c r="AI26" s="29">
        <f>IFERROR(VLOOKUP(AA26,RULES!$A:$J,10,0)*1,0)</f>
        <v/>
      </c>
      <c r="AJ26" s="29">
        <f>IFERROR(IF(VLOOKUP(AA26,RULES!$A:$K,11,0)="",999999,VLOOKUP(AA26,RULES!$A:$K,11,0)*1),999999)</f>
        <v/>
      </c>
      <c r="AK26" s="29">
        <f>IFERROR(VLOOKUP(AA26,RULES!$A:$L,12,0)*1,0)</f>
        <v/>
      </c>
      <c r="AL26" s="29">
        <f>IFERROR(VLOOKUP(AA26,RULES!$A:$M,13,0),"NONE")</f>
        <v/>
      </c>
      <c r="AM26" s="29">
        <f>IFERROR(VLOOKUP(AA26,RULES!$A:$N,14,0)*1,0)</f>
        <v/>
      </c>
      <c r="AN26" s="29">
        <f>IFERROR(VLOOKUP(AA26,RULES!$A:$O,15,0)*1,0)</f>
        <v/>
      </c>
      <c r="AO26" s="29">
        <f>IF(N26&lt;&gt;"",N26,IFERROR(VLOOKUP(AA26,RULES!$A:$P,16,0),CONFIG!$B$8))</f>
        <v/>
      </c>
      <c r="AP26" s="29">
        <f>IF(IFERROR(VLOOKUP(AA26,RULES!$A:$Q,17,0),"")="",CONFIG!$B$13,VLOOKUP(AA26,RULES!$A:$Q,17,0))</f>
        <v/>
      </c>
      <c r="AQ26" s="29">
        <f>IF(IFERROR(VLOOKUP(AA26,RULES!$A:$R,18,0),"")="",CONFIG!$B$14,VLOOKUP(AA26,RULES!$A:$R,18,0))</f>
        <v/>
      </c>
      <c r="AR26" s="29">
        <f>IFERROR(VLOOKUP(AA26,RULES!$A:$S,19,0)*1,0)</f>
        <v/>
      </c>
      <c r="AS26" s="29">
        <f>IFERROR(VLOOKUP(AA26,RULES!$A:$T,20,0)*1,0)</f>
        <v/>
      </c>
      <c r="AT26" s="29">
        <f>IFERROR(VLOOKUP(AA26,RULES!$A:$U,21,0)*1,0)</f>
        <v/>
      </c>
      <c r="AU26" s="29">
        <f>IFERROR(VLOOKUP(AA26,RULES!$A:$V,22,0)*1,0)</f>
        <v/>
      </c>
      <c r="AV26" s="29">
        <f>IFERROR(VLOOKUP(AA26,RULES!$A:$W,23,0)*1,0)</f>
        <v/>
      </c>
      <c r="AW26" s="29">
        <f>IFERROR(IF(VLOOKUP(AA26,RULES!$A:$X,24,0)="",999999,VLOOKUP(AA26,RULES!$A:$X,24,0)*1),999999)</f>
        <v/>
      </c>
      <c r="AX26" s="29">
        <f>IFERROR(VLOOKUP(AA26,RULES!$A:$Y,25,0)*1,0)</f>
        <v/>
      </c>
      <c r="AY26" s="29">
        <f>IFERROR(VLOOKUP(AA26,RULES!$A:$Z,26,0),"NONE")</f>
        <v/>
      </c>
      <c r="AZ26" s="29">
        <f>IFERROR(VLOOKUP(AA26,RULES!$A:$AA,27,0)*1,0)</f>
        <v/>
      </c>
      <c r="BA26" s="29">
        <f>IFERROR(VLOOKUP(AA26,RULES!$A:$AB,28,0)*1,0)</f>
        <v/>
      </c>
    </row>
    <row r="27" ht="17" customHeight="1">
      <c r="A27" s="22" t="inlineStr">
        <is>
          <t>3824</t>
        </is>
      </c>
      <c r="B27" s="48" t="inlineStr">
        <is>
          <t>ACC008</t>
        </is>
      </c>
      <c r="C27" s="48" t="inlineStr">
        <is>
          <t>DEFAULT</t>
        </is>
      </c>
      <c r="D27" s="47" t="n"/>
      <c r="E27" s="22">
        <f>IF(OR(D27="",D27=0),"INACTIVE","ACTIVE")</f>
        <v/>
      </c>
      <c r="F27" s="48" t="inlineStr">
        <is>
          <t>NORMAL</t>
        </is>
      </c>
      <c r="G27" s="25" t="n"/>
      <c r="H27" s="25" t="n"/>
      <c r="I27" s="26">
        <f>IF(OR(E27="INACTIVE",H27=""),0,MAX(0,H27-G27))</f>
        <v/>
      </c>
      <c r="J27" s="23" t="n"/>
      <c r="K27" s="26">
        <f>IF(OR(E27="INACTIVE",H27=""),0,IF(AB27="DISABLED",0,IF(AB27="FLAT",AE27,IF(AB27="MANUAL",IF(J27="",0,J27*AC27),IF(AB27="STEP",IF(I27&lt;=AF27,I27*AG27,IF(I27&lt;=AH27,AF27*AG27+(I27-AF27)*AI27,AF27*AG27+(AH27-AF27)*AI27+(I27-AH27)*AK27)),MAX(I27*AC27,AD27))))))</f>
        <v/>
      </c>
      <c r="L27" s="26">
        <f>IF(OR(E27="INACTIVE",H27=""),0,IF(AL27="NONE",0,IF(AL27="FLAT",AM27,IF(AL27="PER_UNIT",I27*AN27,IF(AL27="MANUAL",IF(M27="",0,M27),0)))))</f>
        <v/>
      </c>
      <c r="M27" s="23" t="n"/>
      <c r="N27" s="48" t="inlineStr">
        <is>
          <t>NORMAL</t>
        </is>
      </c>
      <c r="O27" s="25" t="n"/>
      <c r="P27" s="25" t="n"/>
      <c r="Q27" s="26">
        <f>IF(OR(E27="INACTIVE",P27=""),0,MAX(0,P27-O27))</f>
        <v/>
      </c>
      <c r="R27" s="23" t="n"/>
      <c r="S27" s="26">
        <f>IF(OR(E27="INACTIVE",P27=""),0,IF(AO27="DISABLED",0,IF(AO27="FLAT",AR27,IF(AO27="MANUAL",IF(R27="",0,R27*AP27),IF(AO27="STEP",IF(Q27&lt;=AS27,Q27*AT27,IF(Q27&lt;=AU27,AS27*AT27+(Q27-AS27)*AV27,AS27*AT27+(AU27-AS27)*AV27+(Q27-AU27)*AX27)),MAX(Q27*AP27,AQ27))))))</f>
        <v/>
      </c>
      <c r="T27" s="26">
        <f>IF(OR(E27="INACTIVE",P27=""),0,IF(AY27="NONE",0,IF(AY27="FLAT",AZ27,IF(AY27="PER_UNIT",Q27*BA27,IF(AY27="MANUAL",IF(U27="",0,U27),0)))))</f>
        <v/>
      </c>
      <c r="U27" s="23" t="n"/>
      <c r="V27" s="25" t="n"/>
      <c r="W27" s="25" t="n"/>
      <c r="X27" s="26">
        <f>IF(E27="INACTIVE",0,D27+K27+L27+S27+T27+IF(V27="",0,V27)+IF(W27="",0,W27))</f>
        <v/>
      </c>
      <c r="Y27" s="27" t="n"/>
      <c r="Z27" s="28">
        <f>IF(E27="INACTIVE","_",IF(AND(G27&gt;0,H27&gt;0,H27&lt;G27),"[!]น้ำ reset ","")&amp;IF(AND(O27&gt;0,P27&gt;0,P27&lt;O27),"[!]ไฟ reset ","")&amp;IF(AND(F27="MANUAL",J27=""),"[X]units น้ำ ","")&amp;IF(AND(N27="MANUAL",R27=""),"[X]units ไฟ ","")&amp;IF(D27=0,"[!]ค่าเช่า=0",""))</f>
        <v/>
      </c>
      <c r="AA27" s="29">
        <f>IF(C27&lt;&gt;"",C27,CONFIG!$B$6)</f>
        <v/>
      </c>
      <c r="AB27" s="29">
        <f>IF(F27&lt;&gt;"",F27,IFERROR(VLOOKUP(AA27,RULES!$A:$C,3,0),CONFIG!$B$7))</f>
        <v/>
      </c>
      <c r="AC27" s="29">
        <f>IF(IFERROR(VLOOKUP(AA27,RULES!$A:$D,4,0),"")="",CONFIG!$B$10,VLOOKUP(AA27,RULES!$A:$D,4,0))</f>
        <v/>
      </c>
      <c r="AD27" s="29">
        <f>IF(IFERROR(VLOOKUP(AA27,RULES!$A:$E,5,0),"")="",CONFIG!$B$11,VLOOKUP(AA27,RULES!$A:$E,5,0))</f>
        <v/>
      </c>
      <c r="AE27" s="29">
        <f>IFERROR(VLOOKUP(AA27,RULES!$A:$F,6,0)*1,0)</f>
        <v/>
      </c>
      <c r="AF27" s="29">
        <f>IFERROR(VLOOKUP(AA27,RULES!$A:$G,7,0)*1,0)</f>
        <v/>
      </c>
      <c r="AG27" s="29">
        <f>IFERROR(VLOOKUP(AA27,RULES!$A:$H,8,0)*1,0)</f>
        <v/>
      </c>
      <c r="AH27" s="29">
        <f>IFERROR(VLOOKUP(AA27,RULES!$A:$I,9,0)*1,0)</f>
        <v/>
      </c>
      <c r="AI27" s="29">
        <f>IFERROR(VLOOKUP(AA27,RULES!$A:$J,10,0)*1,0)</f>
        <v/>
      </c>
      <c r="AJ27" s="29">
        <f>IFERROR(IF(VLOOKUP(AA27,RULES!$A:$K,11,0)="",999999,VLOOKUP(AA27,RULES!$A:$K,11,0)*1),999999)</f>
        <v/>
      </c>
      <c r="AK27" s="29">
        <f>IFERROR(VLOOKUP(AA27,RULES!$A:$L,12,0)*1,0)</f>
        <v/>
      </c>
      <c r="AL27" s="29">
        <f>IFERROR(VLOOKUP(AA27,RULES!$A:$M,13,0),"NONE")</f>
        <v/>
      </c>
      <c r="AM27" s="29">
        <f>IFERROR(VLOOKUP(AA27,RULES!$A:$N,14,0)*1,0)</f>
        <v/>
      </c>
      <c r="AN27" s="29">
        <f>IFERROR(VLOOKUP(AA27,RULES!$A:$O,15,0)*1,0)</f>
        <v/>
      </c>
      <c r="AO27" s="29">
        <f>IF(N27&lt;&gt;"",N27,IFERROR(VLOOKUP(AA27,RULES!$A:$P,16,0),CONFIG!$B$8))</f>
        <v/>
      </c>
      <c r="AP27" s="29">
        <f>IF(IFERROR(VLOOKUP(AA27,RULES!$A:$Q,17,0),"")="",CONFIG!$B$13,VLOOKUP(AA27,RULES!$A:$Q,17,0))</f>
        <v/>
      </c>
      <c r="AQ27" s="29">
        <f>IF(IFERROR(VLOOKUP(AA27,RULES!$A:$R,18,0),"")="",CONFIG!$B$14,VLOOKUP(AA27,RULES!$A:$R,18,0))</f>
        <v/>
      </c>
      <c r="AR27" s="29">
        <f>IFERROR(VLOOKUP(AA27,RULES!$A:$S,19,0)*1,0)</f>
        <v/>
      </c>
      <c r="AS27" s="29">
        <f>IFERROR(VLOOKUP(AA27,RULES!$A:$T,20,0)*1,0)</f>
        <v/>
      </c>
      <c r="AT27" s="29">
        <f>IFERROR(VLOOKUP(AA27,RULES!$A:$U,21,0)*1,0)</f>
        <v/>
      </c>
      <c r="AU27" s="29">
        <f>IFERROR(VLOOKUP(AA27,RULES!$A:$V,22,0)*1,0)</f>
        <v/>
      </c>
      <c r="AV27" s="29">
        <f>IFERROR(VLOOKUP(AA27,RULES!$A:$W,23,0)*1,0)</f>
        <v/>
      </c>
      <c r="AW27" s="29">
        <f>IFERROR(IF(VLOOKUP(AA27,RULES!$A:$X,24,0)="",999999,VLOOKUP(AA27,RULES!$A:$X,24,0)*1),999999)</f>
        <v/>
      </c>
      <c r="AX27" s="29">
        <f>IFERROR(VLOOKUP(AA27,RULES!$A:$Y,25,0)*1,0)</f>
        <v/>
      </c>
      <c r="AY27" s="29">
        <f>IFERROR(VLOOKUP(AA27,RULES!$A:$Z,26,0),"NONE")</f>
        <v/>
      </c>
      <c r="AZ27" s="29">
        <f>IFERROR(VLOOKUP(AA27,RULES!$A:$AA,27,0)*1,0)</f>
        <v/>
      </c>
      <c r="BA27" s="29">
        <f>IFERROR(VLOOKUP(AA27,RULES!$A:$AB,28,0)*1,0)</f>
        <v/>
      </c>
    </row>
    <row r="28" ht="17" customHeight="1">
      <c r="A28" s="22" t="inlineStr">
        <is>
          <t>3825</t>
        </is>
      </c>
      <c r="B28" s="48" t="inlineStr">
        <is>
          <t>ACC008</t>
        </is>
      </c>
      <c r="C28" s="48" t="inlineStr">
        <is>
          <t>DEFAULT</t>
        </is>
      </c>
      <c r="D28" s="47" t="n"/>
      <c r="E28" s="22">
        <f>IF(OR(D28="",D28=0),"INACTIVE","ACTIVE")</f>
        <v/>
      </c>
      <c r="F28" s="48" t="inlineStr">
        <is>
          <t>NORMAL</t>
        </is>
      </c>
      <c r="G28" s="25" t="n"/>
      <c r="H28" s="25" t="n"/>
      <c r="I28" s="26">
        <f>IF(OR(E28="INACTIVE",H28=""),0,MAX(0,H28-G28))</f>
        <v/>
      </c>
      <c r="J28" s="23" t="n"/>
      <c r="K28" s="26">
        <f>IF(OR(E28="INACTIVE",H28=""),0,IF(AB28="DISABLED",0,IF(AB28="FLAT",AE28,IF(AB28="MANUAL",IF(J28="",0,J28*AC28),IF(AB28="STEP",IF(I28&lt;=AF28,I28*AG28,IF(I28&lt;=AH28,AF28*AG28+(I28-AF28)*AI28,AF28*AG28+(AH28-AF28)*AI28+(I28-AH28)*AK28)),MAX(I28*AC28,AD28))))))</f>
        <v/>
      </c>
      <c r="L28" s="26">
        <f>IF(OR(E28="INACTIVE",H28=""),0,IF(AL28="NONE",0,IF(AL28="FLAT",AM28,IF(AL28="PER_UNIT",I28*AN28,IF(AL28="MANUAL",IF(M28="",0,M28),0)))))</f>
        <v/>
      </c>
      <c r="M28" s="23" t="n"/>
      <c r="N28" s="48" t="inlineStr">
        <is>
          <t>NORMAL</t>
        </is>
      </c>
      <c r="O28" s="25" t="n"/>
      <c r="P28" s="25" t="n"/>
      <c r="Q28" s="26">
        <f>IF(OR(E28="INACTIVE",P28=""),0,MAX(0,P28-O28))</f>
        <v/>
      </c>
      <c r="R28" s="23" t="n"/>
      <c r="S28" s="26">
        <f>IF(OR(E28="INACTIVE",P28=""),0,IF(AO28="DISABLED",0,IF(AO28="FLAT",AR28,IF(AO28="MANUAL",IF(R28="",0,R28*AP28),IF(AO28="STEP",IF(Q28&lt;=AS28,Q28*AT28,IF(Q28&lt;=AU28,AS28*AT28+(Q28-AS28)*AV28,AS28*AT28+(AU28-AS28)*AV28+(Q28-AU28)*AX28)),MAX(Q28*AP28,AQ28))))))</f>
        <v/>
      </c>
      <c r="T28" s="26">
        <f>IF(OR(E28="INACTIVE",P28=""),0,IF(AY28="NONE",0,IF(AY28="FLAT",AZ28,IF(AY28="PER_UNIT",Q28*BA28,IF(AY28="MANUAL",IF(U28="",0,U28),0)))))</f>
        <v/>
      </c>
      <c r="U28" s="23" t="n"/>
      <c r="V28" s="25" t="n"/>
      <c r="W28" s="25" t="n"/>
      <c r="X28" s="26">
        <f>IF(E28="INACTIVE",0,D28+K28+L28+S28+T28+IF(V28="",0,V28)+IF(W28="",0,W28))</f>
        <v/>
      </c>
      <c r="Y28" s="27" t="n"/>
      <c r="Z28" s="28">
        <f>IF(E28="INACTIVE","_",IF(AND(G28&gt;0,H28&gt;0,H28&lt;G28),"[!]น้ำ reset ","")&amp;IF(AND(O28&gt;0,P28&gt;0,P28&lt;O28),"[!]ไฟ reset ","")&amp;IF(AND(F28="MANUAL",J28=""),"[X]units น้ำ ","")&amp;IF(AND(N28="MANUAL",R28=""),"[X]units ไฟ ","")&amp;IF(D28=0,"[!]ค่าเช่า=0",""))</f>
        <v/>
      </c>
      <c r="AA28" s="29">
        <f>IF(C28&lt;&gt;"",C28,CONFIG!$B$6)</f>
        <v/>
      </c>
      <c r="AB28" s="29">
        <f>IF(F28&lt;&gt;"",F28,IFERROR(VLOOKUP(AA28,RULES!$A:$C,3,0),CONFIG!$B$7))</f>
        <v/>
      </c>
      <c r="AC28" s="29">
        <f>IF(IFERROR(VLOOKUP(AA28,RULES!$A:$D,4,0),"")="",CONFIG!$B$10,VLOOKUP(AA28,RULES!$A:$D,4,0))</f>
        <v/>
      </c>
      <c r="AD28" s="29">
        <f>IF(IFERROR(VLOOKUP(AA28,RULES!$A:$E,5,0),"")="",CONFIG!$B$11,VLOOKUP(AA28,RULES!$A:$E,5,0))</f>
        <v/>
      </c>
      <c r="AE28" s="29">
        <f>IFERROR(VLOOKUP(AA28,RULES!$A:$F,6,0)*1,0)</f>
        <v/>
      </c>
      <c r="AF28" s="29">
        <f>IFERROR(VLOOKUP(AA28,RULES!$A:$G,7,0)*1,0)</f>
        <v/>
      </c>
      <c r="AG28" s="29">
        <f>IFERROR(VLOOKUP(AA28,RULES!$A:$H,8,0)*1,0)</f>
        <v/>
      </c>
      <c r="AH28" s="29">
        <f>IFERROR(VLOOKUP(AA28,RULES!$A:$I,9,0)*1,0)</f>
        <v/>
      </c>
      <c r="AI28" s="29">
        <f>IFERROR(VLOOKUP(AA28,RULES!$A:$J,10,0)*1,0)</f>
        <v/>
      </c>
      <c r="AJ28" s="29">
        <f>IFERROR(IF(VLOOKUP(AA28,RULES!$A:$K,11,0)="",999999,VLOOKUP(AA28,RULES!$A:$K,11,0)*1),999999)</f>
        <v/>
      </c>
      <c r="AK28" s="29">
        <f>IFERROR(VLOOKUP(AA28,RULES!$A:$L,12,0)*1,0)</f>
        <v/>
      </c>
      <c r="AL28" s="29">
        <f>IFERROR(VLOOKUP(AA28,RULES!$A:$M,13,0),"NONE")</f>
        <v/>
      </c>
      <c r="AM28" s="29">
        <f>IFERROR(VLOOKUP(AA28,RULES!$A:$N,14,0)*1,0)</f>
        <v/>
      </c>
      <c r="AN28" s="29">
        <f>IFERROR(VLOOKUP(AA28,RULES!$A:$O,15,0)*1,0)</f>
        <v/>
      </c>
      <c r="AO28" s="29">
        <f>IF(N28&lt;&gt;"",N28,IFERROR(VLOOKUP(AA28,RULES!$A:$P,16,0),CONFIG!$B$8))</f>
        <v/>
      </c>
      <c r="AP28" s="29">
        <f>IF(IFERROR(VLOOKUP(AA28,RULES!$A:$Q,17,0),"")="",CONFIG!$B$13,VLOOKUP(AA28,RULES!$A:$Q,17,0))</f>
        <v/>
      </c>
      <c r="AQ28" s="29">
        <f>IF(IFERROR(VLOOKUP(AA28,RULES!$A:$R,18,0),"")="",CONFIG!$B$14,VLOOKUP(AA28,RULES!$A:$R,18,0))</f>
        <v/>
      </c>
      <c r="AR28" s="29">
        <f>IFERROR(VLOOKUP(AA28,RULES!$A:$S,19,0)*1,0)</f>
        <v/>
      </c>
      <c r="AS28" s="29">
        <f>IFERROR(VLOOKUP(AA28,RULES!$A:$T,20,0)*1,0)</f>
        <v/>
      </c>
      <c r="AT28" s="29">
        <f>IFERROR(VLOOKUP(AA28,RULES!$A:$U,21,0)*1,0)</f>
        <v/>
      </c>
      <c r="AU28" s="29">
        <f>IFERROR(VLOOKUP(AA28,RULES!$A:$V,22,0)*1,0)</f>
        <v/>
      </c>
      <c r="AV28" s="29">
        <f>IFERROR(VLOOKUP(AA28,RULES!$A:$W,23,0)*1,0)</f>
        <v/>
      </c>
      <c r="AW28" s="29">
        <f>IFERROR(IF(VLOOKUP(AA28,RULES!$A:$X,24,0)="",999999,VLOOKUP(AA28,RULES!$A:$X,24,0)*1),999999)</f>
        <v/>
      </c>
      <c r="AX28" s="29">
        <f>IFERROR(VLOOKUP(AA28,RULES!$A:$Y,25,0)*1,0)</f>
        <v/>
      </c>
      <c r="AY28" s="29">
        <f>IFERROR(VLOOKUP(AA28,RULES!$A:$Z,26,0),"NONE")</f>
        <v/>
      </c>
      <c r="AZ28" s="29">
        <f>IFERROR(VLOOKUP(AA28,RULES!$A:$AA,27,0)*1,0)</f>
        <v/>
      </c>
      <c r="BA28" s="29">
        <f>IFERROR(VLOOKUP(AA28,RULES!$A:$AB,28,0)*1,0)</f>
        <v/>
      </c>
    </row>
    <row r="29" ht="17" customHeight="1">
      <c r="A29" s="22" t="inlineStr">
        <is>
          <t>3826</t>
        </is>
      </c>
      <c r="B29" s="48" t="inlineStr">
        <is>
          <t>ACC008</t>
        </is>
      </c>
      <c r="C29" s="48" t="inlineStr">
        <is>
          <t>DEFAULT</t>
        </is>
      </c>
      <c r="D29" s="47" t="n"/>
      <c r="E29" s="22">
        <f>IF(OR(D29="",D29=0),"INACTIVE","ACTIVE")</f>
        <v/>
      </c>
      <c r="F29" s="48" t="inlineStr">
        <is>
          <t>NORMAL</t>
        </is>
      </c>
      <c r="G29" s="25" t="n"/>
      <c r="H29" s="25" t="n"/>
      <c r="I29" s="26">
        <f>IF(OR(E29="INACTIVE",H29=""),0,MAX(0,H29-G29))</f>
        <v/>
      </c>
      <c r="J29" s="23" t="n"/>
      <c r="K29" s="26">
        <f>IF(OR(E29="INACTIVE",H29=""),0,IF(AB29="DISABLED",0,IF(AB29="FLAT",AE29,IF(AB29="MANUAL",IF(J29="",0,J29*AC29),IF(AB29="STEP",IF(I29&lt;=AF29,I29*AG29,IF(I29&lt;=AH29,AF29*AG29+(I29-AF29)*AI29,AF29*AG29+(AH29-AF29)*AI29+(I29-AH29)*AK29)),MAX(I29*AC29,AD29))))))</f>
        <v/>
      </c>
      <c r="L29" s="26">
        <f>IF(OR(E29="INACTIVE",H29=""),0,IF(AL29="NONE",0,IF(AL29="FLAT",AM29,IF(AL29="PER_UNIT",I29*AN29,IF(AL29="MANUAL",IF(M29="",0,M29),0)))))</f>
        <v/>
      </c>
      <c r="M29" s="23" t="n"/>
      <c r="N29" s="48" t="inlineStr">
        <is>
          <t>NORMAL</t>
        </is>
      </c>
      <c r="O29" s="25" t="n"/>
      <c r="P29" s="25" t="n"/>
      <c r="Q29" s="26">
        <f>IF(OR(E29="INACTIVE",P29=""),0,MAX(0,P29-O29))</f>
        <v/>
      </c>
      <c r="R29" s="23" t="n"/>
      <c r="S29" s="26">
        <f>IF(OR(E29="INACTIVE",P29=""),0,IF(AO29="DISABLED",0,IF(AO29="FLAT",AR29,IF(AO29="MANUAL",IF(R29="",0,R29*AP29),IF(AO29="STEP",IF(Q29&lt;=AS29,Q29*AT29,IF(Q29&lt;=AU29,AS29*AT29+(Q29-AS29)*AV29,AS29*AT29+(AU29-AS29)*AV29+(Q29-AU29)*AX29)),MAX(Q29*AP29,AQ29))))))</f>
        <v/>
      </c>
      <c r="T29" s="26">
        <f>IF(OR(E29="INACTIVE",P29=""),0,IF(AY29="NONE",0,IF(AY29="FLAT",AZ29,IF(AY29="PER_UNIT",Q29*BA29,IF(AY29="MANUAL",IF(U29="",0,U29),0)))))</f>
        <v/>
      </c>
      <c r="U29" s="23" t="n"/>
      <c r="V29" s="25" t="n"/>
      <c r="W29" s="25" t="n"/>
      <c r="X29" s="26">
        <f>IF(E29="INACTIVE",0,D29+K29+L29+S29+T29+IF(V29="",0,V29)+IF(W29="",0,W29))</f>
        <v/>
      </c>
      <c r="Y29" s="27" t="n"/>
      <c r="Z29" s="28">
        <f>IF(E29="INACTIVE","_",IF(AND(G29&gt;0,H29&gt;0,H29&lt;G29),"[!]น้ำ reset ","")&amp;IF(AND(O29&gt;0,P29&gt;0,P29&lt;O29),"[!]ไฟ reset ","")&amp;IF(AND(F29="MANUAL",J29=""),"[X]units น้ำ ","")&amp;IF(AND(N29="MANUAL",R29=""),"[X]units ไฟ ","")&amp;IF(D29=0,"[!]ค่าเช่า=0",""))</f>
        <v/>
      </c>
      <c r="AA29" s="29">
        <f>IF(C29&lt;&gt;"",C29,CONFIG!$B$6)</f>
        <v/>
      </c>
      <c r="AB29" s="29">
        <f>IF(F29&lt;&gt;"",F29,IFERROR(VLOOKUP(AA29,RULES!$A:$C,3,0),CONFIG!$B$7))</f>
        <v/>
      </c>
      <c r="AC29" s="29">
        <f>IF(IFERROR(VLOOKUP(AA29,RULES!$A:$D,4,0),"")="",CONFIG!$B$10,VLOOKUP(AA29,RULES!$A:$D,4,0))</f>
        <v/>
      </c>
      <c r="AD29" s="29">
        <f>IF(IFERROR(VLOOKUP(AA29,RULES!$A:$E,5,0),"")="",CONFIG!$B$11,VLOOKUP(AA29,RULES!$A:$E,5,0))</f>
        <v/>
      </c>
      <c r="AE29" s="29">
        <f>IFERROR(VLOOKUP(AA29,RULES!$A:$F,6,0)*1,0)</f>
        <v/>
      </c>
      <c r="AF29" s="29">
        <f>IFERROR(VLOOKUP(AA29,RULES!$A:$G,7,0)*1,0)</f>
        <v/>
      </c>
      <c r="AG29" s="29">
        <f>IFERROR(VLOOKUP(AA29,RULES!$A:$H,8,0)*1,0)</f>
        <v/>
      </c>
      <c r="AH29" s="29">
        <f>IFERROR(VLOOKUP(AA29,RULES!$A:$I,9,0)*1,0)</f>
        <v/>
      </c>
      <c r="AI29" s="29">
        <f>IFERROR(VLOOKUP(AA29,RULES!$A:$J,10,0)*1,0)</f>
        <v/>
      </c>
      <c r="AJ29" s="29">
        <f>IFERROR(IF(VLOOKUP(AA29,RULES!$A:$K,11,0)="",999999,VLOOKUP(AA29,RULES!$A:$K,11,0)*1),999999)</f>
        <v/>
      </c>
      <c r="AK29" s="29">
        <f>IFERROR(VLOOKUP(AA29,RULES!$A:$L,12,0)*1,0)</f>
        <v/>
      </c>
      <c r="AL29" s="29">
        <f>IFERROR(VLOOKUP(AA29,RULES!$A:$M,13,0),"NONE")</f>
        <v/>
      </c>
      <c r="AM29" s="29">
        <f>IFERROR(VLOOKUP(AA29,RULES!$A:$N,14,0)*1,0)</f>
        <v/>
      </c>
      <c r="AN29" s="29">
        <f>IFERROR(VLOOKUP(AA29,RULES!$A:$O,15,0)*1,0)</f>
        <v/>
      </c>
      <c r="AO29" s="29">
        <f>IF(N29&lt;&gt;"",N29,IFERROR(VLOOKUP(AA29,RULES!$A:$P,16,0),CONFIG!$B$8))</f>
        <v/>
      </c>
      <c r="AP29" s="29">
        <f>IF(IFERROR(VLOOKUP(AA29,RULES!$A:$Q,17,0),"")="",CONFIG!$B$13,VLOOKUP(AA29,RULES!$A:$Q,17,0))</f>
        <v/>
      </c>
      <c r="AQ29" s="29">
        <f>IF(IFERROR(VLOOKUP(AA29,RULES!$A:$R,18,0),"")="",CONFIG!$B$14,VLOOKUP(AA29,RULES!$A:$R,18,0))</f>
        <v/>
      </c>
      <c r="AR29" s="29">
        <f>IFERROR(VLOOKUP(AA29,RULES!$A:$S,19,0)*1,0)</f>
        <v/>
      </c>
      <c r="AS29" s="29">
        <f>IFERROR(VLOOKUP(AA29,RULES!$A:$T,20,0)*1,0)</f>
        <v/>
      </c>
      <c r="AT29" s="29">
        <f>IFERROR(VLOOKUP(AA29,RULES!$A:$U,21,0)*1,0)</f>
        <v/>
      </c>
      <c r="AU29" s="29">
        <f>IFERROR(VLOOKUP(AA29,RULES!$A:$V,22,0)*1,0)</f>
        <v/>
      </c>
      <c r="AV29" s="29">
        <f>IFERROR(VLOOKUP(AA29,RULES!$A:$W,23,0)*1,0)</f>
        <v/>
      </c>
      <c r="AW29" s="29">
        <f>IFERROR(IF(VLOOKUP(AA29,RULES!$A:$X,24,0)="",999999,VLOOKUP(AA29,RULES!$A:$X,24,0)*1),999999)</f>
        <v/>
      </c>
      <c r="AX29" s="29">
        <f>IFERROR(VLOOKUP(AA29,RULES!$A:$Y,25,0)*1,0)</f>
        <v/>
      </c>
      <c r="AY29" s="29">
        <f>IFERROR(VLOOKUP(AA29,RULES!$A:$Z,26,0),"NONE")</f>
        <v/>
      </c>
      <c r="AZ29" s="29">
        <f>IFERROR(VLOOKUP(AA29,RULES!$A:$AA,27,0)*1,0)</f>
        <v/>
      </c>
      <c r="BA29" s="29">
        <f>IFERROR(VLOOKUP(AA29,RULES!$A:$AB,28,0)*1,0)</f>
        <v/>
      </c>
    </row>
    <row r="30" ht="17" customHeight="1">
      <c r="A30" s="22" t="inlineStr">
        <is>
          <t>3827</t>
        </is>
      </c>
      <c r="B30" s="48" t="inlineStr">
        <is>
          <t>ACC008</t>
        </is>
      </c>
      <c r="C30" s="48" t="inlineStr">
        <is>
          <t>DEFAULT</t>
        </is>
      </c>
      <c r="D30" s="47" t="n"/>
      <c r="E30" s="22">
        <f>IF(OR(D30="",D30=0),"INACTIVE","ACTIVE")</f>
        <v/>
      </c>
      <c r="F30" s="48" t="inlineStr">
        <is>
          <t>NORMAL</t>
        </is>
      </c>
      <c r="G30" s="25" t="n"/>
      <c r="H30" s="25" t="n"/>
      <c r="I30" s="26">
        <f>IF(OR(E30="INACTIVE",H30=""),0,MAX(0,H30-G30))</f>
        <v/>
      </c>
      <c r="J30" s="23" t="n"/>
      <c r="K30" s="26">
        <f>IF(OR(E30="INACTIVE",H30=""),0,IF(AB30="DISABLED",0,IF(AB30="FLAT",AE30,IF(AB30="MANUAL",IF(J30="",0,J30*AC30),IF(AB30="STEP",IF(I30&lt;=AF30,I30*AG30,IF(I30&lt;=AH30,AF30*AG30+(I30-AF30)*AI30,AF30*AG30+(AH30-AF30)*AI30+(I30-AH30)*AK30)),MAX(I30*AC30,AD30))))))</f>
        <v/>
      </c>
      <c r="L30" s="26">
        <f>IF(OR(E30="INACTIVE",H30=""),0,IF(AL30="NONE",0,IF(AL30="FLAT",AM30,IF(AL30="PER_UNIT",I30*AN30,IF(AL30="MANUAL",IF(M30="",0,M30),0)))))</f>
        <v/>
      </c>
      <c r="M30" s="23" t="n"/>
      <c r="N30" s="48" t="inlineStr">
        <is>
          <t>NORMAL</t>
        </is>
      </c>
      <c r="O30" s="25" t="n"/>
      <c r="P30" s="25" t="n"/>
      <c r="Q30" s="26">
        <f>IF(OR(E30="INACTIVE",P30=""),0,MAX(0,P30-O30))</f>
        <v/>
      </c>
      <c r="R30" s="23" t="n"/>
      <c r="S30" s="26">
        <f>IF(OR(E30="INACTIVE",P30=""),0,IF(AO30="DISABLED",0,IF(AO30="FLAT",AR30,IF(AO30="MANUAL",IF(R30="",0,R30*AP30),IF(AO30="STEP",IF(Q30&lt;=AS30,Q30*AT30,IF(Q30&lt;=AU30,AS30*AT30+(Q30-AS30)*AV30,AS30*AT30+(AU30-AS30)*AV30+(Q30-AU30)*AX30)),MAX(Q30*AP30,AQ30))))))</f>
        <v/>
      </c>
      <c r="T30" s="26">
        <f>IF(OR(E30="INACTIVE",P30=""),0,IF(AY30="NONE",0,IF(AY30="FLAT",AZ30,IF(AY30="PER_UNIT",Q30*BA30,IF(AY30="MANUAL",IF(U30="",0,U30),0)))))</f>
        <v/>
      </c>
      <c r="U30" s="23" t="n"/>
      <c r="V30" s="25" t="n"/>
      <c r="W30" s="25" t="n"/>
      <c r="X30" s="26">
        <f>IF(E30="INACTIVE",0,D30+K30+L30+S30+T30+IF(V30="",0,V30)+IF(W30="",0,W30))</f>
        <v/>
      </c>
      <c r="Y30" s="27" t="n"/>
      <c r="Z30" s="28">
        <f>IF(E30="INACTIVE","_",IF(AND(G30&gt;0,H30&gt;0,H30&lt;G30),"[!]น้ำ reset ","")&amp;IF(AND(O30&gt;0,P30&gt;0,P30&lt;O30),"[!]ไฟ reset ","")&amp;IF(AND(F30="MANUAL",J30=""),"[X]units น้ำ ","")&amp;IF(AND(N30="MANUAL",R30=""),"[X]units ไฟ ","")&amp;IF(D30=0,"[!]ค่าเช่า=0",""))</f>
        <v/>
      </c>
      <c r="AA30" s="29">
        <f>IF(C30&lt;&gt;"",C30,CONFIG!$B$6)</f>
        <v/>
      </c>
      <c r="AB30" s="29">
        <f>IF(F30&lt;&gt;"",F30,IFERROR(VLOOKUP(AA30,RULES!$A:$C,3,0),CONFIG!$B$7))</f>
        <v/>
      </c>
      <c r="AC30" s="29">
        <f>IF(IFERROR(VLOOKUP(AA30,RULES!$A:$D,4,0),"")="",CONFIG!$B$10,VLOOKUP(AA30,RULES!$A:$D,4,0))</f>
        <v/>
      </c>
      <c r="AD30" s="29">
        <f>IF(IFERROR(VLOOKUP(AA30,RULES!$A:$E,5,0),"")="",CONFIG!$B$11,VLOOKUP(AA30,RULES!$A:$E,5,0))</f>
        <v/>
      </c>
      <c r="AE30" s="29">
        <f>IFERROR(VLOOKUP(AA30,RULES!$A:$F,6,0)*1,0)</f>
        <v/>
      </c>
      <c r="AF30" s="29">
        <f>IFERROR(VLOOKUP(AA30,RULES!$A:$G,7,0)*1,0)</f>
        <v/>
      </c>
      <c r="AG30" s="29">
        <f>IFERROR(VLOOKUP(AA30,RULES!$A:$H,8,0)*1,0)</f>
        <v/>
      </c>
      <c r="AH30" s="29">
        <f>IFERROR(VLOOKUP(AA30,RULES!$A:$I,9,0)*1,0)</f>
        <v/>
      </c>
      <c r="AI30" s="29">
        <f>IFERROR(VLOOKUP(AA30,RULES!$A:$J,10,0)*1,0)</f>
        <v/>
      </c>
      <c r="AJ30" s="29">
        <f>IFERROR(IF(VLOOKUP(AA30,RULES!$A:$K,11,0)="",999999,VLOOKUP(AA30,RULES!$A:$K,11,0)*1),999999)</f>
        <v/>
      </c>
      <c r="AK30" s="29">
        <f>IFERROR(VLOOKUP(AA30,RULES!$A:$L,12,0)*1,0)</f>
        <v/>
      </c>
      <c r="AL30" s="29">
        <f>IFERROR(VLOOKUP(AA30,RULES!$A:$M,13,0),"NONE")</f>
        <v/>
      </c>
      <c r="AM30" s="29">
        <f>IFERROR(VLOOKUP(AA30,RULES!$A:$N,14,0)*1,0)</f>
        <v/>
      </c>
      <c r="AN30" s="29">
        <f>IFERROR(VLOOKUP(AA30,RULES!$A:$O,15,0)*1,0)</f>
        <v/>
      </c>
      <c r="AO30" s="29">
        <f>IF(N30&lt;&gt;"",N30,IFERROR(VLOOKUP(AA30,RULES!$A:$P,16,0),CONFIG!$B$8))</f>
        <v/>
      </c>
      <c r="AP30" s="29">
        <f>IF(IFERROR(VLOOKUP(AA30,RULES!$A:$Q,17,0),"")="",CONFIG!$B$13,VLOOKUP(AA30,RULES!$A:$Q,17,0))</f>
        <v/>
      </c>
      <c r="AQ30" s="29">
        <f>IF(IFERROR(VLOOKUP(AA30,RULES!$A:$R,18,0),"")="",CONFIG!$B$14,VLOOKUP(AA30,RULES!$A:$R,18,0))</f>
        <v/>
      </c>
      <c r="AR30" s="29">
        <f>IFERROR(VLOOKUP(AA30,RULES!$A:$S,19,0)*1,0)</f>
        <v/>
      </c>
      <c r="AS30" s="29">
        <f>IFERROR(VLOOKUP(AA30,RULES!$A:$T,20,0)*1,0)</f>
        <v/>
      </c>
      <c r="AT30" s="29">
        <f>IFERROR(VLOOKUP(AA30,RULES!$A:$U,21,0)*1,0)</f>
        <v/>
      </c>
      <c r="AU30" s="29">
        <f>IFERROR(VLOOKUP(AA30,RULES!$A:$V,22,0)*1,0)</f>
        <v/>
      </c>
      <c r="AV30" s="29">
        <f>IFERROR(VLOOKUP(AA30,RULES!$A:$W,23,0)*1,0)</f>
        <v/>
      </c>
      <c r="AW30" s="29">
        <f>IFERROR(IF(VLOOKUP(AA30,RULES!$A:$X,24,0)="",999999,VLOOKUP(AA30,RULES!$A:$X,24,0)*1),999999)</f>
        <v/>
      </c>
      <c r="AX30" s="29">
        <f>IFERROR(VLOOKUP(AA30,RULES!$A:$Y,25,0)*1,0)</f>
        <v/>
      </c>
      <c r="AY30" s="29">
        <f>IFERROR(VLOOKUP(AA30,RULES!$A:$Z,26,0),"NONE")</f>
        <v/>
      </c>
      <c r="AZ30" s="29">
        <f>IFERROR(VLOOKUP(AA30,RULES!$A:$AA,27,0)*1,0)</f>
        <v/>
      </c>
      <c r="BA30" s="29">
        <f>IFERROR(VLOOKUP(AA30,RULES!$A:$AB,28,0)*1,0)</f>
        <v/>
      </c>
    </row>
    <row r="31" ht="17" customHeight="1">
      <c r="A31" s="22" t="inlineStr">
        <is>
          <t>3828</t>
        </is>
      </c>
      <c r="B31" s="48" t="inlineStr">
        <is>
          <t>ACC008</t>
        </is>
      </c>
      <c r="C31" s="48" t="inlineStr">
        <is>
          <t>DEFAULT</t>
        </is>
      </c>
      <c r="D31" s="47" t="n"/>
      <c r="E31" s="22">
        <f>IF(OR(D31="",D31=0),"INACTIVE","ACTIVE")</f>
        <v/>
      </c>
      <c r="F31" s="48" t="inlineStr">
        <is>
          <t>NORMAL</t>
        </is>
      </c>
      <c r="G31" s="25" t="n"/>
      <c r="H31" s="25" t="n"/>
      <c r="I31" s="26">
        <f>IF(OR(E31="INACTIVE",H31=""),0,MAX(0,H31-G31))</f>
        <v/>
      </c>
      <c r="J31" s="23" t="n"/>
      <c r="K31" s="26">
        <f>IF(OR(E31="INACTIVE",H31=""),0,IF(AB31="DISABLED",0,IF(AB31="FLAT",AE31,IF(AB31="MANUAL",IF(J31="",0,J31*AC31),IF(AB31="STEP",IF(I31&lt;=AF31,I31*AG31,IF(I31&lt;=AH31,AF31*AG31+(I31-AF31)*AI31,AF31*AG31+(AH31-AF31)*AI31+(I31-AH31)*AK31)),MAX(I31*AC31,AD31))))))</f>
        <v/>
      </c>
      <c r="L31" s="26">
        <f>IF(OR(E31="INACTIVE",H31=""),0,IF(AL31="NONE",0,IF(AL31="FLAT",AM31,IF(AL31="PER_UNIT",I31*AN31,IF(AL31="MANUAL",IF(M31="",0,M31),0)))))</f>
        <v/>
      </c>
      <c r="M31" s="23" t="n"/>
      <c r="N31" s="48" t="inlineStr">
        <is>
          <t>NORMAL</t>
        </is>
      </c>
      <c r="O31" s="25" t="n"/>
      <c r="P31" s="25" t="n"/>
      <c r="Q31" s="26">
        <f>IF(OR(E31="INACTIVE",P31=""),0,MAX(0,P31-O31))</f>
        <v/>
      </c>
      <c r="R31" s="23" t="n"/>
      <c r="S31" s="26">
        <f>IF(OR(E31="INACTIVE",P31=""),0,IF(AO31="DISABLED",0,IF(AO31="FLAT",AR31,IF(AO31="MANUAL",IF(R31="",0,R31*AP31),IF(AO31="STEP",IF(Q31&lt;=AS31,Q31*AT31,IF(Q31&lt;=AU31,AS31*AT31+(Q31-AS31)*AV31,AS31*AT31+(AU31-AS31)*AV31+(Q31-AU31)*AX31)),MAX(Q31*AP31,AQ31))))))</f>
        <v/>
      </c>
      <c r="T31" s="26">
        <f>IF(OR(E31="INACTIVE",P31=""),0,IF(AY31="NONE",0,IF(AY31="FLAT",AZ31,IF(AY31="PER_UNIT",Q31*BA31,IF(AY31="MANUAL",IF(U31="",0,U31),0)))))</f>
        <v/>
      </c>
      <c r="U31" s="23" t="n"/>
      <c r="V31" s="25" t="n"/>
      <c r="W31" s="25" t="n"/>
      <c r="X31" s="26">
        <f>IF(E31="INACTIVE",0,D31+K31+L31+S31+T31+IF(V31="",0,V31)+IF(W31="",0,W31))</f>
        <v/>
      </c>
      <c r="Y31" s="27" t="n"/>
      <c r="Z31" s="28">
        <f>IF(E31="INACTIVE","_",IF(AND(G31&gt;0,H31&gt;0,H31&lt;G31),"[!]น้ำ reset ","")&amp;IF(AND(O31&gt;0,P31&gt;0,P31&lt;O31),"[!]ไฟ reset ","")&amp;IF(AND(F31="MANUAL",J31=""),"[X]units น้ำ ","")&amp;IF(AND(N31="MANUAL",R31=""),"[X]units ไฟ ","")&amp;IF(D31=0,"[!]ค่าเช่า=0",""))</f>
        <v/>
      </c>
      <c r="AA31" s="29">
        <f>IF(C31&lt;&gt;"",C31,CONFIG!$B$6)</f>
        <v/>
      </c>
      <c r="AB31" s="29">
        <f>IF(F31&lt;&gt;"",F31,IFERROR(VLOOKUP(AA31,RULES!$A:$C,3,0),CONFIG!$B$7))</f>
        <v/>
      </c>
      <c r="AC31" s="29">
        <f>IF(IFERROR(VLOOKUP(AA31,RULES!$A:$D,4,0),"")="",CONFIG!$B$10,VLOOKUP(AA31,RULES!$A:$D,4,0))</f>
        <v/>
      </c>
      <c r="AD31" s="29">
        <f>IF(IFERROR(VLOOKUP(AA31,RULES!$A:$E,5,0),"")="",CONFIG!$B$11,VLOOKUP(AA31,RULES!$A:$E,5,0))</f>
        <v/>
      </c>
      <c r="AE31" s="29">
        <f>IFERROR(VLOOKUP(AA31,RULES!$A:$F,6,0)*1,0)</f>
        <v/>
      </c>
      <c r="AF31" s="29">
        <f>IFERROR(VLOOKUP(AA31,RULES!$A:$G,7,0)*1,0)</f>
        <v/>
      </c>
      <c r="AG31" s="29">
        <f>IFERROR(VLOOKUP(AA31,RULES!$A:$H,8,0)*1,0)</f>
        <v/>
      </c>
      <c r="AH31" s="29">
        <f>IFERROR(VLOOKUP(AA31,RULES!$A:$I,9,0)*1,0)</f>
        <v/>
      </c>
      <c r="AI31" s="29">
        <f>IFERROR(VLOOKUP(AA31,RULES!$A:$J,10,0)*1,0)</f>
        <v/>
      </c>
      <c r="AJ31" s="29">
        <f>IFERROR(IF(VLOOKUP(AA31,RULES!$A:$K,11,0)="",999999,VLOOKUP(AA31,RULES!$A:$K,11,0)*1),999999)</f>
        <v/>
      </c>
      <c r="AK31" s="29">
        <f>IFERROR(VLOOKUP(AA31,RULES!$A:$L,12,0)*1,0)</f>
        <v/>
      </c>
      <c r="AL31" s="29">
        <f>IFERROR(VLOOKUP(AA31,RULES!$A:$M,13,0),"NONE")</f>
        <v/>
      </c>
      <c r="AM31" s="29">
        <f>IFERROR(VLOOKUP(AA31,RULES!$A:$N,14,0)*1,0)</f>
        <v/>
      </c>
      <c r="AN31" s="29">
        <f>IFERROR(VLOOKUP(AA31,RULES!$A:$O,15,0)*1,0)</f>
        <v/>
      </c>
      <c r="AO31" s="29">
        <f>IF(N31&lt;&gt;"",N31,IFERROR(VLOOKUP(AA31,RULES!$A:$P,16,0),CONFIG!$B$8))</f>
        <v/>
      </c>
      <c r="AP31" s="29">
        <f>IF(IFERROR(VLOOKUP(AA31,RULES!$A:$Q,17,0),"")="",CONFIG!$B$13,VLOOKUP(AA31,RULES!$A:$Q,17,0))</f>
        <v/>
      </c>
      <c r="AQ31" s="29">
        <f>IF(IFERROR(VLOOKUP(AA31,RULES!$A:$R,18,0),"")="",CONFIG!$B$14,VLOOKUP(AA31,RULES!$A:$R,18,0))</f>
        <v/>
      </c>
      <c r="AR31" s="29">
        <f>IFERROR(VLOOKUP(AA31,RULES!$A:$S,19,0)*1,0)</f>
        <v/>
      </c>
      <c r="AS31" s="29">
        <f>IFERROR(VLOOKUP(AA31,RULES!$A:$T,20,0)*1,0)</f>
        <v/>
      </c>
      <c r="AT31" s="29">
        <f>IFERROR(VLOOKUP(AA31,RULES!$A:$U,21,0)*1,0)</f>
        <v/>
      </c>
      <c r="AU31" s="29">
        <f>IFERROR(VLOOKUP(AA31,RULES!$A:$V,22,0)*1,0)</f>
        <v/>
      </c>
      <c r="AV31" s="29">
        <f>IFERROR(VLOOKUP(AA31,RULES!$A:$W,23,0)*1,0)</f>
        <v/>
      </c>
      <c r="AW31" s="29">
        <f>IFERROR(IF(VLOOKUP(AA31,RULES!$A:$X,24,0)="",999999,VLOOKUP(AA31,RULES!$A:$X,24,0)*1),999999)</f>
        <v/>
      </c>
      <c r="AX31" s="29">
        <f>IFERROR(VLOOKUP(AA31,RULES!$A:$Y,25,0)*1,0)</f>
        <v/>
      </c>
      <c r="AY31" s="29">
        <f>IFERROR(VLOOKUP(AA31,RULES!$A:$Z,26,0),"NONE")</f>
        <v/>
      </c>
      <c r="AZ31" s="29">
        <f>IFERROR(VLOOKUP(AA31,RULES!$A:$AA,27,0)*1,0)</f>
        <v/>
      </c>
      <c r="BA31" s="29">
        <f>IFERROR(VLOOKUP(AA31,RULES!$A:$AB,28,0)*1,0)</f>
        <v/>
      </c>
    </row>
    <row r="32" ht="17" customHeight="1">
      <c r="A32" s="22" t="inlineStr">
        <is>
          <t>3829</t>
        </is>
      </c>
      <c r="B32" s="48" t="inlineStr">
        <is>
          <t>ACC008</t>
        </is>
      </c>
      <c r="C32" s="48" t="inlineStr">
        <is>
          <t>DEFAULT</t>
        </is>
      </c>
      <c r="D32" s="47" t="n"/>
      <c r="E32" s="22">
        <f>IF(OR(D32="",D32=0),"INACTIVE","ACTIVE")</f>
        <v/>
      </c>
      <c r="F32" s="48" t="inlineStr">
        <is>
          <t>NORMAL</t>
        </is>
      </c>
      <c r="G32" s="25" t="n"/>
      <c r="H32" s="25" t="n"/>
      <c r="I32" s="26">
        <f>IF(OR(E32="INACTIVE",H32=""),0,MAX(0,H32-G32))</f>
        <v/>
      </c>
      <c r="J32" s="23" t="n"/>
      <c r="K32" s="26">
        <f>IF(OR(E32="INACTIVE",H32=""),0,IF(AB32="DISABLED",0,IF(AB32="FLAT",AE32,IF(AB32="MANUAL",IF(J32="",0,J32*AC32),IF(AB32="STEP",IF(I32&lt;=AF32,I32*AG32,IF(I32&lt;=AH32,AF32*AG32+(I32-AF32)*AI32,AF32*AG32+(AH32-AF32)*AI32+(I32-AH32)*AK32)),MAX(I32*AC32,AD32))))))</f>
        <v/>
      </c>
      <c r="L32" s="26">
        <f>IF(OR(E32="INACTIVE",H32=""),0,IF(AL32="NONE",0,IF(AL32="FLAT",AM32,IF(AL32="PER_UNIT",I32*AN32,IF(AL32="MANUAL",IF(M32="",0,M32),0)))))</f>
        <v/>
      </c>
      <c r="M32" s="23" t="n"/>
      <c r="N32" s="48" t="inlineStr">
        <is>
          <t>NORMAL</t>
        </is>
      </c>
      <c r="O32" s="25" t="n"/>
      <c r="P32" s="25" t="n"/>
      <c r="Q32" s="26">
        <f>IF(OR(E32="INACTIVE",P32=""),0,MAX(0,P32-O32))</f>
        <v/>
      </c>
      <c r="R32" s="23" t="n"/>
      <c r="S32" s="26">
        <f>IF(OR(E32="INACTIVE",P32=""),0,IF(AO32="DISABLED",0,IF(AO32="FLAT",AR32,IF(AO32="MANUAL",IF(R32="",0,R32*AP32),IF(AO32="STEP",IF(Q32&lt;=AS32,Q32*AT32,IF(Q32&lt;=AU32,AS32*AT32+(Q32-AS32)*AV32,AS32*AT32+(AU32-AS32)*AV32+(Q32-AU32)*AX32)),MAX(Q32*AP32,AQ32))))))</f>
        <v/>
      </c>
      <c r="T32" s="26">
        <f>IF(OR(E32="INACTIVE",P32=""),0,IF(AY32="NONE",0,IF(AY32="FLAT",AZ32,IF(AY32="PER_UNIT",Q32*BA32,IF(AY32="MANUAL",IF(U32="",0,U32),0)))))</f>
        <v/>
      </c>
      <c r="U32" s="23" t="n"/>
      <c r="V32" s="25" t="n"/>
      <c r="W32" s="25" t="n"/>
      <c r="X32" s="26">
        <f>IF(E32="INACTIVE",0,D32+K32+L32+S32+T32+IF(V32="",0,V32)+IF(W32="",0,W32))</f>
        <v/>
      </c>
      <c r="Y32" s="27" t="n"/>
      <c r="Z32" s="28">
        <f>IF(E32="INACTIVE","_",IF(AND(G32&gt;0,H32&gt;0,H32&lt;G32),"[!]น้ำ reset ","")&amp;IF(AND(O32&gt;0,P32&gt;0,P32&lt;O32),"[!]ไฟ reset ","")&amp;IF(AND(F32="MANUAL",J32=""),"[X]units น้ำ ","")&amp;IF(AND(N32="MANUAL",R32=""),"[X]units ไฟ ","")&amp;IF(D32=0,"[!]ค่าเช่า=0",""))</f>
        <v/>
      </c>
      <c r="AA32" s="29">
        <f>IF(C32&lt;&gt;"",C32,CONFIG!$B$6)</f>
        <v/>
      </c>
      <c r="AB32" s="29">
        <f>IF(F32&lt;&gt;"",F32,IFERROR(VLOOKUP(AA32,RULES!$A:$C,3,0),CONFIG!$B$7))</f>
        <v/>
      </c>
      <c r="AC32" s="29">
        <f>IF(IFERROR(VLOOKUP(AA32,RULES!$A:$D,4,0),"")="",CONFIG!$B$10,VLOOKUP(AA32,RULES!$A:$D,4,0))</f>
        <v/>
      </c>
      <c r="AD32" s="29">
        <f>IF(IFERROR(VLOOKUP(AA32,RULES!$A:$E,5,0),"")="",CONFIG!$B$11,VLOOKUP(AA32,RULES!$A:$E,5,0))</f>
        <v/>
      </c>
      <c r="AE32" s="29">
        <f>IFERROR(VLOOKUP(AA32,RULES!$A:$F,6,0)*1,0)</f>
        <v/>
      </c>
      <c r="AF32" s="29">
        <f>IFERROR(VLOOKUP(AA32,RULES!$A:$G,7,0)*1,0)</f>
        <v/>
      </c>
      <c r="AG32" s="29">
        <f>IFERROR(VLOOKUP(AA32,RULES!$A:$H,8,0)*1,0)</f>
        <v/>
      </c>
      <c r="AH32" s="29">
        <f>IFERROR(VLOOKUP(AA32,RULES!$A:$I,9,0)*1,0)</f>
        <v/>
      </c>
      <c r="AI32" s="29">
        <f>IFERROR(VLOOKUP(AA32,RULES!$A:$J,10,0)*1,0)</f>
        <v/>
      </c>
      <c r="AJ32" s="29">
        <f>IFERROR(IF(VLOOKUP(AA32,RULES!$A:$K,11,0)="",999999,VLOOKUP(AA32,RULES!$A:$K,11,0)*1),999999)</f>
        <v/>
      </c>
      <c r="AK32" s="29">
        <f>IFERROR(VLOOKUP(AA32,RULES!$A:$L,12,0)*1,0)</f>
        <v/>
      </c>
      <c r="AL32" s="29">
        <f>IFERROR(VLOOKUP(AA32,RULES!$A:$M,13,0),"NONE")</f>
        <v/>
      </c>
      <c r="AM32" s="29">
        <f>IFERROR(VLOOKUP(AA32,RULES!$A:$N,14,0)*1,0)</f>
        <v/>
      </c>
      <c r="AN32" s="29">
        <f>IFERROR(VLOOKUP(AA32,RULES!$A:$O,15,0)*1,0)</f>
        <v/>
      </c>
      <c r="AO32" s="29">
        <f>IF(N32&lt;&gt;"",N32,IFERROR(VLOOKUP(AA32,RULES!$A:$P,16,0),CONFIG!$B$8))</f>
        <v/>
      </c>
      <c r="AP32" s="29">
        <f>IF(IFERROR(VLOOKUP(AA32,RULES!$A:$Q,17,0),"")="",CONFIG!$B$13,VLOOKUP(AA32,RULES!$A:$Q,17,0))</f>
        <v/>
      </c>
      <c r="AQ32" s="29">
        <f>IF(IFERROR(VLOOKUP(AA32,RULES!$A:$R,18,0),"")="",CONFIG!$B$14,VLOOKUP(AA32,RULES!$A:$R,18,0))</f>
        <v/>
      </c>
      <c r="AR32" s="29">
        <f>IFERROR(VLOOKUP(AA32,RULES!$A:$S,19,0)*1,0)</f>
        <v/>
      </c>
      <c r="AS32" s="29">
        <f>IFERROR(VLOOKUP(AA32,RULES!$A:$T,20,0)*1,0)</f>
        <v/>
      </c>
      <c r="AT32" s="29">
        <f>IFERROR(VLOOKUP(AA32,RULES!$A:$U,21,0)*1,0)</f>
        <v/>
      </c>
      <c r="AU32" s="29">
        <f>IFERROR(VLOOKUP(AA32,RULES!$A:$V,22,0)*1,0)</f>
        <v/>
      </c>
      <c r="AV32" s="29">
        <f>IFERROR(VLOOKUP(AA32,RULES!$A:$W,23,0)*1,0)</f>
        <v/>
      </c>
      <c r="AW32" s="29">
        <f>IFERROR(IF(VLOOKUP(AA32,RULES!$A:$X,24,0)="",999999,VLOOKUP(AA32,RULES!$A:$X,24,0)*1),999999)</f>
        <v/>
      </c>
      <c r="AX32" s="29">
        <f>IFERROR(VLOOKUP(AA32,RULES!$A:$Y,25,0)*1,0)</f>
        <v/>
      </c>
      <c r="AY32" s="29">
        <f>IFERROR(VLOOKUP(AA32,RULES!$A:$Z,26,0),"NONE")</f>
        <v/>
      </c>
      <c r="AZ32" s="29">
        <f>IFERROR(VLOOKUP(AA32,RULES!$A:$AA,27,0)*1,0)</f>
        <v/>
      </c>
      <c r="BA32" s="29">
        <f>IFERROR(VLOOKUP(AA32,RULES!$A:$AB,28,0)*1,0)</f>
        <v/>
      </c>
    </row>
    <row r="33" ht="17" customHeight="1">
      <c r="A33" s="22" t="inlineStr">
        <is>
          <t>3830</t>
        </is>
      </c>
      <c r="B33" s="48" t="inlineStr">
        <is>
          <t>ACC008</t>
        </is>
      </c>
      <c r="C33" s="48" t="inlineStr">
        <is>
          <t>DEFAULT</t>
        </is>
      </c>
      <c r="D33" s="47" t="n"/>
      <c r="E33" s="22">
        <f>IF(OR(D33="",D33=0),"INACTIVE","ACTIVE")</f>
        <v/>
      </c>
      <c r="F33" s="48" t="inlineStr">
        <is>
          <t>NORMAL</t>
        </is>
      </c>
      <c r="G33" s="25" t="n"/>
      <c r="H33" s="25" t="n"/>
      <c r="I33" s="26">
        <f>IF(OR(E33="INACTIVE",H33=""),0,MAX(0,H33-G33))</f>
        <v/>
      </c>
      <c r="J33" s="23" t="n"/>
      <c r="K33" s="26">
        <f>IF(OR(E33="INACTIVE",H33=""),0,IF(AB33="DISABLED",0,IF(AB33="FLAT",AE33,IF(AB33="MANUAL",IF(J33="",0,J33*AC33),IF(AB33="STEP",IF(I33&lt;=AF33,I33*AG33,IF(I33&lt;=AH33,AF33*AG33+(I33-AF33)*AI33,AF33*AG33+(AH33-AF33)*AI33+(I33-AH33)*AK33)),MAX(I33*AC33,AD33))))))</f>
        <v/>
      </c>
      <c r="L33" s="26">
        <f>IF(OR(E33="INACTIVE",H33=""),0,IF(AL33="NONE",0,IF(AL33="FLAT",AM33,IF(AL33="PER_UNIT",I33*AN33,IF(AL33="MANUAL",IF(M33="",0,M33),0)))))</f>
        <v/>
      </c>
      <c r="M33" s="23" t="n"/>
      <c r="N33" s="48" t="inlineStr">
        <is>
          <t>NORMAL</t>
        </is>
      </c>
      <c r="O33" s="25" t="n"/>
      <c r="P33" s="25" t="n"/>
      <c r="Q33" s="26">
        <f>IF(OR(E33="INACTIVE",P33=""),0,MAX(0,P33-O33))</f>
        <v/>
      </c>
      <c r="R33" s="23" t="n"/>
      <c r="S33" s="26">
        <f>IF(OR(E33="INACTIVE",P33=""),0,IF(AO33="DISABLED",0,IF(AO33="FLAT",AR33,IF(AO33="MANUAL",IF(R33="",0,R33*AP33),IF(AO33="STEP",IF(Q33&lt;=AS33,Q33*AT33,IF(Q33&lt;=AU33,AS33*AT33+(Q33-AS33)*AV33,AS33*AT33+(AU33-AS33)*AV33+(Q33-AU33)*AX33)),MAX(Q33*AP33,AQ33))))))</f>
        <v/>
      </c>
      <c r="T33" s="26">
        <f>IF(OR(E33="INACTIVE",P33=""),0,IF(AY33="NONE",0,IF(AY33="FLAT",AZ33,IF(AY33="PER_UNIT",Q33*BA33,IF(AY33="MANUAL",IF(U33="",0,U33),0)))))</f>
        <v/>
      </c>
      <c r="U33" s="23" t="n"/>
      <c r="V33" s="25" t="n"/>
      <c r="W33" s="25" t="n"/>
      <c r="X33" s="26">
        <f>IF(E33="INACTIVE",0,D33+K33+L33+S33+T33+IF(V33="",0,V33)+IF(W33="",0,W33))</f>
        <v/>
      </c>
      <c r="Y33" s="27" t="n"/>
      <c r="Z33" s="28">
        <f>IF(E33="INACTIVE","_",IF(AND(G33&gt;0,H33&gt;0,H33&lt;G33),"[!]น้ำ reset ","")&amp;IF(AND(O33&gt;0,P33&gt;0,P33&lt;O33),"[!]ไฟ reset ","")&amp;IF(AND(F33="MANUAL",J33=""),"[X]units น้ำ ","")&amp;IF(AND(N33="MANUAL",R33=""),"[X]units ไฟ ","")&amp;IF(D33=0,"[!]ค่าเช่า=0",""))</f>
        <v/>
      </c>
      <c r="AA33" s="29">
        <f>IF(C33&lt;&gt;"",C33,CONFIG!$B$6)</f>
        <v/>
      </c>
      <c r="AB33" s="29">
        <f>IF(F33&lt;&gt;"",F33,IFERROR(VLOOKUP(AA33,RULES!$A:$C,3,0),CONFIG!$B$7))</f>
        <v/>
      </c>
      <c r="AC33" s="29">
        <f>IF(IFERROR(VLOOKUP(AA33,RULES!$A:$D,4,0),"")="",CONFIG!$B$10,VLOOKUP(AA33,RULES!$A:$D,4,0))</f>
        <v/>
      </c>
      <c r="AD33" s="29">
        <f>IF(IFERROR(VLOOKUP(AA33,RULES!$A:$E,5,0),"")="",CONFIG!$B$11,VLOOKUP(AA33,RULES!$A:$E,5,0))</f>
        <v/>
      </c>
      <c r="AE33" s="29">
        <f>IFERROR(VLOOKUP(AA33,RULES!$A:$F,6,0)*1,0)</f>
        <v/>
      </c>
      <c r="AF33" s="29">
        <f>IFERROR(VLOOKUP(AA33,RULES!$A:$G,7,0)*1,0)</f>
        <v/>
      </c>
      <c r="AG33" s="29">
        <f>IFERROR(VLOOKUP(AA33,RULES!$A:$H,8,0)*1,0)</f>
        <v/>
      </c>
      <c r="AH33" s="29">
        <f>IFERROR(VLOOKUP(AA33,RULES!$A:$I,9,0)*1,0)</f>
        <v/>
      </c>
      <c r="AI33" s="29">
        <f>IFERROR(VLOOKUP(AA33,RULES!$A:$J,10,0)*1,0)</f>
        <v/>
      </c>
      <c r="AJ33" s="29">
        <f>IFERROR(IF(VLOOKUP(AA33,RULES!$A:$K,11,0)="",999999,VLOOKUP(AA33,RULES!$A:$K,11,0)*1),999999)</f>
        <v/>
      </c>
      <c r="AK33" s="29">
        <f>IFERROR(VLOOKUP(AA33,RULES!$A:$L,12,0)*1,0)</f>
        <v/>
      </c>
      <c r="AL33" s="29">
        <f>IFERROR(VLOOKUP(AA33,RULES!$A:$M,13,0),"NONE")</f>
        <v/>
      </c>
      <c r="AM33" s="29">
        <f>IFERROR(VLOOKUP(AA33,RULES!$A:$N,14,0)*1,0)</f>
        <v/>
      </c>
      <c r="AN33" s="29">
        <f>IFERROR(VLOOKUP(AA33,RULES!$A:$O,15,0)*1,0)</f>
        <v/>
      </c>
      <c r="AO33" s="29">
        <f>IF(N33&lt;&gt;"",N33,IFERROR(VLOOKUP(AA33,RULES!$A:$P,16,0),CONFIG!$B$8))</f>
        <v/>
      </c>
      <c r="AP33" s="29">
        <f>IF(IFERROR(VLOOKUP(AA33,RULES!$A:$Q,17,0),"")="",CONFIG!$B$13,VLOOKUP(AA33,RULES!$A:$Q,17,0))</f>
        <v/>
      </c>
      <c r="AQ33" s="29">
        <f>IF(IFERROR(VLOOKUP(AA33,RULES!$A:$R,18,0),"")="",CONFIG!$B$14,VLOOKUP(AA33,RULES!$A:$R,18,0))</f>
        <v/>
      </c>
      <c r="AR33" s="29">
        <f>IFERROR(VLOOKUP(AA33,RULES!$A:$S,19,0)*1,0)</f>
        <v/>
      </c>
      <c r="AS33" s="29">
        <f>IFERROR(VLOOKUP(AA33,RULES!$A:$T,20,0)*1,0)</f>
        <v/>
      </c>
      <c r="AT33" s="29">
        <f>IFERROR(VLOOKUP(AA33,RULES!$A:$U,21,0)*1,0)</f>
        <v/>
      </c>
      <c r="AU33" s="29">
        <f>IFERROR(VLOOKUP(AA33,RULES!$A:$V,22,0)*1,0)</f>
        <v/>
      </c>
      <c r="AV33" s="29">
        <f>IFERROR(VLOOKUP(AA33,RULES!$A:$W,23,0)*1,0)</f>
        <v/>
      </c>
      <c r="AW33" s="29">
        <f>IFERROR(IF(VLOOKUP(AA33,RULES!$A:$X,24,0)="",999999,VLOOKUP(AA33,RULES!$A:$X,24,0)*1),999999)</f>
        <v/>
      </c>
      <c r="AX33" s="29">
        <f>IFERROR(VLOOKUP(AA33,RULES!$A:$Y,25,0)*1,0)</f>
        <v/>
      </c>
      <c r="AY33" s="29">
        <f>IFERROR(VLOOKUP(AA33,RULES!$A:$Z,26,0),"NONE")</f>
        <v/>
      </c>
      <c r="AZ33" s="29">
        <f>IFERROR(VLOOKUP(AA33,RULES!$A:$AA,27,0)*1,0)</f>
        <v/>
      </c>
      <c r="BA33" s="29">
        <f>IFERROR(VLOOKUP(AA33,RULES!$A:$AB,28,0)*1,0)</f>
        <v/>
      </c>
    </row>
    <row r="34" ht="17" customHeight="1">
      <c r="A34" s="22" t="inlineStr">
        <is>
          <t>3831</t>
        </is>
      </c>
      <c r="B34" s="48" t="inlineStr">
        <is>
          <t>ACC008</t>
        </is>
      </c>
      <c r="C34" s="48" t="inlineStr">
        <is>
          <t>DEFAULT</t>
        </is>
      </c>
      <c r="D34" s="47" t="n"/>
      <c r="E34" s="22">
        <f>IF(OR(D34="",D34=0),"INACTIVE","ACTIVE")</f>
        <v/>
      </c>
      <c r="F34" s="48" t="inlineStr">
        <is>
          <t>NORMAL</t>
        </is>
      </c>
      <c r="G34" s="25" t="n"/>
      <c r="H34" s="25" t="n"/>
      <c r="I34" s="26">
        <f>IF(OR(E34="INACTIVE",H34=""),0,MAX(0,H34-G34))</f>
        <v/>
      </c>
      <c r="J34" s="23" t="n"/>
      <c r="K34" s="26">
        <f>IF(OR(E34="INACTIVE",H34=""),0,IF(AB34="DISABLED",0,IF(AB34="FLAT",AE34,IF(AB34="MANUAL",IF(J34="",0,J34*AC34),IF(AB34="STEP",IF(I34&lt;=AF34,I34*AG34,IF(I34&lt;=AH34,AF34*AG34+(I34-AF34)*AI34,AF34*AG34+(AH34-AF34)*AI34+(I34-AH34)*AK34)),MAX(I34*AC34,AD34))))))</f>
        <v/>
      </c>
      <c r="L34" s="26">
        <f>IF(OR(E34="INACTIVE",H34=""),0,IF(AL34="NONE",0,IF(AL34="FLAT",AM34,IF(AL34="PER_UNIT",I34*AN34,IF(AL34="MANUAL",IF(M34="",0,M34),0)))))</f>
        <v/>
      </c>
      <c r="M34" s="23" t="n"/>
      <c r="N34" s="48" t="inlineStr">
        <is>
          <t>NORMAL</t>
        </is>
      </c>
      <c r="O34" s="25" t="n"/>
      <c r="P34" s="25" t="n"/>
      <c r="Q34" s="26">
        <f>IF(OR(E34="INACTIVE",P34=""),0,MAX(0,P34-O34))</f>
        <v/>
      </c>
      <c r="R34" s="23" t="n"/>
      <c r="S34" s="26">
        <f>IF(OR(E34="INACTIVE",P34=""),0,IF(AO34="DISABLED",0,IF(AO34="FLAT",AR34,IF(AO34="MANUAL",IF(R34="",0,R34*AP34),IF(AO34="STEP",IF(Q34&lt;=AS34,Q34*AT34,IF(Q34&lt;=AU34,AS34*AT34+(Q34-AS34)*AV34,AS34*AT34+(AU34-AS34)*AV34+(Q34-AU34)*AX34)),MAX(Q34*AP34,AQ34))))))</f>
        <v/>
      </c>
      <c r="T34" s="26">
        <f>IF(OR(E34="INACTIVE",P34=""),0,IF(AY34="NONE",0,IF(AY34="FLAT",AZ34,IF(AY34="PER_UNIT",Q34*BA34,IF(AY34="MANUAL",IF(U34="",0,U34),0)))))</f>
        <v/>
      </c>
      <c r="U34" s="23" t="n"/>
      <c r="V34" s="25" t="n"/>
      <c r="W34" s="25" t="n"/>
      <c r="X34" s="26">
        <f>IF(E34="INACTIVE",0,D34+K34+L34+S34+T34+IF(V34="",0,V34)+IF(W34="",0,W34))</f>
        <v/>
      </c>
      <c r="Y34" s="27" t="n"/>
      <c r="Z34" s="28">
        <f>IF(E34="INACTIVE","_",IF(AND(G34&gt;0,H34&gt;0,H34&lt;G34),"[!]น้ำ reset ","")&amp;IF(AND(O34&gt;0,P34&gt;0,P34&lt;O34),"[!]ไฟ reset ","")&amp;IF(AND(F34="MANUAL",J34=""),"[X]units น้ำ ","")&amp;IF(AND(N34="MANUAL",R34=""),"[X]units ไฟ ","")&amp;IF(D34=0,"[!]ค่าเช่า=0",""))</f>
        <v/>
      </c>
      <c r="AA34" s="29">
        <f>IF(C34&lt;&gt;"",C34,CONFIG!$B$6)</f>
        <v/>
      </c>
      <c r="AB34" s="29">
        <f>IF(F34&lt;&gt;"",F34,IFERROR(VLOOKUP(AA34,RULES!$A:$C,3,0),CONFIG!$B$7))</f>
        <v/>
      </c>
      <c r="AC34" s="29">
        <f>IF(IFERROR(VLOOKUP(AA34,RULES!$A:$D,4,0),"")="",CONFIG!$B$10,VLOOKUP(AA34,RULES!$A:$D,4,0))</f>
        <v/>
      </c>
      <c r="AD34" s="29">
        <f>IF(IFERROR(VLOOKUP(AA34,RULES!$A:$E,5,0),"")="",CONFIG!$B$11,VLOOKUP(AA34,RULES!$A:$E,5,0))</f>
        <v/>
      </c>
      <c r="AE34" s="29">
        <f>IFERROR(VLOOKUP(AA34,RULES!$A:$F,6,0)*1,0)</f>
        <v/>
      </c>
      <c r="AF34" s="29">
        <f>IFERROR(VLOOKUP(AA34,RULES!$A:$G,7,0)*1,0)</f>
        <v/>
      </c>
      <c r="AG34" s="29">
        <f>IFERROR(VLOOKUP(AA34,RULES!$A:$H,8,0)*1,0)</f>
        <v/>
      </c>
      <c r="AH34" s="29">
        <f>IFERROR(VLOOKUP(AA34,RULES!$A:$I,9,0)*1,0)</f>
        <v/>
      </c>
      <c r="AI34" s="29">
        <f>IFERROR(VLOOKUP(AA34,RULES!$A:$J,10,0)*1,0)</f>
        <v/>
      </c>
      <c r="AJ34" s="29">
        <f>IFERROR(IF(VLOOKUP(AA34,RULES!$A:$K,11,0)="",999999,VLOOKUP(AA34,RULES!$A:$K,11,0)*1),999999)</f>
        <v/>
      </c>
      <c r="AK34" s="29">
        <f>IFERROR(VLOOKUP(AA34,RULES!$A:$L,12,0)*1,0)</f>
        <v/>
      </c>
      <c r="AL34" s="29">
        <f>IFERROR(VLOOKUP(AA34,RULES!$A:$M,13,0),"NONE")</f>
        <v/>
      </c>
      <c r="AM34" s="29">
        <f>IFERROR(VLOOKUP(AA34,RULES!$A:$N,14,0)*1,0)</f>
        <v/>
      </c>
      <c r="AN34" s="29">
        <f>IFERROR(VLOOKUP(AA34,RULES!$A:$O,15,0)*1,0)</f>
        <v/>
      </c>
      <c r="AO34" s="29">
        <f>IF(N34&lt;&gt;"",N34,IFERROR(VLOOKUP(AA34,RULES!$A:$P,16,0),CONFIG!$B$8))</f>
        <v/>
      </c>
      <c r="AP34" s="29">
        <f>IF(IFERROR(VLOOKUP(AA34,RULES!$A:$Q,17,0),"")="",CONFIG!$B$13,VLOOKUP(AA34,RULES!$A:$Q,17,0))</f>
        <v/>
      </c>
      <c r="AQ34" s="29">
        <f>IF(IFERROR(VLOOKUP(AA34,RULES!$A:$R,18,0),"")="",CONFIG!$B$14,VLOOKUP(AA34,RULES!$A:$R,18,0))</f>
        <v/>
      </c>
      <c r="AR34" s="29">
        <f>IFERROR(VLOOKUP(AA34,RULES!$A:$S,19,0)*1,0)</f>
        <v/>
      </c>
      <c r="AS34" s="29">
        <f>IFERROR(VLOOKUP(AA34,RULES!$A:$T,20,0)*1,0)</f>
        <v/>
      </c>
      <c r="AT34" s="29">
        <f>IFERROR(VLOOKUP(AA34,RULES!$A:$U,21,0)*1,0)</f>
        <v/>
      </c>
      <c r="AU34" s="29">
        <f>IFERROR(VLOOKUP(AA34,RULES!$A:$V,22,0)*1,0)</f>
        <v/>
      </c>
      <c r="AV34" s="29">
        <f>IFERROR(VLOOKUP(AA34,RULES!$A:$W,23,0)*1,0)</f>
        <v/>
      </c>
      <c r="AW34" s="29">
        <f>IFERROR(IF(VLOOKUP(AA34,RULES!$A:$X,24,0)="",999999,VLOOKUP(AA34,RULES!$A:$X,24,0)*1),999999)</f>
        <v/>
      </c>
      <c r="AX34" s="29">
        <f>IFERROR(VLOOKUP(AA34,RULES!$A:$Y,25,0)*1,0)</f>
        <v/>
      </c>
      <c r="AY34" s="29">
        <f>IFERROR(VLOOKUP(AA34,RULES!$A:$Z,26,0),"NONE")</f>
        <v/>
      </c>
      <c r="AZ34" s="29">
        <f>IFERROR(VLOOKUP(AA34,RULES!$A:$AA,27,0)*1,0)</f>
        <v/>
      </c>
      <c r="BA34" s="29">
        <f>IFERROR(VLOOKUP(AA34,RULES!$A:$AB,28,0)*1,0)</f>
        <v/>
      </c>
    </row>
    <row r="35" ht="17" customHeight="1">
      <c r="A35" s="22" t="inlineStr">
        <is>
          <t>3832</t>
        </is>
      </c>
      <c r="B35" s="48" t="inlineStr">
        <is>
          <t>ACC008</t>
        </is>
      </c>
      <c r="C35" s="48" t="inlineStr">
        <is>
          <t>DEFAULT</t>
        </is>
      </c>
      <c r="D35" s="47" t="n"/>
      <c r="E35" s="22">
        <f>IF(OR(D35="",D35=0),"INACTIVE","ACTIVE")</f>
        <v/>
      </c>
      <c r="F35" s="48" t="inlineStr">
        <is>
          <t>NORMAL</t>
        </is>
      </c>
      <c r="G35" s="25" t="n"/>
      <c r="H35" s="25" t="n"/>
      <c r="I35" s="26">
        <f>IF(OR(E35="INACTIVE",H35=""),0,MAX(0,H35-G35))</f>
        <v/>
      </c>
      <c r="J35" s="23" t="n"/>
      <c r="K35" s="26">
        <f>IF(OR(E35="INACTIVE",H35=""),0,IF(AB35="DISABLED",0,IF(AB35="FLAT",AE35,IF(AB35="MANUAL",IF(J35="",0,J35*AC35),IF(AB35="STEP",IF(I35&lt;=AF35,I35*AG35,IF(I35&lt;=AH35,AF35*AG35+(I35-AF35)*AI35,AF35*AG35+(AH35-AF35)*AI35+(I35-AH35)*AK35)),MAX(I35*AC35,AD35))))))</f>
        <v/>
      </c>
      <c r="L35" s="26">
        <f>IF(OR(E35="INACTIVE",H35=""),0,IF(AL35="NONE",0,IF(AL35="FLAT",AM35,IF(AL35="PER_UNIT",I35*AN35,IF(AL35="MANUAL",IF(M35="",0,M35),0)))))</f>
        <v/>
      </c>
      <c r="M35" s="23" t="n"/>
      <c r="N35" s="48" t="inlineStr">
        <is>
          <t>NORMAL</t>
        </is>
      </c>
      <c r="O35" s="25" t="n"/>
      <c r="P35" s="25" t="n"/>
      <c r="Q35" s="26">
        <f>IF(OR(E35="INACTIVE",P35=""),0,MAX(0,P35-O35))</f>
        <v/>
      </c>
      <c r="R35" s="23" t="n"/>
      <c r="S35" s="26">
        <f>IF(OR(E35="INACTIVE",P35=""),0,IF(AO35="DISABLED",0,IF(AO35="FLAT",AR35,IF(AO35="MANUAL",IF(R35="",0,R35*AP35),IF(AO35="STEP",IF(Q35&lt;=AS35,Q35*AT35,IF(Q35&lt;=AU35,AS35*AT35+(Q35-AS35)*AV35,AS35*AT35+(AU35-AS35)*AV35+(Q35-AU35)*AX35)),MAX(Q35*AP35,AQ35))))))</f>
        <v/>
      </c>
      <c r="T35" s="26">
        <f>IF(OR(E35="INACTIVE",P35=""),0,IF(AY35="NONE",0,IF(AY35="FLAT",AZ35,IF(AY35="PER_UNIT",Q35*BA35,IF(AY35="MANUAL",IF(U35="",0,U35),0)))))</f>
        <v/>
      </c>
      <c r="U35" s="23" t="n"/>
      <c r="V35" s="25" t="n"/>
      <c r="W35" s="25" t="n"/>
      <c r="X35" s="26">
        <f>IF(E35="INACTIVE",0,D35+K35+L35+S35+T35+IF(V35="",0,V35)+IF(W35="",0,W35))</f>
        <v/>
      </c>
      <c r="Y35" s="27" t="n"/>
      <c r="Z35" s="28">
        <f>IF(E35="INACTIVE","_",IF(AND(G35&gt;0,H35&gt;0,H35&lt;G35),"[!]น้ำ reset ","")&amp;IF(AND(O35&gt;0,P35&gt;0,P35&lt;O35),"[!]ไฟ reset ","")&amp;IF(AND(F35="MANUAL",J35=""),"[X]units น้ำ ","")&amp;IF(AND(N35="MANUAL",R35=""),"[X]units ไฟ ","")&amp;IF(D35=0,"[!]ค่าเช่า=0",""))</f>
        <v/>
      </c>
      <c r="AA35" s="29">
        <f>IF(C35&lt;&gt;"",C35,CONFIG!$B$6)</f>
        <v/>
      </c>
      <c r="AB35" s="29">
        <f>IF(F35&lt;&gt;"",F35,IFERROR(VLOOKUP(AA35,RULES!$A:$C,3,0),CONFIG!$B$7))</f>
        <v/>
      </c>
      <c r="AC35" s="29">
        <f>IF(IFERROR(VLOOKUP(AA35,RULES!$A:$D,4,0),"")="",CONFIG!$B$10,VLOOKUP(AA35,RULES!$A:$D,4,0))</f>
        <v/>
      </c>
      <c r="AD35" s="29">
        <f>IF(IFERROR(VLOOKUP(AA35,RULES!$A:$E,5,0),"")="",CONFIG!$B$11,VLOOKUP(AA35,RULES!$A:$E,5,0))</f>
        <v/>
      </c>
      <c r="AE35" s="29">
        <f>IFERROR(VLOOKUP(AA35,RULES!$A:$F,6,0)*1,0)</f>
        <v/>
      </c>
      <c r="AF35" s="29">
        <f>IFERROR(VLOOKUP(AA35,RULES!$A:$G,7,0)*1,0)</f>
        <v/>
      </c>
      <c r="AG35" s="29">
        <f>IFERROR(VLOOKUP(AA35,RULES!$A:$H,8,0)*1,0)</f>
        <v/>
      </c>
      <c r="AH35" s="29">
        <f>IFERROR(VLOOKUP(AA35,RULES!$A:$I,9,0)*1,0)</f>
        <v/>
      </c>
      <c r="AI35" s="29">
        <f>IFERROR(VLOOKUP(AA35,RULES!$A:$J,10,0)*1,0)</f>
        <v/>
      </c>
      <c r="AJ35" s="29">
        <f>IFERROR(IF(VLOOKUP(AA35,RULES!$A:$K,11,0)="",999999,VLOOKUP(AA35,RULES!$A:$K,11,0)*1),999999)</f>
        <v/>
      </c>
      <c r="AK35" s="29">
        <f>IFERROR(VLOOKUP(AA35,RULES!$A:$L,12,0)*1,0)</f>
        <v/>
      </c>
      <c r="AL35" s="29">
        <f>IFERROR(VLOOKUP(AA35,RULES!$A:$M,13,0),"NONE")</f>
        <v/>
      </c>
      <c r="AM35" s="29">
        <f>IFERROR(VLOOKUP(AA35,RULES!$A:$N,14,0)*1,0)</f>
        <v/>
      </c>
      <c r="AN35" s="29">
        <f>IFERROR(VLOOKUP(AA35,RULES!$A:$O,15,0)*1,0)</f>
        <v/>
      </c>
      <c r="AO35" s="29">
        <f>IF(N35&lt;&gt;"",N35,IFERROR(VLOOKUP(AA35,RULES!$A:$P,16,0),CONFIG!$B$8))</f>
        <v/>
      </c>
      <c r="AP35" s="29">
        <f>IF(IFERROR(VLOOKUP(AA35,RULES!$A:$Q,17,0),"")="",CONFIG!$B$13,VLOOKUP(AA35,RULES!$A:$Q,17,0))</f>
        <v/>
      </c>
      <c r="AQ35" s="29">
        <f>IF(IFERROR(VLOOKUP(AA35,RULES!$A:$R,18,0),"")="",CONFIG!$B$14,VLOOKUP(AA35,RULES!$A:$R,18,0))</f>
        <v/>
      </c>
      <c r="AR35" s="29">
        <f>IFERROR(VLOOKUP(AA35,RULES!$A:$S,19,0)*1,0)</f>
        <v/>
      </c>
      <c r="AS35" s="29">
        <f>IFERROR(VLOOKUP(AA35,RULES!$A:$T,20,0)*1,0)</f>
        <v/>
      </c>
      <c r="AT35" s="29">
        <f>IFERROR(VLOOKUP(AA35,RULES!$A:$U,21,0)*1,0)</f>
        <v/>
      </c>
      <c r="AU35" s="29">
        <f>IFERROR(VLOOKUP(AA35,RULES!$A:$V,22,0)*1,0)</f>
        <v/>
      </c>
      <c r="AV35" s="29">
        <f>IFERROR(VLOOKUP(AA35,RULES!$A:$W,23,0)*1,0)</f>
        <v/>
      </c>
      <c r="AW35" s="29">
        <f>IFERROR(IF(VLOOKUP(AA35,RULES!$A:$X,24,0)="",999999,VLOOKUP(AA35,RULES!$A:$X,24,0)*1),999999)</f>
        <v/>
      </c>
      <c r="AX35" s="29">
        <f>IFERROR(VLOOKUP(AA35,RULES!$A:$Y,25,0)*1,0)</f>
        <v/>
      </c>
      <c r="AY35" s="29">
        <f>IFERROR(VLOOKUP(AA35,RULES!$A:$Z,26,0),"NONE")</f>
        <v/>
      </c>
      <c r="AZ35" s="29">
        <f>IFERROR(VLOOKUP(AA35,RULES!$A:$AA,27,0)*1,0)</f>
        <v/>
      </c>
      <c r="BA35" s="29">
        <f>IFERROR(VLOOKUP(AA35,RULES!$A:$AB,28,0)*1,0)</f>
        <v/>
      </c>
    </row>
    <row r="36" ht="17" customHeight="1">
      <c r="A36" s="35" t="n"/>
      <c r="B36" s="46" t="n"/>
      <c r="C36" s="48" t="inlineStr">
        <is>
          <t>DEFAULT</t>
        </is>
      </c>
      <c r="D36" s="47" t="n"/>
      <c r="E36" s="38">
        <f>IF(OR(D36="",D36=0),"INACTIVE","ACTIVE")</f>
        <v/>
      </c>
      <c r="F36" s="48" t="inlineStr">
        <is>
          <t>NORMAL</t>
        </is>
      </c>
      <c r="G36" s="37" t="n"/>
      <c r="H36" s="37" t="n"/>
      <c r="I36" s="39">
        <f>IF(OR(E36="INACTIVE",H36=""),0,MAX(0,H36-G36))</f>
        <v/>
      </c>
      <c r="J36" s="37" t="n"/>
      <c r="K36" s="40">
        <f>IF(OR(E36="INACTIVE",H36=""),0,IF(AB36="DISABLED",0,IF(AB36="FLAT",AE36,IF(AB36="MANUAL",IF(J36="",0,J36*AC36),IF(AB36="STEP",IF(I36&lt;=AF36,I36*AG36,IF(I36&lt;=AH36,AF36*AG36+(I36-AF36)*AI36,AF36*AG36+(AH36-AF36)*AI36+(I36-AH36)*AK36)),MAX(I36*AC36,AD36))))))</f>
        <v/>
      </c>
      <c r="L36" s="40">
        <f>IF(OR(E36="INACTIVE",H36=""),0,IF(AL36="NONE",0,IF(AL36="FLAT",AM36,IF(AL36="PER_UNIT",I36*AN36,IF(AL36="MANUAL",IF(M36="",0,M36),0)))))</f>
        <v/>
      </c>
      <c r="M36" s="37" t="n"/>
      <c r="N36" s="48" t="inlineStr">
        <is>
          <t>NORMAL</t>
        </is>
      </c>
      <c r="O36" s="37" t="n"/>
      <c r="P36" s="37" t="n"/>
      <c r="Q36" s="39">
        <f>IF(OR(E36="INACTIVE",P36=""),0,MAX(0,P36-O36))</f>
        <v/>
      </c>
      <c r="R36" s="37" t="n"/>
      <c r="S36" s="40">
        <f>IF(OR(E36="INACTIVE",P36=""),0,IF(AO36="DISABLED",0,IF(AO36="FLAT",AR36,IF(AO36="MANUAL",IF(R36="",0,R36*AP36),IF(AO36="STEP",IF(Q36&lt;=AS36,Q36*AT36,IF(Q36&lt;=AU36,AS36*AT36+(Q36-AS36)*AV36,AS36*AT36+(AU36-AS36)*AV36+(Q36-AU36)*AX36)),MAX(Q36*AP36,AQ36))))))</f>
        <v/>
      </c>
      <c r="T36" s="40">
        <f>IF(OR(E36="INACTIVE",P36=""),0,IF(AY36="NONE",0,IF(AY36="FLAT",AZ36,IF(AY36="PER_UNIT",Q36*BA36,IF(AY36="MANUAL",IF(U36="",0,U36),0)))))</f>
        <v/>
      </c>
      <c r="U36" s="37" t="n"/>
      <c r="V36" s="37" t="n"/>
      <c r="W36" s="37" t="n"/>
      <c r="X36" s="40">
        <f>IF(E36="INACTIVE",0,D36+K36+L36+S36+T36+IF(V36="",0,V36)+IF(W36="",0,W36))</f>
        <v/>
      </c>
      <c r="Y36" s="37" t="n"/>
      <c r="Z36" s="39">
        <f>IF(E36="INACTIVE","_",IF(AND(G36&gt;0,H36&gt;0,H36&lt;G36),"[!]น้ำ reset ","")&amp;IF(AND(O36&gt;0,P36&gt;0,P36&lt;O36),"[!]ไฟ reset ","")&amp;IF(AND(F36="MANUAL",J36=""),"[X]units น้ำ ","")&amp;IF(AND(N36="MANUAL",R36=""),"[X]units ไฟ ","")&amp;IF(D36=0,"[!]ค่าเช่า=0",""))</f>
        <v/>
      </c>
      <c r="AA36" s="41">
        <f>IF(C36&lt;&gt;"",C36,CONFIG!$B$6)</f>
        <v/>
      </c>
      <c r="AB36" s="41">
        <f>IF(F36&lt;&gt;"",F36,IFERROR(VLOOKUP(AA36,RULES!$A:$C,3,0),CONFIG!$B$7))</f>
        <v/>
      </c>
      <c r="AC36" s="41">
        <f>IF(IFERROR(VLOOKUP(AA36,RULES!$A:$D,4,0),"")="",CONFIG!$B$10,VLOOKUP(AA36,RULES!$A:$D,4,0))</f>
        <v/>
      </c>
      <c r="AD36" s="41">
        <f>IF(IFERROR(VLOOKUP(AA36,RULES!$A:$E,5,0),"")="",CONFIG!$B$11,VLOOKUP(AA36,RULES!$A:$E,5,0))</f>
        <v/>
      </c>
      <c r="AE36" s="41">
        <f>IFERROR(VLOOKUP(AA36,RULES!$A:$F,6,0)*1,0)</f>
        <v/>
      </c>
      <c r="AF36" s="41">
        <f>IFERROR(VLOOKUP(AA36,RULES!$A:$G,7,0)*1,0)</f>
        <v/>
      </c>
      <c r="AG36" s="41">
        <f>IFERROR(VLOOKUP(AA36,RULES!$A:$H,8,0)*1,0)</f>
        <v/>
      </c>
      <c r="AH36" s="41">
        <f>IFERROR(VLOOKUP(AA36,RULES!$A:$I,9,0)*1,0)</f>
        <v/>
      </c>
      <c r="AI36" s="41">
        <f>IFERROR(VLOOKUP(AA36,RULES!$A:$J,10,0)*1,0)</f>
        <v/>
      </c>
      <c r="AJ36" s="41">
        <f>IFERROR(IF(VLOOKUP(AA36,RULES!$A:$K,11,0)="",999999,VLOOKUP(AA36,RULES!$A:$K,11,0)*1),999999)</f>
        <v/>
      </c>
      <c r="AK36" s="41">
        <f>IFERROR(VLOOKUP(AA36,RULES!$A:$L,12,0)*1,0)</f>
        <v/>
      </c>
      <c r="AL36" s="41">
        <f>IFERROR(VLOOKUP(AA36,RULES!$A:$M,13,0),"NONE")</f>
        <v/>
      </c>
      <c r="AM36" s="41">
        <f>IFERROR(VLOOKUP(AA36,RULES!$A:$N,14,0)*1,0)</f>
        <v/>
      </c>
      <c r="AN36" s="41">
        <f>IFERROR(VLOOKUP(AA36,RULES!$A:$O,15,0)*1,0)</f>
        <v/>
      </c>
      <c r="AO36" s="41">
        <f>IF(N36&lt;&gt;"",N36,IFERROR(VLOOKUP(AA36,RULES!$A:$P,16,0),CONFIG!$B$8))</f>
        <v/>
      </c>
      <c r="AP36" s="41">
        <f>IF(IFERROR(VLOOKUP(AA36,RULES!$A:$Q,17,0),"")="",CONFIG!$B$13,VLOOKUP(AA36,RULES!$A:$Q,17,0))</f>
        <v/>
      </c>
      <c r="AQ36" s="41">
        <f>IF(IFERROR(VLOOKUP(AA36,RULES!$A:$R,18,0),"")="",CONFIG!$B$14,VLOOKUP(AA36,RULES!$A:$R,18,0))</f>
        <v/>
      </c>
      <c r="AR36" s="41">
        <f>IFERROR(VLOOKUP(AA36,RULES!$A:$S,19,0)*1,0)</f>
        <v/>
      </c>
      <c r="AS36" s="41">
        <f>IFERROR(VLOOKUP(AA36,RULES!$A:$T,20,0)*1,0)</f>
        <v/>
      </c>
      <c r="AT36" s="41">
        <f>IFERROR(VLOOKUP(AA36,RULES!$A:$U,21,0)*1,0)</f>
        <v/>
      </c>
      <c r="AU36" s="41">
        <f>IFERROR(VLOOKUP(AA36,RULES!$A:$V,22,0)*1,0)</f>
        <v/>
      </c>
      <c r="AV36" s="41">
        <f>IFERROR(VLOOKUP(AA36,RULES!$A:$W,23,0)*1,0)</f>
        <v/>
      </c>
      <c r="AW36" s="41">
        <f>IFERROR(IF(VLOOKUP(AA36,RULES!$A:$X,24,0)="",999999,VLOOKUP(AA36,RULES!$A:$X,24,0)*1),999999)</f>
        <v/>
      </c>
      <c r="AX36" s="41">
        <f>IFERROR(VLOOKUP(AA36,RULES!$A:$Y,25,0)*1,0)</f>
        <v/>
      </c>
      <c r="AY36" s="41">
        <f>IFERROR(VLOOKUP(AA36,RULES!$A:$Z,26,0),"NONE")</f>
        <v/>
      </c>
      <c r="AZ36" s="41">
        <f>IFERROR(VLOOKUP(AA36,RULES!$A:$AA,27,0)*1,0)</f>
        <v/>
      </c>
      <c r="BA36" s="41">
        <f>IFERROR(VLOOKUP(AA36,RULES!$A:$AB,28,0)*1,0)</f>
        <v/>
      </c>
    </row>
    <row r="37" ht="17" customHeight="1">
      <c r="A37" s="36" t="n"/>
      <c r="B37" s="48" t="inlineStr">
        <is>
          <t>ACC008</t>
        </is>
      </c>
      <c r="C37" s="48" t="inlineStr">
        <is>
          <t>DEFAULT</t>
        </is>
      </c>
      <c r="D37" s="47" t="n"/>
      <c r="E37" s="36">
        <f>IF(OR(D37="",D37=0),"INACTIVE","ACTIVE")</f>
        <v/>
      </c>
      <c r="F37" s="48" t="inlineStr">
        <is>
          <t>NORMAL</t>
        </is>
      </c>
      <c r="G37" s="36" t="n"/>
      <c r="H37" s="36" t="n"/>
      <c r="I37" s="42">
        <f>IF(OR(E37="INACTIVE",H37=""),0,MAX(0,H37-G37))</f>
        <v/>
      </c>
      <c r="J37" s="36" t="n"/>
      <c r="K37" s="42">
        <f>IF(OR(E37="INACTIVE",H37=""),0,IF(AB37="DISABLED",0,IF(AB37="FLAT",AE37,IF(AB37="MANUAL",IF(J37="",0,J37*AC37),IF(AB37="STEP",IF(I37&lt;=AF37,I37*AG37,IF(I37&lt;=AH37,AF37*AG37+(I37-AF37)*AI37,AF37*AG37+(AH37-AF37)*AI37+(I37-AH37)*AK37)),MAX(I37*AC37,AD37))))))</f>
        <v/>
      </c>
      <c r="L37" s="42">
        <f>IF(OR(E37="INACTIVE",H37=""),0,IF(AL37="NONE",0,IF(AL37="FLAT",AM37,IF(AL37="PER_UNIT",I37*AN37,IF(AL37="MANUAL",IF(M37="",0,M37),0)))))</f>
        <v/>
      </c>
      <c r="M37" s="36" t="n"/>
      <c r="N37" s="48" t="inlineStr">
        <is>
          <t>NORMAL</t>
        </is>
      </c>
      <c r="O37" s="36" t="n"/>
      <c r="P37" s="36" t="n"/>
      <c r="Q37" s="42">
        <f>IF(OR(E37="INACTIVE",P37=""),0,MAX(0,P37-O37))</f>
        <v/>
      </c>
      <c r="R37" s="36" t="n"/>
      <c r="S37" s="42">
        <f>IF(OR(E37="INACTIVE",P37=""),0,IF(AO37="DISABLED",0,IF(AO37="FLAT",AR37,IF(AO37="MANUAL",IF(R37="",0,R37*AP37),IF(AO37="STEP",IF(Q37&lt;=AS37,Q37*AT37,IF(Q37&lt;=AU37,AS37*AT37+(Q37-AS37)*AV37,AS37*AT37+(AU37-AS37)*AV37+(Q37-AU37)*AX37)),MAX(Q37*AP37,AQ37))))))</f>
        <v/>
      </c>
      <c r="T37" s="42">
        <f>IF(OR(E37="INACTIVE",P37=""),0,IF(AY37="NONE",0,IF(AY37="FLAT",AZ37,IF(AY37="PER_UNIT",Q37*BA37,IF(AY37="MANUAL",IF(U37="",0,U37),0)))))</f>
        <v/>
      </c>
      <c r="U37" s="36" t="n"/>
      <c r="V37" s="36" t="n"/>
      <c r="W37" s="36" t="n"/>
      <c r="X37" s="42">
        <f>IF(E37="INACTIVE",0,D37+K37+L37+S37+T37+IF(V37="",0,V37)+IF(W37="",0,W37))</f>
        <v/>
      </c>
      <c r="Y37" s="36" t="n"/>
      <c r="Z37" s="42">
        <f>IF(E37="INACTIVE","_",IF(AND(G37&gt;0,H37&gt;0,H37&lt;G37),"[!]น้ำ reset ","")&amp;IF(AND(O37&gt;0,P37&gt;0,P37&lt;O37),"[!]ไฟ reset ","")&amp;IF(AND(F37="MANUAL",J37=""),"[X]units น้ำ ","")&amp;IF(AND(N37="MANUAL",R37=""),"[X]units ไฟ ","")&amp;IF(D37=0,"[!]ค่าเช่า=0",""))</f>
        <v/>
      </c>
      <c r="AA37" s="41">
        <f>IF(C37&lt;&gt;"",C37,CONFIG!$B$6)</f>
        <v/>
      </c>
      <c r="AB37" s="41">
        <f>IF(F37&lt;&gt;"",F37,IFERROR(VLOOKUP(AA37,RULES!$A:$C,3,0),CONFIG!$B$7))</f>
        <v/>
      </c>
      <c r="AC37" s="41">
        <f>IF(IFERROR(VLOOKUP(AA37,RULES!$A:$D,4,0),"")="",CONFIG!$B$10,VLOOKUP(AA37,RULES!$A:$D,4,0))</f>
        <v/>
      </c>
      <c r="AD37" s="41">
        <f>IF(IFERROR(VLOOKUP(AA37,RULES!$A:$E,5,0),"")="",CONFIG!$B$11,VLOOKUP(AA37,RULES!$A:$E,5,0))</f>
        <v/>
      </c>
      <c r="AE37" s="41">
        <f>IFERROR(VLOOKUP(AA37,RULES!$A:$F,6,0)*1,0)</f>
        <v/>
      </c>
      <c r="AF37" s="41">
        <f>IFERROR(VLOOKUP(AA37,RULES!$A:$G,7,0)*1,0)</f>
        <v/>
      </c>
      <c r="AG37" s="41">
        <f>IFERROR(VLOOKUP(AA37,RULES!$A:$H,8,0)*1,0)</f>
        <v/>
      </c>
      <c r="AH37" s="41">
        <f>IFERROR(VLOOKUP(AA37,RULES!$A:$I,9,0)*1,0)</f>
        <v/>
      </c>
      <c r="AI37" s="41">
        <f>IFERROR(VLOOKUP(AA37,RULES!$A:$J,10,0)*1,0)</f>
        <v/>
      </c>
      <c r="AJ37" s="41">
        <f>IFERROR(IF(VLOOKUP(AA37,RULES!$A:$K,11,0)="",999999,VLOOKUP(AA37,RULES!$A:$K,11,0)*1),999999)</f>
        <v/>
      </c>
      <c r="AK37" s="41">
        <f>IFERROR(VLOOKUP(AA37,RULES!$A:$L,12,0)*1,0)</f>
        <v/>
      </c>
      <c r="AL37" s="41">
        <f>IFERROR(VLOOKUP(AA37,RULES!$A:$M,13,0),"NONE")</f>
        <v/>
      </c>
      <c r="AM37" s="41">
        <f>IFERROR(VLOOKUP(AA37,RULES!$A:$N,14,0)*1,0)</f>
        <v/>
      </c>
      <c r="AN37" s="41">
        <f>IFERROR(VLOOKUP(AA37,RULES!$A:$O,15,0)*1,0)</f>
        <v/>
      </c>
      <c r="AO37" s="41">
        <f>IF(N37&lt;&gt;"",N37,IFERROR(VLOOKUP(AA37,RULES!$A:$P,16,0),CONFIG!$B$8))</f>
        <v/>
      </c>
      <c r="AP37" s="41">
        <f>IF(IFERROR(VLOOKUP(AA37,RULES!$A:$Q,17,0),"")="",CONFIG!$B$13,VLOOKUP(AA37,RULES!$A:$Q,17,0))</f>
        <v/>
      </c>
      <c r="AQ37" s="41">
        <f>IF(IFERROR(VLOOKUP(AA37,RULES!$A:$R,18,0),"")="",CONFIG!$B$14,VLOOKUP(AA37,RULES!$A:$R,18,0))</f>
        <v/>
      </c>
      <c r="AR37" s="41">
        <f>IFERROR(VLOOKUP(AA37,RULES!$A:$S,19,0)*1,0)</f>
        <v/>
      </c>
      <c r="AS37" s="41">
        <f>IFERROR(VLOOKUP(AA37,RULES!$A:$T,20,0)*1,0)</f>
        <v/>
      </c>
      <c r="AT37" s="41">
        <f>IFERROR(VLOOKUP(AA37,RULES!$A:$U,21,0)*1,0)</f>
        <v/>
      </c>
      <c r="AU37" s="41">
        <f>IFERROR(VLOOKUP(AA37,RULES!$A:$V,22,0)*1,0)</f>
        <v/>
      </c>
      <c r="AV37" s="41">
        <f>IFERROR(VLOOKUP(AA37,RULES!$A:$W,23,0)*1,0)</f>
        <v/>
      </c>
      <c r="AW37" s="41">
        <f>IFERROR(IF(VLOOKUP(AA37,RULES!$A:$X,24,0)="",999999,VLOOKUP(AA37,RULES!$A:$X,24,0)*1),999999)</f>
        <v/>
      </c>
      <c r="AX37" s="41">
        <f>IFERROR(VLOOKUP(AA37,RULES!$A:$Y,25,0)*1,0)</f>
        <v/>
      </c>
      <c r="AY37" s="41">
        <f>IFERROR(VLOOKUP(AA37,RULES!$A:$Z,26,0),"NONE")</f>
        <v/>
      </c>
      <c r="AZ37" s="41">
        <f>IFERROR(VLOOKUP(AA37,RULES!$A:$AA,27,0)*1,0)</f>
        <v/>
      </c>
      <c r="BA37" s="41">
        <f>IFERROR(VLOOKUP(AA37,RULES!$A:$AB,28,0)*1,0)</f>
        <v/>
      </c>
    </row>
    <row r="38" ht="17" customHeight="1">
      <c r="A38" s="36" t="n"/>
      <c r="B38" s="48" t="inlineStr">
        <is>
          <t>ACC008</t>
        </is>
      </c>
      <c r="C38" s="48" t="inlineStr">
        <is>
          <t>DEFAULT</t>
        </is>
      </c>
      <c r="D38" s="47" t="n"/>
      <c r="E38" s="36">
        <f>IF(OR(D38="",D38=0),"INACTIVE","ACTIVE")</f>
        <v/>
      </c>
      <c r="F38" s="48" t="inlineStr">
        <is>
          <t>NORMAL</t>
        </is>
      </c>
      <c r="G38" s="36" t="n"/>
      <c r="H38" s="36" t="n"/>
      <c r="I38" s="42">
        <f>IF(OR(E38="INACTIVE",H38=""),0,MAX(0,H38-G38))</f>
        <v/>
      </c>
      <c r="J38" s="36" t="n"/>
      <c r="K38" s="42">
        <f>IF(OR(E38="INACTIVE",H38=""),0,IF(AB38="DISABLED",0,IF(AB38="FLAT",AE38,IF(AB38="MANUAL",IF(J38="",0,J38*AC38),IF(AB38="STEP",IF(I38&lt;=AF38,I38*AG38,IF(I38&lt;=AH38,AF38*AG38+(I38-AF38)*AI38,AF38*AG38+(AH38-AF38)*AI38+(I38-AH38)*AK38)),MAX(I38*AC38,AD38))))))</f>
        <v/>
      </c>
      <c r="L38" s="42">
        <f>IF(OR(E38="INACTIVE",H38=""),0,IF(AL38="NONE",0,IF(AL38="FLAT",AM38,IF(AL38="PER_UNIT",I38*AN38,IF(AL38="MANUAL",IF(M38="",0,M38),0)))))</f>
        <v/>
      </c>
      <c r="M38" s="36" t="n"/>
      <c r="N38" s="48" t="inlineStr">
        <is>
          <t>NORMAL</t>
        </is>
      </c>
      <c r="O38" s="36" t="n"/>
      <c r="P38" s="36" t="n"/>
      <c r="Q38" s="42">
        <f>IF(OR(E38="INACTIVE",P38=""),0,MAX(0,P38-O38))</f>
        <v/>
      </c>
      <c r="R38" s="36" t="n"/>
      <c r="S38" s="42">
        <f>IF(OR(E38="INACTIVE",P38=""),0,IF(AO38="DISABLED",0,IF(AO38="FLAT",AR38,IF(AO38="MANUAL",IF(R38="",0,R38*AP38),IF(AO38="STEP",IF(Q38&lt;=AS38,Q38*AT38,IF(Q38&lt;=AU38,AS38*AT38+(Q38-AS38)*AV38,AS38*AT38+(AU38-AS38)*AV38+(Q38-AU38)*AX38)),MAX(Q38*AP38,AQ38))))))</f>
        <v/>
      </c>
      <c r="T38" s="42">
        <f>IF(OR(E38="INACTIVE",P38=""),0,IF(AY38="NONE",0,IF(AY38="FLAT",AZ38,IF(AY38="PER_UNIT",Q38*BA38,IF(AY38="MANUAL",IF(U38="",0,U38),0)))))</f>
        <v/>
      </c>
      <c r="U38" s="36" t="n"/>
      <c r="V38" s="36" t="n"/>
      <c r="W38" s="36" t="n"/>
      <c r="X38" s="42">
        <f>IF(E38="INACTIVE",0,D38+K38+L38+S38+T38+IF(V38="",0,V38)+IF(W38="",0,W38))</f>
        <v/>
      </c>
      <c r="Y38" s="36" t="n"/>
      <c r="Z38" s="42">
        <f>IF(E38="INACTIVE","_",IF(AND(G38&gt;0,H38&gt;0,H38&lt;G38),"[!]น้ำ reset ","")&amp;IF(AND(O38&gt;0,P38&gt;0,P38&lt;O38),"[!]ไฟ reset ","")&amp;IF(AND(F38="MANUAL",J38=""),"[X]units น้ำ ","")&amp;IF(AND(N38="MANUAL",R38=""),"[X]units ไฟ ","")&amp;IF(D38=0,"[!]ค่าเช่า=0",""))</f>
        <v/>
      </c>
      <c r="AA38" s="41">
        <f>IF(C38&lt;&gt;"",C38,CONFIG!$B$6)</f>
        <v/>
      </c>
      <c r="AB38" s="41">
        <f>IF(F38&lt;&gt;"",F38,IFERROR(VLOOKUP(AA38,RULES!$A:$C,3,0),CONFIG!$B$7))</f>
        <v/>
      </c>
      <c r="AC38" s="41">
        <f>IF(IFERROR(VLOOKUP(AA38,RULES!$A:$D,4,0),"")="",CONFIG!$B$10,VLOOKUP(AA38,RULES!$A:$D,4,0))</f>
        <v/>
      </c>
      <c r="AD38" s="41">
        <f>IF(IFERROR(VLOOKUP(AA38,RULES!$A:$E,5,0),"")="",CONFIG!$B$11,VLOOKUP(AA38,RULES!$A:$E,5,0))</f>
        <v/>
      </c>
      <c r="AE38" s="41">
        <f>IFERROR(VLOOKUP(AA38,RULES!$A:$F,6,0)*1,0)</f>
        <v/>
      </c>
      <c r="AF38" s="41">
        <f>IFERROR(VLOOKUP(AA38,RULES!$A:$G,7,0)*1,0)</f>
        <v/>
      </c>
      <c r="AG38" s="41">
        <f>IFERROR(VLOOKUP(AA38,RULES!$A:$H,8,0)*1,0)</f>
        <v/>
      </c>
      <c r="AH38" s="41">
        <f>IFERROR(VLOOKUP(AA38,RULES!$A:$I,9,0)*1,0)</f>
        <v/>
      </c>
      <c r="AI38" s="41">
        <f>IFERROR(VLOOKUP(AA38,RULES!$A:$J,10,0)*1,0)</f>
        <v/>
      </c>
      <c r="AJ38" s="41">
        <f>IFERROR(IF(VLOOKUP(AA38,RULES!$A:$K,11,0)="",999999,VLOOKUP(AA38,RULES!$A:$K,11,0)*1),999999)</f>
        <v/>
      </c>
      <c r="AK38" s="41">
        <f>IFERROR(VLOOKUP(AA38,RULES!$A:$L,12,0)*1,0)</f>
        <v/>
      </c>
      <c r="AL38" s="41">
        <f>IFERROR(VLOOKUP(AA38,RULES!$A:$M,13,0),"NONE")</f>
        <v/>
      </c>
      <c r="AM38" s="41">
        <f>IFERROR(VLOOKUP(AA38,RULES!$A:$N,14,0)*1,0)</f>
        <v/>
      </c>
      <c r="AN38" s="41">
        <f>IFERROR(VLOOKUP(AA38,RULES!$A:$O,15,0)*1,0)</f>
        <v/>
      </c>
      <c r="AO38" s="41">
        <f>IF(N38&lt;&gt;"",N38,IFERROR(VLOOKUP(AA38,RULES!$A:$P,16,0),CONFIG!$B$8))</f>
        <v/>
      </c>
      <c r="AP38" s="41">
        <f>IF(IFERROR(VLOOKUP(AA38,RULES!$A:$Q,17,0),"")="",CONFIG!$B$13,VLOOKUP(AA38,RULES!$A:$Q,17,0))</f>
        <v/>
      </c>
      <c r="AQ38" s="41">
        <f>IF(IFERROR(VLOOKUP(AA38,RULES!$A:$R,18,0),"")="",CONFIG!$B$14,VLOOKUP(AA38,RULES!$A:$R,18,0))</f>
        <v/>
      </c>
      <c r="AR38" s="41">
        <f>IFERROR(VLOOKUP(AA38,RULES!$A:$S,19,0)*1,0)</f>
        <v/>
      </c>
      <c r="AS38" s="41">
        <f>IFERROR(VLOOKUP(AA38,RULES!$A:$T,20,0)*1,0)</f>
        <v/>
      </c>
      <c r="AT38" s="41">
        <f>IFERROR(VLOOKUP(AA38,RULES!$A:$U,21,0)*1,0)</f>
        <v/>
      </c>
      <c r="AU38" s="41">
        <f>IFERROR(VLOOKUP(AA38,RULES!$A:$V,22,0)*1,0)</f>
        <v/>
      </c>
      <c r="AV38" s="41">
        <f>IFERROR(VLOOKUP(AA38,RULES!$A:$W,23,0)*1,0)</f>
        <v/>
      </c>
      <c r="AW38" s="41">
        <f>IFERROR(IF(VLOOKUP(AA38,RULES!$A:$X,24,0)="",999999,VLOOKUP(AA38,RULES!$A:$X,24,0)*1),999999)</f>
        <v/>
      </c>
      <c r="AX38" s="41">
        <f>IFERROR(VLOOKUP(AA38,RULES!$A:$Y,25,0)*1,0)</f>
        <v/>
      </c>
      <c r="AY38" s="41">
        <f>IFERROR(VLOOKUP(AA38,RULES!$A:$Z,26,0),"NONE")</f>
        <v/>
      </c>
      <c r="AZ38" s="41">
        <f>IFERROR(VLOOKUP(AA38,RULES!$A:$AA,27,0)*1,0)</f>
        <v/>
      </c>
      <c r="BA38" s="41">
        <f>IFERROR(VLOOKUP(AA38,RULES!$A:$AB,28,0)*1,0)</f>
        <v/>
      </c>
    </row>
    <row r="39" ht="17" customHeight="1">
      <c r="A39" s="36" t="n"/>
      <c r="B39" s="48" t="inlineStr">
        <is>
          <t>ACC008</t>
        </is>
      </c>
      <c r="C39" s="48" t="inlineStr">
        <is>
          <t>DEFAULT</t>
        </is>
      </c>
      <c r="D39" s="47" t="n"/>
      <c r="E39" s="36">
        <f>IF(OR(D39="",D39=0),"INACTIVE","ACTIVE")</f>
        <v/>
      </c>
      <c r="F39" s="48" t="inlineStr">
        <is>
          <t>NORMAL</t>
        </is>
      </c>
      <c r="G39" s="36" t="n"/>
      <c r="H39" s="36" t="n"/>
      <c r="I39" s="42">
        <f>IF(OR(E39="INACTIVE",H39=""),0,MAX(0,H39-G39))</f>
        <v/>
      </c>
      <c r="J39" s="36" t="n"/>
      <c r="K39" s="42">
        <f>IF(OR(E39="INACTIVE",H39=""),0,IF(AB39="DISABLED",0,IF(AB39="FLAT",AE39,IF(AB39="MANUAL",IF(J39="",0,J39*AC39),IF(AB39="STEP",IF(I39&lt;=AF39,I39*AG39,IF(I39&lt;=AH39,AF39*AG39+(I39-AF39)*AI39,AF39*AG39+(AH39-AF39)*AI39+(I39-AH39)*AK39)),MAX(I39*AC39,AD39))))))</f>
        <v/>
      </c>
      <c r="L39" s="42">
        <f>IF(OR(E39="INACTIVE",H39=""),0,IF(AL39="NONE",0,IF(AL39="FLAT",AM39,IF(AL39="PER_UNIT",I39*AN39,IF(AL39="MANUAL",IF(M39="",0,M39),0)))))</f>
        <v/>
      </c>
      <c r="M39" s="36" t="n"/>
      <c r="N39" s="48" t="inlineStr">
        <is>
          <t>NORMAL</t>
        </is>
      </c>
      <c r="O39" s="36" t="n"/>
      <c r="P39" s="36" t="n"/>
      <c r="Q39" s="42">
        <f>IF(OR(E39="INACTIVE",P39=""),0,MAX(0,P39-O39))</f>
        <v/>
      </c>
      <c r="R39" s="36" t="n"/>
      <c r="S39" s="42">
        <f>IF(OR(E39="INACTIVE",P39=""),0,IF(AO39="DISABLED",0,IF(AO39="FLAT",AR39,IF(AO39="MANUAL",IF(R39="",0,R39*AP39),IF(AO39="STEP",IF(Q39&lt;=AS39,Q39*AT39,IF(Q39&lt;=AU39,AS39*AT39+(Q39-AS39)*AV39,AS39*AT39+(AU39-AS39)*AV39+(Q39-AU39)*AX39)),MAX(Q39*AP39,AQ39))))))</f>
        <v/>
      </c>
      <c r="T39" s="42">
        <f>IF(OR(E39="INACTIVE",P39=""),0,IF(AY39="NONE",0,IF(AY39="FLAT",AZ39,IF(AY39="PER_UNIT",Q39*BA39,IF(AY39="MANUAL",IF(U39="",0,U39),0)))))</f>
        <v/>
      </c>
      <c r="U39" s="36" t="n"/>
      <c r="V39" s="36" t="n"/>
      <c r="W39" s="36" t="n"/>
      <c r="X39" s="42">
        <f>IF(E39="INACTIVE",0,D39+K39+L39+S39+T39+IF(V39="",0,V39)+IF(W39="",0,W39))</f>
        <v/>
      </c>
      <c r="Y39" s="36" t="n"/>
      <c r="Z39" s="42">
        <f>IF(E39="INACTIVE","_",IF(AND(G39&gt;0,H39&gt;0,H39&lt;G39),"[!]น้ำ reset ","")&amp;IF(AND(O39&gt;0,P39&gt;0,P39&lt;O39),"[!]ไฟ reset ","")&amp;IF(AND(F39="MANUAL",J39=""),"[X]units น้ำ ","")&amp;IF(AND(N39="MANUAL",R39=""),"[X]units ไฟ ","")&amp;IF(D39=0,"[!]ค่าเช่า=0",""))</f>
        <v/>
      </c>
      <c r="AA39" s="41">
        <f>IF(C39&lt;&gt;"",C39,CONFIG!$B$6)</f>
        <v/>
      </c>
      <c r="AB39" s="41">
        <f>IF(F39&lt;&gt;"",F39,IFERROR(VLOOKUP(AA39,RULES!$A:$C,3,0),CONFIG!$B$7))</f>
        <v/>
      </c>
      <c r="AC39" s="41">
        <f>IF(IFERROR(VLOOKUP(AA39,RULES!$A:$D,4,0),"")="",CONFIG!$B$10,VLOOKUP(AA39,RULES!$A:$D,4,0))</f>
        <v/>
      </c>
      <c r="AD39" s="41">
        <f>IF(IFERROR(VLOOKUP(AA39,RULES!$A:$E,5,0),"")="",CONFIG!$B$11,VLOOKUP(AA39,RULES!$A:$E,5,0))</f>
        <v/>
      </c>
      <c r="AE39" s="41">
        <f>IFERROR(VLOOKUP(AA39,RULES!$A:$F,6,0)*1,0)</f>
        <v/>
      </c>
      <c r="AF39" s="41">
        <f>IFERROR(VLOOKUP(AA39,RULES!$A:$G,7,0)*1,0)</f>
        <v/>
      </c>
      <c r="AG39" s="41">
        <f>IFERROR(VLOOKUP(AA39,RULES!$A:$H,8,0)*1,0)</f>
        <v/>
      </c>
      <c r="AH39" s="41">
        <f>IFERROR(VLOOKUP(AA39,RULES!$A:$I,9,0)*1,0)</f>
        <v/>
      </c>
      <c r="AI39" s="41">
        <f>IFERROR(VLOOKUP(AA39,RULES!$A:$J,10,0)*1,0)</f>
        <v/>
      </c>
      <c r="AJ39" s="41">
        <f>IFERROR(IF(VLOOKUP(AA39,RULES!$A:$K,11,0)="",999999,VLOOKUP(AA39,RULES!$A:$K,11,0)*1),999999)</f>
        <v/>
      </c>
      <c r="AK39" s="41">
        <f>IFERROR(VLOOKUP(AA39,RULES!$A:$L,12,0)*1,0)</f>
        <v/>
      </c>
      <c r="AL39" s="41">
        <f>IFERROR(VLOOKUP(AA39,RULES!$A:$M,13,0),"NONE")</f>
        <v/>
      </c>
      <c r="AM39" s="41">
        <f>IFERROR(VLOOKUP(AA39,RULES!$A:$N,14,0)*1,0)</f>
        <v/>
      </c>
      <c r="AN39" s="41">
        <f>IFERROR(VLOOKUP(AA39,RULES!$A:$O,15,0)*1,0)</f>
        <v/>
      </c>
      <c r="AO39" s="41">
        <f>IF(N39&lt;&gt;"",N39,IFERROR(VLOOKUP(AA39,RULES!$A:$P,16,0),CONFIG!$B$8))</f>
        <v/>
      </c>
      <c r="AP39" s="41">
        <f>IF(IFERROR(VLOOKUP(AA39,RULES!$A:$Q,17,0),"")="",CONFIG!$B$13,VLOOKUP(AA39,RULES!$A:$Q,17,0))</f>
        <v/>
      </c>
      <c r="AQ39" s="41">
        <f>IF(IFERROR(VLOOKUP(AA39,RULES!$A:$R,18,0),"")="",CONFIG!$B$14,VLOOKUP(AA39,RULES!$A:$R,18,0))</f>
        <v/>
      </c>
      <c r="AR39" s="41">
        <f>IFERROR(VLOOKUP(AA39,RULES!$A:$S,19,0)*1,0)</f>
        <v/>
      </c>
      <c r="AS39" s="41">
        <f>IFERROR(VLOOKUP(AA39,RULES!$A:$T,20,0)*1,0)</f>
        <v/>
      </c>
      <c r="AT39" s="41">
        <f>IFERROR(VLOOKUP(AA39,RULES!$A:$U,21,0)*1,0)</f>
        <v/>
      </c>
      <c r="AU39" s="41">
        <f>IFERROR(VLOOKUP(AA39,RULES!$A:$V,22,0)*1,0)</f>
        <v/>
      </c>
      <c r="AV39" s="41">
        <f>IFERROR(VLOOKUP(AA39,RULES!$A:$W,23,0)*1,0)</f>
        <v/>
      </c>
      <c r="AW39" s="41">
        <f>IFERROR(IF(VLOOKUP(AA39,RULES!$A:$X,24,0)="",999999,VLOOKUP(AA39,RULES!$A:$X,24,0)*1),999999)</f>
        <v/>
      </c>
      <c r="AX39" s="41">
        <f>IFERROR(VLOOKUP(AA39,RULES!$A:$Y,25,0)*1,0)</f>
        <v/>
      </c>
      <c r="AY39" s="41">
        <f>IFERROR(VLOOKUP(AA39,RULES!$A:$Z,26,0),"NONE")</f>
        <v/>
      </c>
      <c r="AZ39" s="41">
        <f>IFERROR(VLOOKUP(AA39,RULES!$A:$AA,27,0)*1,0)</f>
        <v/>
      </c>
      <c r="BA39" s="41">
        <f>IFERROR(VLOOKUP(AA39,RULES!$A:$AB,28,0)*1,0)</f>
        <v/>
      </c>
    </row>
    <row r="40" ht="17" customHeight="1">
      <c r="A40" s="36" t="n"/>
      <c r="B40" s="48" t="inlineStr">
        <is>
          <t>ACC008</t>
        </is>
      </c>
      <c r="C40" s="48" t="inlineStr">
        <is>
          <t>DEFAULT</t>
        </is>
      </c>
      <c r="D40" s="47" t="n"/>
      <c r="E40" s="36">
        <f>IF(OR(D40="",D40=0),"INACTIVE","ACTIVE")</f>
        <v/>
      </c>
      <c r="F40" s="48" t="inlineStr">
        <is>
          <t>NORMAL</t>
        </is>
      </c>
      <c r="G40" s="36" t="n"/>
      <c r="H40" s="36" t="n"/>
      <c r="I40" s="42">
        <f>IF(OR(E40="INACTIVE",H40=""),0,MAX(0,H40-G40))</f>
        <v/>
      </c>
      <c r="J40" s="36" t="n"/>
      <c r="K40" s="42">
        <f>IF(OR(E40="INACTIVE",H40=""),0,IF(AB40="DISABLED",0,IF(AB40="FLAT",AE40,IF(AB40="MANUAL",IF(J40="",0,J40*AC40),IF(AB40="STEP",IF(I40&lt;=AF40,I40*AG40,IF(I40&lt;=AH40,AF40*AG40+(I40-AF40)*AI40,AF40*AG40+(AH40-AF40)*AI40+(I40-AH40)*AK40)),MAX(I40*AC40,AD40))))))</f>
        <v/>
      </c>
      <c r="L40" s="42">
        <f>IF(OR(E40="INACTIVE",H40=""),0,IF(AL40="NONE",0,IF(AL40="FLAT",AM40,IF(AL40="PER_UNIT",I40*AN40,IF(AL40="MANUAL",IF(M40="",0,M40),0)))))</f>
        <v/>
      </c>
      <c r="M40" s="36" t="n"/>
      <c r="N40" s="48" t="inlineStr">
        <is>
          <t>NORMAL</t>
        </is>
      </c>
      <c r="O40" s="36" t="n"/>
      <c r="P40" s="36" t="n"/>
      <c r="Q40" s="42">
        <f>IF(OR(E40="INACTIVE",P40=""),0,MAX(0,P40-O40))</f>
        <v/>
      </c>
      <c r="R40" s="36" t="n"/>
      <c r="S40" s="42">
        <f>IF(OR(E40="INACTIVE",P40=""),0,IF(AO40="DISABLED",0,IF(AO40="FLAT",AR40,IF(AO40="MANUAL",IF(R40="",0,R40*AP40),IF(AO40="STEP",IF(Q40&lt;=AS40,Q40*AT40,IF(Q40&lt;=AU40,AS40*AT40+(Q40-AS40)*AV40,AS40*AT40+(AU40-AS40)*AV40+(Q40-AU40)*AX40)),MAX(Q40*AP40,AQ40))))))</f>
        <v/>
      </c>
      <c r="T40" s="42">
        <f>IF(OR(E40="INACTIVE",P40=""),0,IF(AY40="NONE",0,IF(AY40="FLAT",AZ40,IF(AY40="PER_UNIT",Q40*BA40,IF(AY40="MANUAL",IF(U40="",0,U40),0)))))</f>
        <v/>
      </c>
      <c r="U40" s="36" t="n"/>
      <c r="V40" s="36" t="n"/>
      <c r="W40" s="36" t="n"/>
      <c r="X40" s="42">
        <f>IF(E40="INACTIVE",0,D40+K40+L40+S40+T40+IF(V40="",0,V40)+IF(W40="",0,W40))</f>
        <v/>
      </c>
      <c r="Y40" s="36" t="n"/>
      <c r="Z40" s="42">
        <f>IF(E40="INACTIVE","_",IF(AND(G40&gt;0,H40&gt;0,H40&lt;G40),"[!]น้ำ reset ","")&amp;IF(AND(O40&gt;0,P40&gt;0,P40&lt;O40),"[!]ไฟ reset ","")&amp;IF(AND(F40="MANUAL",J40=""),"[X]units น้ำ ","")&amp;IF(AND(N40="MANUAL",R40=""),"[X]units ไฟ ","")&amp;IF(D40=0,"[!]ค่าเช่า=0",""))</f>
        <v/>
      </c>
      <c r="AA40" s="41">
        <f>IF(C40&lt;&gt;"",C40,CONFIG!$B$6)</f>
        <v/>
      </c>
      <c r="AB40" s="41">
        <f>IF(F40&lt;&gt;"",F40,IFERROR(VLOOKUP(AA40,RULES!$A:$C,3,0),CONFIG!$B$7))</f>
        <v/>
      </c>
      <c r="AC40" s="41">
        <f>IF(IFERROR(VLOOKUP(AA40,RULES!$A:$D,4,0),"")="",CONFIG!$B$10,VLOOKUP(AA40,RULES!$A:$D,4,0))</f>
        <v/>
      </c>
      <c r="AD40" s="41">
        <f>IF(IFERROR(VLOOKUP(AA40,RULES!$A:$E,5,0),"")="",CONFIG!$B$11,VLOOKUP(AA40,RULES!$A:$E,5,0))</f>
        <v/>
      </c>
      <c r="AE40" s="41">
        <f>IFERROR(VLOOKUP(AA40,RULES!$A:$F,6,0)*1,0)</f>
        <v/>
      </c>
      <c r="AF40" s="41">
        <f>IFERROR(VLOOKUP(AA40,RULES!$A:$G,7,0)*1,0)</f>
        <v/>
      </c>
      <c r="AG40" s="41">
        <f>IFERROR(VLOOKUP(AA40,RULES!$A:$H,8,0)*1,0)</f>
        <v/>
      </c>
      <c r="AH40" s="41">
        <f>IFERROR(VLOOKUP(AA40,RULES!$A:$I,9,0)*1,0)</f>
        <v/>
      </c>
      <c r="AI40" s="41">
        <f>IFERROR(VLOOKUP(AA40,RULES!$A:$J,10,0)*1,0)</f>
        <v/>
      </c>
      <c r="AJ40" s="41">
        <f>IFERROR(IF(VLOOKUP(AA40,RULES!$A:$K,11,0)="",999999,VLOOKUP(AA40,RULES!$A:$K,11,0)*1),999999)</f>
        <v/>
      </c>
      <c r="AK40" s="41">
        <f>IFERROR(VLOOKUP(AA40,RULES!$A:$L,12,0)*1,0)</f>
        <v/>
      </c>
      <c r="AL40" s="41">
        <f>IFERROR(VLOOKUP(AA40,RULES!$A:$M,13,0),"NONE")</f>
        <v/>
      </c>
      <c r="AM40" s="41">
        <f>IFERROR(VLOOKUP(AA40,RULES!$A:$N,14,0)*1,0)</f>
        <v/>
      </c>
      <c r="AN40" s="41">
        <f>IFERROR(VLOOKUP(AA40,RULES!$A:$O,15,0)*1,0)</f>
        <v/>
      </c>
      <c r="AO40" s="41">
        <f>IF(N40&lt;&gt;"",N40,IFERROR(VLOOKUP(AA40,RULES!$A:$P,16,0),CONFIG!$B$8))</f>
        <v/>
      </c>
      <c r="AP40" s="41">
        <f>IF(IFERROR(VLOOKUP(AA40,RULES!$A:$Q,17,0),"")="",CONFIG!$B$13,VLOOKUP(AA40,RULES!$A:$Q,17,0))</f>
        <v/>
      </c>
      <c r="AQ40" s="41">
        <f>IF(IFERROR(VLOOKUP(AA40,RULES!$A:$R,18,0),"")="",CONFIG!$B$14,VLOOKUP(AA40,RULES!$A:$R,18,0))</f>
        <v/>
      </c>
      <c r="AR40" s="41">
        <f>IFERROR(VLOOKUP(AA40,RULES!$A:$S,19,0)*1,0)</f>
        <v/>
      </c>
      <c r="AS40" s="41">
        <f>IFERROR(VLOOKUP(AA40,RULES!$A:$T,20,0)*1,0)</f>
        <v/>
      </c>
      <c r="AT40" s="41">
        <f>IFERROR(VLOOKUP(AA40,RULES!$A:$U,21,0)*1,0)</f>
        <v/>
      </c>
      <c r="AU40" s="41">
        <f>IFERROR(VLOOKUP(AA40,RULES!$A:$V,22,0)*1,0)</f>
        <v/>
      </c>
      <c r="AV40" s="41">
        <f>IFERROR(VLOOKUP(AA40,RULES!$A:$W,23,0)*1,0)</f>
        <v/>
      </c>
      <c r="AW40" s="41">
        <f>IFERROR(IF(VLOOKUP(AA40,RULES!$A:$X,24,0)="",999999,VLOOKUP(AA40,RULES!$A:$X,24,0)*1),999999)</f>
        <v/>
      </c>
      <c r="AX40" s="41">
        <f>IFERROR(VLOOKUP(AA40,RULES!$A:$Y,25,0)*1,0)</f>
        <v/>
      </c>
      <c r="AY40" s="41">
        <f>IFERROR(VLOOKUP(AA40,RULES!$A:$Z,26,0),"NONE")</f>
        <v/>
      </c>
      <c r="AZ40" s="41">
        <f>IFERROR(VLOOKUP(AA40,RULES!$A:$AA,27,0)*1,0)</f>
        <v/>
      </c>
      <c r="BA40" s="41">
        <f>IFERROR(VLOOKUP(AA40,RULES!$A:$AB,28,0)*1,0)</f>
        <v/>
      </c>
    </row>
    <row r="41" ht="17" customHeight="1">
      <c r="A41" s="36" t="n"/>
      <c r="B41" s="48" t="inlineStr">
        <is>
          <t>ACC008</t>
        </is>
      </c>
      <c r="C41" s="48" t="inlineStr">
        <is>
          <t>DEFAULT</t>
        </is>
      </c>
      <c r="D41" s="47" t="n"/>
      <c r="E41" s="36">
        <f>IF(OR(D41="",D41=0),"INACTIVE","ACTIVE")</f>
        <v/>
      </c>
      <c r="F41" s="48" t="inlineStr">
        <is>
          <t>NORMAL</t>
        </is>
      </c>
      <c r="G41" s="36" t="n"/>
      <c r="H41" s="36" t="n"/>
      <c r="I41" s="42">
        <f>IF(OR(E41="INACTIVE",H41=""),0,MAX(0,H41-G41))</f>
        <v/>
      </c>
      <c r="J41" s="36" t="n"/>
      <c r="K41" s="42">
        <f>IF(OR(E41="INACTIVE",H41=""),0,IF(AB41="DISABLED",0,IF(AB41="FLAT",AE41,IF(AB41="MANUAL",IF(J41="",0,J41*AC41),IF(AB41="STEP",IF(I41&lt;=AF41,I41*AG41,IF(I41&lt;=AH41,AF41*AG41+(I41-AF41)*AI41,AF41*AG41+(AH41-AF41)*AI41+(I41-AH41)*AK41)),MAX(I41*AC41,AD41))))))</f>
        <v/>
      </c>
      <c r="L41" s="42">
        <f>IF(OR(E41="INACTIVE",H41=""),0,IF(AL41="NONE",0,IF(AL41="FLAT",AM41,IF(AL41="PER_UNIT",I41*AN41,IF(AL41="MANUAL",IF(M41="",0,M41),0)))))</f>
        <v/>
      </c>
      <c r="M41" s="36" t="n"/>
      <c r="N41" s="48" t="inlineStr">
        <is>
          <t>NORMAL</t>
        </is>
      </c>
      <c r="O41" s="36" t="n"/>
      <c r="P41" s="36" t="n"/>
      <c r="Q41" s="42">
        <f>IF(OR(E41="INACTIVE",P41=""),0,MAX(0,P41-O41))</f>
        <v/>
      </c>
      <c r="R41" s="36" t="n"/>
      <c r="S41" s="42">
        <f>IF(OR(E41="INACTIVE",P41=""),0,IF(AO41="DISABLED",0,IF(AO41="FLAT",AR41,IF(AO41="MANUAL",IF(R41="",0,R41*AP41),IF(AO41="STEP",IF(Q41&lt;=AS41,Q41*AT41,IF(Q41&lt;=AU41,AS41*AT41+(Q41-AS41)*AV41,AS41*AT41+(AU41-AS41)*AV41+(Q41-AU41)*AX41)),MAX(Q41*AP41,AQ41))))))</f>
        <v/>
      </c>
      <c r="T41" s="42">
        <f>IF(OR(E41="INACTIVE",P41=""),0,IF(AY41="NONE",0,IF(AY41="FLAT",AZ41,IF(AY41="PER_UNIT",Q41*BA41,IF(AY41="MANUAL",IF(U41="",0,U41),0)))))</f>
        <v/>
      </c>
      <c r="U41" s="36" t="n"/>
      <c r="V41" s="36" t="n"/>
      <c r="W41" s="36" t="n"/>
      <c r="X41" s="42">
        <f>IF(E41="INACTIVE",0,D41+K41+L41+S41+T41+IF(V41="",0,V41)+IF(W41="",0,W41))</f>
        <v/>
      </c>
      <c r="Y41" s="36" t="n"/>
      <c r="Z41" s="42">
        <f>IF(E41="INACTIVE","_",IF(AND(G41&gt;0,H41&gt;0,H41&lt;G41),"[!]น้ำ reset ","")&amp;IF(AND(O41&gt;0,P41&gt;0,P41&lt;O41),"[!]ไฟ reset ","")&amp;IF(AND(F41="MANUAL",J41=""),"[X]units น้ำ ","")&amp;IF(AND(N41="MANUAL",R41=""),"[X]units ไฟ ","")&amp;IF(D41=0,"[!]ค่าเช่า=0",""))</f>
        <v/>
      </c>
      <c r="AA41" s="41">
        <f>IF(C41&lt;&gt;"",C41,CONFIG!$B$6)</f>
        <v/>
      </c>
      <c r="AB41" s="41">
        <f>IF(F41&lt;&gt;"",F41,IFERROR(VLOOKUP(AA41,RULES!$A:$C,3,0),CONFIG!$B$7))</f>
        <v/>
      </c>
      <c r="AC41" s="41">
        <f>IF(IFERROR(VLOOKUP(AA41,RULES!$A:$D,4,0),"")="",CONFIG!$B$10,VLOOKUP(AA41,RULES!$A:$D,4,0))</f>
        <v/>
      </c>
      <c r="AD41" s="41">
        <f>IF(IFERROR(VLOOKUP(AA41,RULES!$A:$E,5,0),"")="",CONFIG!$B$11,VLOOKUP(AA41,RULES!$A:$E,5,0))</f>
        <v/>
      </c>
      <c r="AE41" s="41">
        <f>IFERROR(VLOOKUP(AA41,RULES!$A:$F,6,0)*1,0)</f>
        <v/>
      </c>
      <c r="AF41" s="41">
        <f>IFERROR(VLOOKUP(AA41,RULES!$A:$G,7,0)*1,0)</f>
        <v/>
      </c>
      <c r="AG41" s="41">
        <f>IFERROR(VLOOKUP(AA41,RULES!$A:$H,8,0)*1,0)</f>
        <v/>
      </c>
      <c r="AH41" s="41">
        <f>IFERROR(VLOOKUP(AA41,RULES!$A:$I,9,0)*1,0)</f>
        <v/>
      </c>
      <c r="AI41" s="41">
        <f>IFERROR(VLOOKUP(AA41,RULES!$A:$J,10,0)*1,0)</f>
        <v/>
      </c>
      <c r="AJ41" s="41">
        <f>IFERROR(IF(VLOOKUP(AA41,RULES!$A:$K,11,0)="",999999,VLOOKUP(AA41,RULES!$A:$K,11,0)*1),999999)</f>
        <v/>
      </c>
      <c r="AK41" s="41">
        <f>IFERROR(VLOOKUP(AA41,RULES!$A:$L,12,0)*1,0)</f>
        <v/>
      </c>
      <c r="AL41" s="41">
        <f>IFERROR(VLOOKUP(AA41,RULES!$A:$M,13,0),"NONE")</f>
        <v/>
      </c>
      <c r="AM41" s="41">
        <f>IFERROR(VLOOKUP(AA41,RULES!$A:$N,14,0)*1,0)</f>
        <v/>
      </c>
      <c r="AN41" s="41">
        <f>IFERROR(VLOOKUP(AA41,RULES!$A:$O,15,0)*1,0)</f>
        <v/>
      </c>
      <c r="AO41" s="41">
        <f>IF(N41&lt;&gt;"",N41,IFERROR(VLOOKUP(AA41,RULES!$A:$P,16,0),CONFIG!$B$8))</f>
        <v/>
      </c>
      <c r="AP41" s="41">
        <f>IF(IFERROR(VLOOKUP(AA41,RULES!$A:$Q,17,0),"")="",CONFIG!$B$13,VLOOKUP(AA41,RULES!$A:$Q,17,0))</f>
        <v/>
      </c>
      <c r="AQ41" s="41">
        <f>IF(IFERROR(VLOOKUP(AA41,RULES!$A:$R,18,0),"")="",CONFIG!$B$14,VLOOKUP(AA41,RULES!$A:$R,18,0))</f>
        <v/>
      </c>
      <c r="AR41" s="41">
        <f>IFERROR(VLOOKUP(AA41,RULES!$A:$S,19,0)*1,0)</f>
        <v/>
      </c>
      <c r="AS41" s="41">
        <f>IFERROR(VLOOKUP(AA41,RULES!$A:$T,20,0)*1,0)</f>
        <v/>
      </c>
      <c r="AT41" s="41">
        <f>IFERROR(VLOOKUP(AA41,RULES!$A:$U,21,0)*1,0)</f>
        <v/>
      </c>
      <c r="AU41" s="41">
        <f>IFERROR(VLOOKUP(AA41,RULES!$A:$V,22,0)*1,0)</f>
        <v/>
      </c>
      <c r="AV41" s="41">
        <f>IFERROR(VLOOKUP(AA41,RULES!$A:$W,23,0)*1,0)</f>
        <v/>
      </c>
      <c r="AW41" s="41">
        <f>IFERROR(IF(VLOOKUP(AA41,RULES!$A:$X,24,0)="",999999,VLOOKUP(AA41,RULES!$A:$X,24,0)*1),999999)</f>
        <v/>
      </c>
      <c r="AX41" s="41">
        <f>IFERROR(VLOOKUP(AA41,RULES!$A:$Y,25,0)*1,0)</f>
        <v/>
      </c>
      <c r="AY41" s="41">
        <f>IFERROR(VLOOKUP(AA41,RULES!$A:$Z,26,0),"NONE")</f>
        <v/>
      </c>
      <c r="AZ41" s="41">
        <f>IFERROR(VLOOKUP(AA41,RULES!$A:$AA,27,0)*1,0)</f>
        <v/>
      </c>
      <c r="BA41" s="41">
        <f>IFERROR(VLOOKUP(AA41,RULES!$A:$AB,28,0)*1,0)</f>
        <v/>
      </c>
    </row>
    <row r="42" ht="17" customHeight="1">
      <c r="A42" s="36" t="n"/>
      <c r="B42" s="48" t="inlineStr">
        <is>
          <t>ACC008</t>
        </is>
      </c>
      <c r="C42" s="48" t="inlineStr">
        <is>
          <t>DEFAULT</t>
        </is>
      </c>
      <c r="D42" s="47" t="n"/>
      <c r="E42" s="36">
        <f>IF(OR(D42="",D42=0),"INACTIVE","ACTIVE")</f>
        <v/>
      </c>
      <c r="F42" s="48" t="inlineStr">
        <is>
          <t>NORMAL</t>
        </is>
      </c>
      <c r="G42" s="36" t="n"/>
      <c r="H42" s="36" t="n"/>
      <c r="I42" s="42">
        <f>IF(OR(E42="INACTIVE",H42=""),0,MAX(0,H42-G42))</f>
        <v/>
      </c>
      <c r="J42" s="36" t="n"/>
      <c r="K42" s="42">
        <f>IF(OR(E42="INACTIVE",H42=""),0,IF(AB42="DISABLED",0,IF(AB42="FLAT",AE42,IF(AB42="MANUAL",IF(J42="",0,J42*AC42),IF(AB42="STEP",IF(I42&lt;=AF42,I42*AG42,IF(I42&lt;=AH42,AF42*AG42+(I42-AF42)*AI42,AF42*AG42+(AH42-AF42)*AI42+(I42-AH42)*AK42)),MAX(I42*AC42,AD42))))))</f>
        <v/>
      </c>
      <c r="L42" s="42">
        <f>IF(OR(E42="INACTIVE",H42=""),0,IF(AL42="NONE",0,IF(AL42="FLAT",AM42,IF(AL42="PER_UNIT",I42*AN42,IF(AL42="MANUAL",IF(M42="",0,M42),0)))))</f>
        <v/>
      </c>
      <c r="M42" s="36" t="n"/>
      <c r="N42" s="48" t="inlineStr">
        <is>
          <t>NORMAL</t>
        </is>
      </c>
      <c r="O42" s="36" t="n"/>
      <c r="P42" s="36" t="n"/>
      <c r="Q42" s="42">
        <f>IF(OR(E42="INACTIVE",P42=""),0,MAX(0,P42-O42))</f>
        <v/>
      </c>
      <c r="R42" s="36" t="n"/>
      <c r="S42" s="42">
        <f>IF(OR(E42="INACTIVE",P42=""),0,IF(AO42="DISABLED",0,IF(AO42="FLAT",AR42,IF(AO42="MANUAL",IF(R42="",0,R42*AP42),IF(AO42="STEP",IF(Q42&lt;=AS42,Q42*AT42,IF(Q42&lt;=AU42,AS42*AT42+(Q42-AS42)*AV42,AS42*AT42+(AU42-AS42)*AV42+(Q42-AU42)*AX42)),MAX(Q42*AP42,AQ42))))))</f>
        <v/>
      </c>
      <c r="T42" s="42">
        <f>IF(OR(E42="INACTIVE",P42=""),0,IF(AY42="NONE",0,IF(AY42="FLAT",AZ42,IF(AY42="PER_UNIT",Q42*BA42,IF(AY42="MANUAL",IF(U42="",0,U42),0)))))</f>
        <v/>
      </c>
      <c r="U42" s="36" t="n"/>
      <c r="V42" s="36" t="n"/>
      <c r="W42" s="36" t="n"/>
      <c r="X42" s="42">
        <f>IF(E42="INACTIVE",0,D42+K42+L42+S42+T42+IF(V42="",0,V42)+IF(W42="",0,W42))</f>
        <v/>
      </c>
      <c r="Y42" s="36" t="n"/>
      <c r="Z42" s="42">
        <f>IF(E42="INACTIVE","_",IF(AND(G42&gt;0,H42&gt;0,H42&lt;G42),"[!]น้ำ reset ","")&amp;IF(AND(O42&gt;0,P42&gt;0,P42&lt;O42),"[!]ไฟ reset ","")&amp;IF(AND(F42="MANUAL",J42=""),"[X]units น้ำ ","")&amp;IF(AND(N42="MANUAL",R42=""),"[X]units ไฟ ","")&amp;IF(D42=0,"[!]ค่าเช่า=0",""))</f>
        <v/>
      </c>
      <c r="AA42" s="41">
        <f>IF(C42&lt;&gt;"",C42,CONFIG!$B$6)</f>
        <v/>
      </c>
      <c r="AB42" s="41">
        <f>IF(F42&lt;&gt;"",F42,IFERROR(VLOOKUP(AA42,RULES!$A:$C,3,0),CONFIG!$B$7))</f>
        <v/>
      </c>
      <c r="AC42" s="41">
        <f>IF(IFERROR(VLOOKUP(AA42,RULES!$A:$D,4,0),"")="",CONFIG!$B$10,VLOOKUP(AA42,RULES!$A:$D,4,0))</f>
        <v/>
      </c>
      <c r="AD42" s="41">
        <f>IF(IFERROR(VLOOKUP(AA42,RULES!$A:$E,5,0),"")="",CONFIG!$B$11,VLOOKUP(AA42,RULES!$A:$E,5,0))</f>
        <v/>
      </c>
      <c r="AE42" s="41">
        <f>IFERROR(VLOOKUP(AA42,RULES!$A:$F,6,0)*1,0)</f>
        <v/>
      </c>
      <c r="AF42" s="41">
        <f>IFERROR(VLOOKUP(AA42,RULES!$A:$G,7,0)*1,0)</f>
        <v/>
      </c>
      <c r="AG42" s="41">
        <f>IFERROR(VLOOKUP(AA42,RULES!$A:$H,8,0)*1,0)</f>
        <v/>
      </c>
      <c r="AH42" s="41">
        <f>IFERROR(VLOOKUP(AA42,RULES!$A:$I,9,0)*1,0)</f>
        <v/>
      </c>
      <c r="AI42" s="41">
        <f>IFERROR(VLOOKUP(AA42,RULES!$A:$J,10,0)*1,0)</f>
        <v/>
      </c>
      <c r="AJ42" s="41">
        <f>IFERROR(IF(VLOOKUP(AA42,RULES!$A:$K,11,0)="",999999,VLOOKUP(AA42,RULES!$A:$K,11,0)*1),999999)</f>
        <v/>
      </c>
      <c r="AK42" s="41">
        <f>IFERROR(VLOOKUP(AA42,RULES!$A:$L,12,0)*1,0)</f>
        <v/>
      </c>
      <c r="AL42" s="41">
        <f>IFERROR(VLOOKUP(AA42,RULES!$A:$M,13,0),"NONE")</f>
        <v/>
      </c>
      <c r="AM42" s="41">
        <f>IFERROR(VLOOKUP(AA42,RULES!$A:$N,14,0)*1,0)</f>
        <v/>
      </c>
      <c r="AN42" s="41">
        <f>IFERROR(VLOOKUP(AA42,RULES!$A:$O,15,0)*1,0)</f>
        <v/>
      </c>
      <c r="AO42" s="41">
        <f>IF(N42&lt;&gt;"",N42,IFERROR(VLOOKUP(AA42,RULES!$A:$P,16,0),CONFIG!$B$8))</f>
        <v/>
      </c>
      <c r="AP42" s="41">
        <f>IF(IFERROR(VLOOKUP(AA42,RULES!$A:$Q,17,0),"")="",CONFIG!$B$13,VLOOKUP(AA42,RULES!$A:$Q,17,0))</f>
        <v/>
      </c>
      <c r="AQ42" s="41">
        <f>IF(IFERROR(VLOOKUP(AA42,RULES!$A:$R,18,0),"")="",CONFIG!$B$14,VLOOKUP(AA42,RULES!$A:$R,18,0))</f>
        <v/>
      </c>
      <c r="AR42" s="41">
        <f>IFERROR(VLOOKUP(AA42,RULES!$A:$S,19,0)*1,0)</f>
        <v/>
      </c>
      <c r="AS42" s="41">
        <f>IFERROR(VLOOKUP(AA42,RULES!$A:$T,20,0)*1,0)</f>
        <v/>
      </c>
      <c r="AT42" s="41">
        <f>IFERROR(VLOOKUP(AA42,RULES!$A:$U,21,0)*1,0)</f>
        <v/>
      </c>
      <c r="AU42" s="41">
        <f>IFERROR(VLOOKUP(AA42,RULES!$A:$V,22,0)*1,0)</f>
        <v/>
      </c>
      <c r="AV42" s="41">
        <f>IFERROR(VLOOKUP(AA42,RULES!$A:$W,23,0)*1,0)</f>
        <v/>
      </c>
      <c r="AW42" s="41">
        <f>IFERROR(IF(VLOOKUP(AA42,RULES!$A:$X,24,0)="",999999,VLOOKUP(AA42,RULES!$A:$X,24,0)*1),999999)</f>
        <v/>
      </c>
      <c r="AX42" s="41">
        <f>IFERROR(VLOOKUP(AA42,RULES!$A:$Y,25,0)*1,0)</f>
        <v/>
      </c>
      <c r="AY42" s="41">
        <f>IFERROR(VLOOKUP(AA42,RULES!$A:$Z,26,0),"NONE")</f>
        <v/>
      </c>
      <c r="AZ42" s="41">
        <f>IFERROR(VLOOKUP(AA42,RULES!$A:$AA,27,0)*1,0)</f>
        <v/>
      </c>
      <c r="BA42" s="41">
        <f>IFERROR(VLOOKUP(AA42,RULES!$A:$AB,28,0)*1,0)</f>
        <v/>
      </c>
    </row>
    <row r="43" ht="17" customHeight="1">
      <c r="A43" s="36" t="n"/>
      <c r="B43" s="48" t="inlineStr">
        <is>
          <t>ACC008</t>
        </is>
      </c>
      <c r="C43" s="48" t="inlineStr">
        <is>
          <t>DEFAULT</t>
        </is>
      </c>
      <c r="D43" s="47" t="n"/>
      <c r="E43" s="36">
        <f>IF(OR(D43="",D43=0),"INACTIVE","ACTIVE")</f>
        <v/>
      </c>
      <c r="F43" s="48" t="inlineStr">
        <is>
          <t>NORMAL</t>
        </is>
      </c>
      <c r="G43" s="36" t="n"/>
      <c r="H43" s="36" t="n"/>
      <c r="I43" s="42">
        <f>IF(OR(E43="INACTIVE",H43=""),0,MAX(0,H43-G43))</f>
        <v/>
      </c>
      <c r="J43" s="36" t="n"/>
      <c r="K43" s="42">
        <f>IF(OR(E43="INACTIVE",H43=""),0,IF(AB43="DISABLED",0,IF(AB43="FLAT",AE43,IF(AB43="MANUAL",IF(J43="",0,J43*AC43),IF(AB43="STEP",IF(I43&lt;=AF43,I43*AG43,IF(I43&lt;=AH43,AF43*AG43+(I43-AF43)*AI43,AF43*AG43+(AH43-AF43)*AI43+(I43-AH43)*AK43)),MAX(I43*AC43,AD43))))))</f>
        <v/>
      </c>
      <c r="L43" s="42">
        <f>IF(OR(E43="INACTIVE",H43=""),0,IF(AL43="NONE",0,IF(AL43="FLAT",AM43,IF(AL43="PER_UNIT",I43*AN43,IF(AL43="MANUAL",IF(M43="",0,M43),0)))))</f>
        <v/>
      </c>
      <c r="M43" s="36" t="n"/>
      <c r="N43" s="48" t="inlineStr">
        <is>
          <t>NORMAL</t>
        </is>
      </c>
      <c r="O43" s="36" t="n"/>
      <c r="P43" s="36" t="n"/>
      <c r="Q43" s="42">
        <f>IF(OR(E43="INACTIVE",P43=""),0,MAX(0,P43-O43))</f>
        <v/>
      </c>
      <c r="R43" s="36" t="n"/>
      <c r="S43" s="42">
        <f>IF(OR(E43="INACTIVE",P43=""),0,IF(AO43="DISABLED",0,IF(AO43="FLAT",AR43,IF(AO43="MANUAL",IF(R43="",0,R43*AP43),IF(AO43="STEP",IF(Q43&lt;=AS43,Q43*AT43,IF(Q43&lt;=AU43,AS43*AT43+(Q43-AS43)*AV43,AS43*AT43+(AU43-AS43)*AV43+(Q43-AU43)*AX43)),MAX(Q43*AP43,AQ43))))))</f>
        <v/>
      </c>
      <c r="T43" s="42">
        <f>IF(OR(E43="INACTIVE",P43=""),0,IF(AY43="NONE",0,IF(AY43="FLAT",AZ43,IF(AY43="PER_UNIT",Q43*BA43,IF(AY43="MANUAL",IF(U43="",0,U43),0)))))</f>
        <v/>
      </c>
      <c r="U43" s="36" t="n"/>
      <c r="V43" s="36" t="n"/>
      <c r="W43" s="36" t="n"/>
      <c r="X43" s="42">
        <f>IF(E43="INACTIVE",0,D43+K43+L43+S43+T43+IF(V43="",0,V43)+IF(W43="",0,W43))</f>
        <v/>
      </c>
      <c r="Y43" s="36" t="n"/>
      <c r="Z43" s="42">
        <f>IF(E43="INACTIVE","_",IF(AND(G43&gt;0,H43&gt;0,H43&lt;G43),"[!]น้ำ reset ","")&amp;IF(AND(O43&gt;0,P43&gt;0,P43&lt;O43),"[!]ไฟ reset ","")&amp;IF(AND(F43="MANUAL",J43=""),"[X]units น้ำ ","")&amp;IF(AND(N43="MANUAL",R43=""),"[X]units ไฟ ","")&amp;IF(D43=0,"[!]ค่าเช่า=0",""))</f>
        <v/>
      </c>
      <c r="AA43" s="41">
        <f>IF(C43&lt;&gt;"",C43,CONFIG!$B$6)</f>
        <v/>
      </c>
      <c r="AB43" s="41">
        <f>IF(F43&lt;&gt;"",F43,IFERROR(VLOOKUP(AA43,RULES!$A:$C,3,0),CONFIG!$B$7))</f>
        <v/>
      </c>
      <c r="AC43" s="41">
        <f>IF(IFERROR(VLOOKUP(AA43,RULES!$A:$D,4,0),"")="",CONFIG!$B$10,VLOOKUP(AA43,RULES!$A:$D,4,0))</f>
        <v/>
      </c>
      <c r="AD43" s="41">
        <f>IF(IFERROR(VLOOKUP(AA43,RULES!$A:$E,5,0),"")="",CONFIG!$B$11,VLOOKUP(AA43,RULES!$A:$E,5,0))</f>
        <v/>
      </c>
      <c r="AE43" s="41">
        <f>IFERROR(VLOOKUP(AA43,RULES!$A:$F,6,0)*1,0)</f>
        <v/>
      </c>
      <c r="AF43" s="41">
        <f>IFERROR(VLOOKUP(AA43,RULES!$A:$G,7,0)*1,0)</f>
        <v/>
      </c>
      <c r="AG43" s="41">
        <f>IFERROR(VLOOKUP(AA43,RULES!$A:$H,8,0)*1,0)</f>
        <v/>
      </c>
      <c r="AH43" s="41">
        <f>IFERROR(VLOOKUP(AA43,RULES!$A:$I,9,0)*1,0)</f>
        <v/>
      </c>
      <c r="AI43" s="41">
        <f>IFERROR(VLOOKUP(AA43,RULES!$A:$J,10,0)*1,0)</f>
        <v/>
      </c>
      <c r="AJ43" s="41">
        <f>IFERROR(IF(VLOOKUP(AA43,RULES!$A:$K,11,0)="",999999,VLOOKUP(AA43,RULES!$A:$K,11,0)*1),999999)</f>
        <v/>
      </c>
      <c r="AK43" s="41">
        <f>IFERROR(VLOOKUP(AA43,RULES!$A:$L,12,0)*1,0)</f>
        <v/>
      </c>
      <c r="AL43" s="41">
        <f>IFERROR(VLOOKUP(AA43,RULES!$A:$M,13,0),"NONE")</f>
        <v/>
      </c>
      <c r="AM43" s="41">
        <f>IFERROR(VLOOKUP(AA43,RULES!$A:$N,14,0)*1,0)</f>
        <v/>
      </c>
      <c r="AN43" s="41">
        <f>IFERROR(VLOOKUP(AA43,RULES!$A:$O,15,0)*1,0)</f>
        <v/>
      </c>
      <c r="AO43" s="41">
        <f>IF(N43&lt;&gt;"",N43,IFERROR(VLOOKUP(AA43,RULES!$A:$P,16,0),CONFIG!$B$8))</f>
        <v/>
      </c>
      <c r="AP43" s="41">
        <f>IF(IFERROR(VLOOKUP(AA43,RULES!$A:$Q,17,0),"")="",CONFIG!$B$13,VLOOKUP(AA43,RULES!$A:$Q,17,0))</f>
        <v/>
      </c>
      <c r="AQ43" s="41">
        <f>IF(IFERROR(VLOOKUP(AA43,RULES!$A:$R,18,0),"")="",CONFIG!$B$14,VLOOKUP(AA43,RULES!$A:$R,18,0))</f>
        <v/>
      </c>
      <c r="AR43" s="41">
        <f>IFERROR(VLOOKUP(AA43,RULES!$A:$S,19,0)*1,0)</f>
        <v/>
      </c>
      <c r="AS43" s="41">
        <f>IFERROR(VLOOKUP(AA43,RULES!$A:$T,20,0)*1,0)</f>
        <v/>
      </c>
      <c r="AT43" s="41">
        <f>IFERROR(VLOOKUP(AA43,RULES!$A:$U,21,0)*1,0)</f>
        <v/>
      </c>
      <c r="AU43" s="41">
        <f>IFERROR(VLOOKUP(AA43,RULES!$A:$V,22,0)*1,0)</f>
        <v/>
      </c>
      <c r="AV43" s="41">
        <f>IFERROR(VLOOKUP(AA43,RULES!$A:$W,23,0)*1,0)</f>
        <v/>
      </c>
      <c r="AW43" s="41">
        <f>IFERROR(IF(VLOOKUP(AA43,RULES!$A:$X,24,0)="",999999,VLOOKUP(AA43,RULES!$A:$X,24,0)*1),999999)</f>
        <v/>
      </c>
      <c r="AX43" s="41">
        <f>IFERROR(VLOOKUP(AA43,RULES!$A:$Y,25,0)*1,0)</f>
        <v/>
      </c>
      <c r="AY43" s="41">
        <f>IFERROR(VLOOKUP(AA43,RULES!$A:$Z,26,0),"NONE")</f>
        <v/>
      </c>
      <c r="AZ43" s="41">
        <f>IFERROR(VLOOKUP(AA43,RULES!$A:$AA,27,0)*1,0)</f>
        <v/>
      </c>
      <c r="BA43" s="41">
        <f>IFERROR(VLOOKUP(AA43,RULES!$A:$AB,28,0)*1,0)</f>
        <v/>
      </c>
    </row>
    <row r="44" ht="17" customHeight="1">
      <c r="A44" s="36" t="n"/>
      <c r="B44" s="48" t="inlineStr">
        <is>
          <t>ACC008</t>
        </is>
      </c>
      <c r="C44" s="48" t="inlineStr">
        <is>
          <t>DEFAULT</t>
        </is>
      </c>
      <c r="D44" s="47" t="n"/>
      <c r="E44" s="36">
        <f>IF(OR(D44="",D44=0),"INACTIVE","ACTIVE")</f>
        <v/>
      </c>
      <c r="F44" s="48" t="inlineStr">
        <is>
          <t>NORMAL</t>
        </is>
      </c>
      <c r="G44" s="36" t="n"/>
      <c r="H44" s="36" t="n"/>
      <c r="I44" s="42">
        <f>IF(OR(E44="INACTIVE",H44=""),0,MAX(0,H44-G44))</f>
        <v/>
      </c>
      <c r="J44" s="36" t="n"/>
      <c r="K44" s="42">
        <f>IF(OR(E44="INACTIVE",H44=""),0,IF(AB44="DISABLED",0,IF(AB44="FLAT",AE44,IF(AB44="MANUAL",IF(J44="",0,J44*AC44),IF(AB44="STEP",IF(I44&lt;=AF44,I44*AG44,IF(I44&lt;=AH44,AF44*AG44+(I44-AF44)*AI44,AF44*AG44+(AH44-AF44)*AI44+(I44-AH44)*AK44)),MAX(I44*AC44,AD44))))))</f>
        <v/>
      </c>
      <c r="L44" s="42">
        <f>IF(OR(E44="INACTIVE",H44=""),0,IF(AL44="NONE",0,IF(AL44="FLAT",AM44,IF(AL44="PER_UNIT",I44*AN44,IF(AL44="MANUAL",IF(M44="",0,M44),0)))))</f>
        <v/>
      </c>
      <c r="M44" s="36" t="n"/>
      <c r="N44" s="48" t="inlineStr">
        <is>
          <t>NORMAL</t>
        </is>
      </c>
      <c r="O44" s="36" t="n"/>
      <c r="P44" s="36" t="n"/>
      <c r="Q44" s="42">
        <f>IF(OR(E44="INACTIVE",P44=""),0,MAX(0,P44-O44))</f>
        <v/>
      </c>
      <c r="R44" s="36" t="n"/>
      <c r="S44" s="42">
        <f>IF(OR(E44="INACTIVE",P44=""),0,IF(AO44="DISABLED",0,IF(AO44="FLAT",AR44,IF(AO44="MANUAL",IF(R44="",0,R44*AP44),IF(AO44="STEP",IF(Q44&lt;=AS44,Q44*AT44,IF(Q44&lt;=AU44,AS44*AT44+(Q44-AS44)*AV44,AS44*AT44+(AU44-AS44)*AV44+(Q44-AU44)*AX44)),MAX(Q44*AP44,AQ44))))))</f>
        <v/>
      </c>
      <c r="T44" s="42">
        <f>IF(OR(E44="INACTIVE",P44=""),0,IF(AY44="NONE",0,IF(AY44="FLAT",AZ44,IF(AY44="PER_UNIT",Q44*BA44,IF(AY44="MANUAL",IF(U44="",0,U44),0)))))</f>
        <v/>
      </c>
      <c r="U44" s="36" t="n"/>
      <c r="V44" s="36" t="n"/>
      <c r="W44" s="36" t="n"/>
      <c r="X44" s="42">
        <f>IF(E44="INACTIVE",0,D44+K44+L44+S44+T44+IF(V44="",0,V44)+IF(W44="",0,W44))</f>
        <v/>
      </c>
      <c r="Y44" s="36" t="n"/>
      <c r="Z44" s="42">
        <f>IF(E44="INACTIVE","_",IF(AND(G44&gt;0,H44&gt;0,H44&lt;G44),"[!]น้ำ reset ","")&amp;IF(AND(O44&gt;0,P44&gt;0,P44&lt;O44),"[!]ไฟ reset ","")&amp;IF(AND(F44="MANUAL",J44=""),"[X]units น้ำ ","")&amp;IF(AND(N44="MANUAL",R44=""),"[X]units ไฟ ","")&amp;IF(D44=0,"[!]ค่าเช่า=0",""))</f>
        <v/>
      </c>
      <c r="AA44" s="41">
        <f>IF(C44&lt;&gt;"",C44,CONFIG!$B$6)</f>
        <v/>
      </c>
      <c r="AB44" s="41">
        <f>IF(F44&lt;&gt;"",F44,IFERROR(VLOOKUP(AA44,RULES!$A:$C,3,0),CONFIG!$B$7))</f>
        <v/>
      </c>
      <c r="AC44" s="41">
        <f>IF(IFERROR(VLOOKUP(AA44,RULES!$A:$D,4,0),"")="",CONFIG!$B$10,VLOOKUP(AA44,RULES!$A:$D,4,0))</f>
        <v/>
      </c>
      <c r="AD44" s="41">
        <f>IF(IFERROR(VLOOKUP(AA44,RULES!$A:$E,5,0),"")="",CONFIG!$B$11,VLOOKUP(AA44,RULES!$A:$E,5,0))</f>
        <v/>
      </c>
      <c r="AE44" s="41">
        <f>IFERROR(VLOOKUP(AA44,RULES!$A:$F,6,0)*1,0)</f>
        <v/>
      </c>
      <c r="AF44" s="41">
        <f>IFERROR(VLOOKUP(AA44,RULES!$A:$G,7,0)*1,0)</f>
        <v/>
      </c>
      <c r="AG44" s="41">
        <f>IFERROR(VLOOKUP(AA44,RULES!$A:$H,8,0)*1,0)</f>
        <v/>
      </c>
      <c r="AH44" s="41">
        <f>IFERROR(VLOOKUP(AA44,RULES!$A:$I,9,0)*1,0)</f>
        <v/>
      </c>
      <c r="AI44" s="41">
        <f>IFERROR(VLOOKUP(AA44,RULES!$A:$J,10,0)*1,0)</f>
        <v/>
      </c>
      <c r="AJ44" s="41">
        <f>IFERROR(IF(VLOOKUP(AA44,RULES!$A:$K,11,0)="",999999,VLOOKUP(AA44,RULES!$A:$K,11,0)*1),999999)</f>
        <v/>
      </c>
      <c r="AK44" s="41">
        <f>IFERROR(VLOOKUP(AA44,RULES!$A:$L,12,0)*1,0)</f>
        <v/>
      </c>
      <c r="AL44" s="41">
        <f>IFERROR(VLOOKUP(AA44,RULES!$A:$M,13,0),"NONE")</f>
        <v/>
      </c>
      <c r="AM44" s="41">
        <f>IFERROR(VLOOKUP(AA44,RULES!$A:$N,14,0)*1,0)</f>
        <v/>
      </c>
      <c r="AN44" s="41">
        <f>IFERROR(VLOOKUP(AA44,RULES!$A:$O,15,0)*1,0)</f>
        <v/>
      </c>
      <c r="AO44" s="41">
        <f>IF(N44&lt;&gt;"",N44,IFERROR(VLOOKUP(AA44,RULES!$A:$P,16,0),CONFIG!$B$8))</f>
        <v/>
      </c>
      <c r="AP44" s="41">
        <f>IF(IFERROR(VLOOKUP(AA44,RULES!$A:$Q,17,0),"")="",CONFIG!$B$13,VLOOKUP(AA44,RULES!$A:$Q,17,0))</f>
        <v/>
      </c>
      <c r="AQ44" s="41">
        <f>IF(IFERROR(VLOOKUP(AA44,RULES!$A:$R,18,0),"")="",CONFIG!$B$14,VLOOKUP(AA44,RULES!$A:$R,18,0))</f>
        <v/>
      </c>
      <c r="AR44" s="41">
        <f>IFERROR(VLOOKUP(AA44,RULES!$A:$S,19,0)*1,0)</f>
        <v/>
      </c>
      <c r="AS44" s="41">
        <f>IFERROR(VLOOKUP(AA44,RULES!$A:$T,20,0)*1,0)</f>
        <v/>
      </c>
      <c r="AT44" s="41">
        <f>IFERROR(VLOOKUP(AA44,RULES!$A:$U,21,0)*1,0)</f>
        <v/>
      </c>
      <c r="AU44" s="41">
        <f>IFERROR(VLOOKUP(AA44,RULES!$A:$V,22,0)*1,0)</f>
        <v/>
      </c>
      <c r="AV44" s="41">
        <f>IFERROR(VLOOKUP(AA44,RULES!$A:$W,23,0)*1,0)</f>
        <v/>
      </c>
      <c r="AW44" s="41">
        <f>IFERROR(IF(VLOOKUP(AA44,RULES!$A:$X,24,0)="",999999,VLOOKUP(AA44,RULES!$A:$X,24,0)*1),999999)</f>
        <v/>
      </c>
      <c r="AX44" s="41">
        <f>IFERROR(VLOOKUP(AA44,RULES!$A:$Y,25,0)*1,0)</f>
        <v/>
      </c>
      <c r="AY44" s="41">
        <f>IFERROR(VLOOKUP(AA44,RULES!$A:$Z,26,0),"NONE")</f>
        <v/>
      </c>
      <c r="AZ44" s="41">
        <f>IFERROR(VLOOKUP(AA44,RULES!$A:$AA,27,0)*1,0)</f>
        <v/>
      </c>
      <c r="BA44" s="41">
        <f>IFERROR(VLOOKUP(AA44,RULES!$A:$AB,28,0)*1,0)</f>
        <v/>
      </c>
    </row>
    <row r="45" ht="17" customHeight="1">
      <c r="A45" s="36" t="n"/>
      <c r="B45" s="48" t="inlineStr">
        <is>
          <t>ACC008</t>
        </is>
      </c>
      <c r="C45" s="48" t="inlineStr">
        <is>
          <t>DEFAULT</t>
        </is>
      </c>
      <c r="D45" s="47" t="n"/>
      <c r="E45" s="36">
        <f>IF(OR(D45="",D45=0),"INACTIVE","ACTIVE")</f>
        <v/>
      </c>
      <c r="F45" s="48" t="inlineStr">
        <is>
          <t>NORMAL</t>
        </is>
      </c>
      <c r="G45" s="36" t="n"/>
      <c r="H45" s="36" t="n"/>
      <c r="I45" s="42">
        <f>IF(OR(E45="INACTIVE",H45=""),0,MAX(0,H45-G45))</f>
        <v/>
      </c>
      <c r="J45" s="36" t="n"/>
      <c r="K45" s="42">
        <f>IF(OR(E45="INACTIVE",H45=""),0,IF(AB45="DISABLED",0,IF(AB45="FLAT",AE45,IF(AB45="MANUAL",IF(J45="",0,J45*AC45),IF(AB45="STEP",IF(I45&lt;=AF45,I45*AG45,IF(I45&lt;=AH45,AF45*AG45+(I45-AF45)*AI45,AF45*AG45+(AH45-AF45)*AI45+(I45-AH45)*AK45)),MAX(I45*AC45,AD45))))))</f>
        <v/>
      </c>
      <c r="L45" s="42">
        <f>IF(OR(E45="INACTIVE",H45=""),0,IF(AL45="NONE",0,IF(AL45="FLAT",AM45,IF(AL45="PER_UNIT",I45*AN45,IF(AL45="MANUAL",IF(M45="",0,M45),0)))))</f>
        <v/>
      </c>
      <c r="M45" s="36" t="n"/>
      <c r="N45" s="48" t="inlineStr">
        <is>
          <t>NORMAL</t>
        </is>
      </c>
      <c r="O45" s="36" t="n"/>
      <c r="P45" s="36" t="n"/>
      <c r="Q45" s="42">
        <f>IF(OR(E45="INACTIVE",P45=""),0,MAX(0,P45-O45))</f>
        <v/>
      </c>
      <c r="R45" s="36" t="n"/>
      <c r="S45" s="42">
        <f>IF(OR(E45="INACTIVE",P45=""),0,IF(AO45="DISABLED",0,IF(AO45="FLAT",AR45,IF(AO45="MANUAL",IF(R45="",0,R45*AP45),IF(AO45="STEP",IF(Q45&lt;=AS45,Q45*AT45,IF(Q45&lt;=AU45,AS45*AT45+(Q45-AS45)*AV45,AS45*AT45+(AU45-AS45)*AV45+(Q45-AU45)*AX45)),MAX(Q45*AP45,AQ45))))))</f>
        <v/>
      </c>
      <c r="T45" s="42">
        <f>IF(OR(E45="INACTIVE",P45=""),0,IF(AY45="NONE",0,IF(AY45="FLAT",AZ45,IF(AY45="PER_UNIT",Q45*BA45,IF(AY45="MANUAL",IF(U45="",0,U45),0)))))</f>
        <v/>
      </c>
      <c r="U45" s="36" t="n"/>
      <c r="V45" s="36" t="n"/>
      <c r="W45" s="36" t="n"/>
      <c r="X45" s="42">
        <f>IF(E45="INACTIVE",0,D45+K45+L45+S45+T45+IF(V45="",0,V45)+IF(W45="",0,W45))</f>
        <v/>
      </c>
      <c r="Y45" s="36" t="n"/>
      <c r="Z45" s="42">
        <f>IF(E45="INACTIVE","_",IF(AND(G45&gt;0,H45&gt;0,H45&lt;G45),"[!]น้ำ reset ","")&amp;IF(AND(O45&gt;0,P45&gt;0,P45&lt;O45),"[!]ไฟ reset ","")&amp;IF(AND(F45="MANUAL",J45=""),"[X]units น้ำ ","")&amp;IF(AND(N45="MANUAL",R45=""),"[X]units ไฟ ","")&amp;IF(D45=0,"[!]ค่าเช่า=0",""))</f>
        <v/>
      </c>
      <c r="AA45" s="41">
        <f>IF(C45&lt;&gt;"",C45,CONFIG!$B$6)</f>
        <v/>
      </c>
      <c r="AB45" s="41">
        <f>IF(F45&lt;&gt;"",F45,IFERROR(VLOOKUP(AA45,RULES!$A:$C,3,0),CONFIG!$B$7))</f>
        <v/>
      </c>
      <c r="AC45" s="41">
        <f>IF(IFERROR(VLOOKUP(AA45,RULES!$A:$D,4,0),"")="",CONFIG!$B$10,VLOOKUP(AA45,RULES!$A:$D,4,0))</f>
        <v/>
      </c>
      <c r="AD45" s="41">
        <f>IF(IFERROR(VLOOKUP(AA45,RULES!$A:$E,5,0),"")="",CONFIG!$B$11,VLOOKUP(AA45,RULES!$A:$E,5,0))</f>
        <v/>
      </c>
      <c r="AE45" s="41">
        <f>IFERROR(VLOOKUP(AA45,RULES!$A:$F,6,0)*1,0)</f>
        <v/>
      </c>
      <c r="AF45" s="41">
        <f>IFERROR(VLOOKUP(AA45,RULES!$A:$G,7,0)*1,0)</f>
        <v/>
      </c>
      <c r="AG45" s="41">
        <f>IFERROR(VLOOKUP(AA45,RULES!$A:$H,8,0)*1,0)</f>
        <v/>
      </c>
      <c r="AH45" s="41">
        <f>IFERROR(VLOOKUP(AA45,RULES!$A:$I,9,0)*1,0)</f>
        <v/>
      </c>
      <c r="AI45" s="41">
        <f>IFERROR(VLOOKUP(AA45,RULES!$A:$J,10,0)*1,0)</f>
        <v/>
      </c>
      <c r="AJ45" s="41">
        <f>IFERROR(IF(VLOOKUP(AA45,RULES!$A:$K,11,0)="",999999,VLOOKUP(AA45,RULES!$A:$K,11,0)*1),999999)</f>
        <v/>
      </c>
      <c r="AK45" s="41">
        <f>IFERROR(VLOOKUP(AA45,RULES!$A:$L,12,0)*1,0)</f>
        <v/>
      </c>
      <c r="AL45" s="41">
        <f>IFERROR(VLOOKUP(AA45,RULES!$A:$M,13,0),"NONE")</f>
        <v/>
      </c>
      <c r="AM45" s="41">
        <f>IFERROR(VLOOKUP(AA45,RULES!$A:$N,14,0)*1,0)</f>
        <v/>
      </c>
      <c r="AN45" s="41">
        <f>IFERROR(VLOOKUP(AA45,RULES!$A:$O,15,0)*1,0)</f>
        <v/>
      </c>
      <c r="AO45" s="41">
        <f>IF(N45&lt;&gt;"",N45,IFERROR(VLOOKUP(AA45,RULES!$A:$P,16,0),CONFIG!$B$8))</f>
        <v/>
      </c>
      <c r="AP45" s="41">
        <f>IF(IFERROR(VLOOKUP(AA45,RULES!$A:$Q,17,0),"")="",CONFIG!$B$13,VLOOKUP(AA45,RULES!$A:$Q,17,0))</f>
        <v/>
      </c>
      <c r="AQ45" s="41">
        <f>IF(IFERROR(VLOOKUP(AA45,RULES!$A:$R,18,0),"")="",CONFIG!$B$14,VLOOKUP(AA45,RULES!$A:$R,18,0))</f>
        <v/>
      </c>
      <c r="AR45" s="41">
        <f>IFERROR(VLOOKUP(AA45,RULES!$A:$S,19,0)*1,0)</f>
        <v/>
      </c>
      <c r="AS45" s="41">
        <f>IFERROR(VLOOKUP(AA45,RULES!$A:$T,20,0)*1,0)</f>
        <v/>
      </c>
      <c r="AT45" s="41">
        <f>IFERROR(VLOOKUP(AA45,RULES!$A:$U,21,0)*1,0)</f>
        <v/>
      </c>
      <c r="AU45" s="41">
        <f>IFERROR(VLOOKUP(AA45,RULES!$A:$V,22,0)*1,0)</f>
        <v/>
      </c>
      <c r="AV45" s="41">
        <f>IFERROR(VLOOKUP(AA45,RULES!$A:$W,23,0)*1,0)</f>
        <v/>
      </c>
      <c r="AW45" s="41">
        <f>IFERROR(IF(VLOOKUP(AA45,RULES!$A:$X,24,0)="",999999,VLOOKUP(AA45,RULES!$A:$X,24,0)*1),999999)</f>
        <v/>
      </c>
      <c r="AX45" s="41">
        <f>IFERROR(VLOOKUP(AA45,RULES!$A:$Y,25,0)*1,0)</f>
        <v/>
      </c>
      <c r="AY45" s="41">
        <f>IFERROR(VLOOKUP(AA45,RULES!$A:$Z,26,0),"NONE")</f>
        <v/>
      </c>
      <c r="AZ45" s="41">
        <f>IFERROR(VLOOKUP(AA45,RULES!$A:$AA,27,0)*1,0)</f>
        <v/>
      </c>
      <c r="BA45" s="41">
        <f>IFERROR(VLOOKUP(AA45,RULES!$A:$AB,28,0)*1,0)</f>
        <v/>
      </c>
    </row>
    <row r="46" ht="22" customHeight="1">
      <c r="A46" s="43" t="inlineStr">
        <is>
          <t>Summary Floor 8</t>
        </is>
      </c>
      <c r="B46" s="46" t="n"/>
      <c r="C46" s="44" t="n"/>
      <c r="D46" s="44" t="n"/>
      <c r="E46" s="43">
        <f>COUNTIF(E4:E35,"ACTIVE")&amp;" / "&amp;COUNTIF(E4:E35,"INACTIVE")</f>
        <v/>
      </c>
      <c r="F46" s="44" t="n"/>
      <c r="G46" s="44" t="n"/>
      <c r="H46" s="44" t="n"/>
      <c r="I46" s="44" t="n"/>
      <c r="J46" s="44" t="n"/>
      <c r="K46" s="45">
        <f>SUM(K4:K35)</f>
        <v/>
      </c>
      <c r="L46" s="45">
        <f>SUM(L4:L35)</f>
        <v/>
      </c>
      <c r="M46" s="44" t="n"/>
      <c r="N46" s="44" t="n"/>
      <c r="O46" s="44" t="n"/>
      <c r="P46" s="44" t="n"/>
      <c r="Q46" s="44" t="n"/>
      <c r="R46" s="44" t="n"/>
      <c r="S46" s="45">
        <f>SUM(S4:S35)</f>
        <v/>
      </c>
      <c r="T46" s="45">
        <f>SUM(T4:T35)</f>
        <v/>
      </c>
      <c r="U46" s="44" t="n"/>
      <c r="V46" s="44" t="n"/>
      <c r="W46" s="44" t="n"/>
      <c r="X46" s="45">
        <f>SUM(X4:X35)</f>
        <v/>
      </c>
      <c r="Y46" s="44" t="n"/>
      <c r="Z46" s="44" t="n"/>
    </row>
  </sheetData>
  <mergeCells count="3">
    <mergeCell ref="A1:Z1"/>
    <mergeCell ref="A36:B36"/>
    <mergeCell ref="A46:B46"/>
  </mergeCells>
  <conditionalFormatting sqref="A4:Z46">
    <cfRule type="expression" priority="22" dxfId="11">
      <formula>=$E4="INACTIVE"</formula>
    </cfRule>
  </conditionalFormatting>
  <conditionalFormatting sqref="E4:E46">
    <cfRule type="expression" priority="23" dxfId="12">
      <formula>=E4="ACTIVE"</formula>
    </cfRule>
    <cfRule type="expression" priority="24" dxfId="13">
      <formula>=E4="INACTIVE"</formula>
    </cfRule>
  </conditionalFormatting>
  <conditionalFormatting sqref="F4:F46">
    <cfRule type="expression" priority="25" dxfId="14">
      <formula>=F4="NORMAL"</formula>
    </cfRule>
    <cfRule type="expression" priority="26" dxfId="15">
      <formula>=F4="MANUAL"</formula>
    </cfRule>
    <cfRule type="expression" priority="27" dxfId="16">
      <formula>=F4="DISABLED"</formula>
    </cfRule>
    <cfRule type="expression" priority="28" dxfId="17">
      <formula>=F4="FLAT"</formula>
    </cfRule>
    <cfRule type="expression" priority="29" dxfId="18">
      <formula>=F4="STEP"</formula>
    </cfRule>
  </conditionalFormatting>
  <conditionalFormatting sqref="N4:N46">
    <cfRule type="expression" priority="30" dxfId="14">
      <formula>=N4="NORMAL"</formula>
    </cfRule>
    <cfRule type="expression" priority="31" dxfId="15">
      <formula>=N4="MANUAL"</formula>
    </cfRule>
    <cfRule type="expression" priority="32" dxfId="16">
      <formula>=N4="DISABLED"</formula>
    </cfRule>
    <cfRule type="expression" priority="33" dxfId="17">
      <formula>=N4="FLAT"</formula>
    </cfRule>
    <cfRule type="expression" priority="34" dxfId="18">
      <formula>=N4="STEP"</formula>
    </cfRule>
  </conditionalFormatting>
  <conditionalFormatting sqref="Z4:Z46">
    <cfRule type="expression" priority="35" dxfId="19">
      <formula>=ISNUMBER(SEARCH("[X]",Z4))</formula>
    </cfRule>
    <cfRule type="expression" priority="36" dxfId="20">
      <formula>=ISNUMBER(SEARCH("[!]",Z4))</formula>
    </cfRule>
    <cfRule type="expression" priority="37" dxfId="16">
      <formula>=Z4="_"</formula>
    </cfRule>
    <cfRule type="expression" priority="38" dxfId="14">
      <formula>=AND(Z4="",E4="ACTIVE")</formula>
    </cfRule>
  </conditionalFormatting>
  <conditionalFormatting sqref="B4:B46">
    <cfRule type="expression" priority="39" dxfId="21">
      <formula>=B4&lt;&gt;""</formula>
    </cfRule>
  </conditionalFormatting>
  <conditionalFormatting sqref="C4:C46">
    <cfRule type="expression" priority="40" dxfId="21">
      <formula>=AND(C4&lt;&gt;"",C4&lt;&gt;"DEFAULT")</formula>
    </cfRule>
  </conditionalFormatting>
  <conditionalFormatting sqref="J4:J46">
    <cfRule type="expression" priority="41" dxfId="19">
      <formula>=AND(AB4="MANUAL",J4="")</formula>
    </cfRule>
  </conditionalFormatting>
  <conditionalFormatting sqref="R4:R46">
    <cfRule type="expression" priority="42" dxfId="19">
      <formula>=AND(AO4="MANUAL",R4="")</formula>
    </cfRule>
  </conditionalFormatting>
  <dataValidations count="4">
    <dataValidation sqref="B4:B45" showDropDown="0" showInputMessage="0" showErrorMessage="0" allowBlank="0" type="list">
      <formula1>=ACCOUNTS!$A$2:$A$30</formula1>
    </dataValidation>
    <dataValidation sqref="C4:C45" showDropDown="0" showInputMessage="0" showErrorMessage="0" allowBlank="0" type="list">
      <formula1>=RULES!$A$2:$A$50</formula1>
    </dataValidation>
    <dataValidation sqref="F4:F45" showDropDown="0" showInputMessage="0" showErrorMessage="0" allowBlank="0" type="list">
      <formula1>"NORMAL,MANUAL,DISABLED,FLAT,STEP"</formula1>
    </dataValidation>
    <dataValidation sqref="N4:N45" showDropDown="0" showInputMessage="0" showErrorMessage="0" allowBlank="0" type="list">
      <formula1>"NORMAL,MANUAL,DISABLED,FLAT,STEP"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2026-03-22T17:17:55Z</dcterms:created>
  <dcterms:modified xsi:type="dcterms:W3CDTF">2026-03-22T19:21:19Z</dcterms:modified>
</cp:coreProperties>
</file>